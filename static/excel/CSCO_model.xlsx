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CSCO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56654</v>
      </c>
    </row>
    <row r="8">
      <c r="A8" s="3" t="inlineStr">
        <is>
          <t>Gross Profit ($mm)</t>
        </is>
      </c>
      <c r="B8" s="7" t="n">
        <v>36790</v>
      </c>
    </row>
    <row r="9">
      <c r="A9" s="3" t="inlineStr">
        <is>
          <t>EBITDA ($mm)</t>
        </is>
      </c>
      <c r="B9" s="7" t="n">
        <v>15378</v>
      </c>
    </row>
    <row r="10">
      <c r="A10" s="3" t="inlineStr">
        <is>
          <t>EBIT ($mm)</t>
        </is>
      </c>
      <c r="B10" s="7" t="n">
        <v>11760</v>
      </c>
    </row>
    <row r="11">
      <c r="A11" s="3" t="inlineStr">
        <is>
          <t>Net Income ($mm)</t>
        </is>
      </c>
      <c r="B11" s="7" t="n">
        <v>10180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49818</v>
      </c>
      <c r="C5" s="16" t="n">
        <v>51557</v>
      </c>
      <c r="D5" s="16" t="n">
        <v>56998</v>
      </c>
      <c r="E5" s="16" t="n">
        <v>53803</v>
      </c>
      <c r="F5" s="16" t="n">
        <v>56654</v>
      </c>
    </row>
    <row r="6">
      <c r="A6" s="17" t="inlineStr">
        <is>
          <t>(2)  Cost of Revenue (COGS)</t>
        </is>
      </c>
      <c r="B6" s="18" t="n">
        <v>17924</v>
      </c>
      <c r="C6" s="18" t="n">
        <v>19309</v>
      </c>
      <c r="D6" s="18" t="n">
        <v>21245</v>
      </c>
      <c r="E6" s="18" t="n">
        <v>18975</v>
      </c>
      <c r="F6" s="18" t="n">
        <v>19864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11411</v>
      </c>
      <c r="C9" s="18" t="n">
        <v>11186</v>
      </c>
      <c r="D9" s="18" t="n">
        <v>12358</v>
      </c>
      <c r="E9" s="18" t="n">
        <v>13177</v>
      </c>
      <c r="F9" s="18" t="n">
        <v>13946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19061</v>
      </c>
      <c r="C11" s="18" t="n">
        <v>18279</v>
      </c>
      <c r="D11" s="18" t="n">
        <v>20722</v>
      </c>
      <c r="E11" s="18" t="n">
        <v>22647</v>
      </c>
      <c r="F11" s="18" t="n">
        <v>25030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1862</v>
      </c>
      <c r="C14" s="18" t="n">
        <v>1957</v>
      </c>
      <c r="D14" s="18" t="n">
        <v>1726</v>
      </c>
      <c r="E14" s="18" t="n">
        <v>2507</v>
      </c>
      <c r="F14" s="18" t="n">
        <v>2862</v>
      </c>
    </row>
    <row r="15">
      <c r="A15" s="19" t="inlineStr">
        <is>
          <t>(8)  EBIT (Operating Income)</t>
        </is>
      </c>
      <c r="B15" s="24" t="n">
        <v>12833</v>
      </c>
      <c r="C15" s="24" t="n">
        <v>13969</v>
      </c>
      <c r="D15" s="24" t="n">
        <v>15031</v>
      </c>
      <c r="E15" s="24" t="n">
        <v>12181</v>
      </c>
      <c r="F15" s="24" t="n">
        <v>11760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434</v>
      </c>
      <c r="C17" s="18" t="n">
        <v>360</v>
      </c>
      <c r="D17" s="18" t="n">
        <v>427</v>
      </c>
      <c r="E17" s="18" t="n">
        <v>1006</v>
      </c>
      <c r="F17" s="18" t="n">
        <v>1593</v>
      </c>
    </row>
    <row r="18">
      <c r="A18" s="21" t="inlineStr">
        <is>
          <t xml:space="preserve">     Interest Income</t>
        </is>
      </c>
      <c r="B18" s="18" t="n">
        <v>618</v>
      </c>
      <c r="C18" s="18" t="n">
        <v>476</v>
      </c>
      <c r="D18" s="18" t="n">
        <v>962</v>
      </c>
      <c r="E18" s="18" t="n">
        <v>1365</v>
      </c>
      <c r="F18" s="18" t="n">
        <v>1001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13262</v>
      </c>
      <c r="C21" s="24" t="n">
        <v>14477</v>
      </c>
      <c r="D21" s="24" t="n">
        <v>15318</v>
      </c>
      <c r="E21" s="24" t="n">
        <v>12234</v>
      </c>
      <c r="F21" s="24" t="n">
        <v>11100</v>
      </c>
    </row>
    <row r="22">
      <c r="A22" s="17" t="inlineStr">
        <is>
          <t>(11) Income Tax Expense</t>
        </is>
      </c>
      <c r="B22" s="18" t="n">
        <v>2671</v>
      </c>
      <c r="C22" s="18" t="n">
        <v>2665</v>
      </c>
      <c r="D22" s="18" t="n">
        <v>2705</v>
      </c>
      <c r="E22" s="18" t="n">
        <v>1914</v>
      </c>
      <c r="F22" s="18" t="n">
        <v>920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10591</v>
      </c>
      <c r="C24" s="24" t="n">
        <v>11812</v>
      </c>
      <c r="D24" s="24" t="n">
        <v>12613</v>
      </c>
      <c r="E24" s="24" t="n">
        <v>10320</v>
      </c>
      <c r="F24" s="24" t="n">
        <v>10180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49818</v>
      </c>
      <c r="C30" s="16" t="n">
        <v>51557</v>
      </c>
      <c r="D30" s="16" t="n">
        <v>56998</v>
      </c>
      <c r="E30" s="16" t="n">
        <v>53803</v>
      </c>
      <c r="F30" s="16" t="n">
        <v>56654</v>
      </c>
    </row>
    <row r="31">
      <c r="A31" s="17" t="inlineStr">
        <is>
          <t>Cost of Revenue</t>
        </is>
      </c>
      <c r="B31" s="18" t="n">
        <v>17924</v>
      </c>
      <c r="C31" s="18" t="n">
        <v>19309</v>
      </c>
      <c r="D31" s="18" t="n">
        <v>21245</v>
      </c>
      <c r="E31" s="18" t="n">
        <v>18975</v>
      </c>
      <c r="F31" s="18" t="n">
        <v>19864</v>
      </c>
    </row>
    <row r="32">
      <c r="A32" s="26" t="inlineStr">
        <is>
          <t>Gross Profit</t>
        </is>
      </c>
      <c r="B32" s="27" t="n">
        <v>31894</v>
      </c>
      <c r="C32" s="27" t="n">
        <v>32248</v>
      </c>
      <c r="D32" s="27" t="n">
        <v>35753</v>
      </c>
      <c r="E32" s="27" t="n">
        <v>34828</v>
      </c>
      <c r="F32" s="27" t="n">
        <v>36790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6549</v>
      </c>
      <c r="C34" s="18" t="n">
        <v>6774</v>
      </c>
      <c r="D34" s="18" t="n">
        <v>7551</v>
      </c>
      <c r="E34" s="18" t="n">
        <v>7983</v>
      </c>
      <c r="F34" s="18" t="n">
        <v>9300</v>
      </c>
    </row>
    <row r="35">
      <c r="A35" s="17" t="inlineStr">
        <is>
          <t>General &amp; Administrative</t>
        </is>
      </c>
      <c r="B35" s="18" t="n">
        <v>2152</v>
      </c>
      <c r="C35" s="18" t="n">
        <v>2101</v>
      </c>
      <c r="D35" s="18" t="n">
        <v>2478</v>
      </c>
      <c r="E35" s="18" t="n">
        <v>2813</v>
      </c>
      <c r="F35" s="18" t="n">
        <v>2980</v>
      </c>
    </row>
    <row r="36">
      <c r="A36" s="17" t="inlineStr">
        <is>
          <t>Selling &amp; Marketing</t>
        </is>
      </c>
      <c r="B36" s="18" t="n">
        <v>9259</v>
      </c>
      <c r="C36" s="18" t="n">
        <v>9085</v>
      </c>
      <c r="D36" s="18" t="n">
        <v>9880</v>
      </c>
      <c r="E36" s="18" t="n">
        <v>10364</v>
      </c>
      <c r="F36" s="18" t="n">
        <v>10966</v>
      </c>
    </row>
    <row r="37">
      <c r="A37" s="17" t="inlineStr">
        <is>
          <t>SG&amp;A (Combined)</t>
        </is>
      </c>
      <c r="B37" s="18" t="n">
        <v>11411</v>
      </c>
      <c r="C37" s="18" t="n">
        <v>11186</v>
      </c>
      <c r="D37" s="18" t="n">
        <v>12358</v>
      </c>
      <c r="E37" s="18" t="n">
        <v>13177</v>
      </c>
      <c r="F37" s="18" t="n">
        <v>13946</v>
      </c>
    </row>
    <row r="38">
      <c r="A38" s="17" t="inlineStr">
        <is>
          <t>Other Expenses</t>
        </is>
      </c>
      <c r="B38" s="18" t="n">
        <v>1101</v>
      </c>
      <c r="C38" s="18" t="n">
        <v>319</v>
      </c>
      <c r="D38" s="18" t="n">
        <v>813</v>
      </c>
      <c r="E38" s="18" t="n">
        <v>1487</v>
      </c>
      <c r="F38" s="18" t="n">
        <v>1784</v>
      </c>
    </row>
    <row r="39">
      <c r="A39" s="26" t="inlineStr">
        <is>
          <t>Total Operating Expenses</t>
        </is>
      </c>
      <c r="B39" s="27" t="n">
        <v>19061</v>
      </c>
      <c r="C39" s="27" t="n">
        <v>18279</v>
      </c>
      <c r="D39" s="27" t="n">
        <v>20722</v>
      </c>
      <c r="E39" s="27" t="n">
        <v>22647</v>
      </c>
      <c r="F39" s="27" t="n">
        <v>25030</v>
      </c>
    </row>
    <row r="40">
      <c r="A40" s="17" t="inlineStr">
        <is>
          <t>Cost &amp; Expenses (COGS + Opex)</t>
        </is>
      </c>
      <c r="B40" s="18" t="n">
        <v>36985</v>
      </c>
      <c r="C40" s="18" t="n">
        <v>37588</v>
      </c>
      <c r="D40" s="18" t="n">
        <v>41967</v>
      </c>
      <c r="E40" s="18" t="n">
        <v>41622</v>
      </c>
      <c r="F40" s="18" t="n">
        <v>44894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12833</v>
      </c>
      <c r="C42" s="16" t="n">
        <v>13969</v>
      </c>
      <c r="D42" s="16" t="n">
        <v>15031</v>
      </c>
      <c r="E42" s="16" t="n">
        <v>12181</v>
      </c>
      <c r="F42" s="16" t="n">
        <v>11760</v>
      </c>
    </row>
    <row r="43">
      <c r="A43" s="17" t="inlineStr">
        <is>
          <t>EBIT (FMP field)</t>
        </is>
      </c>
      <c r="B43" s="18" t="n">
        <v>13696</v>
      </c>
      <c r="C43" s="18" t="n">
        <v>14837</v>
      </c>
      <c r="D43" s="18" t="n">
        <v>15745</v>
      </c>
      <c r="E43" s="18" t="n">
        <v>13240</v>
      </c>
      <c r="F43" s="18" t="n">
        <v>12516</v>
      </c>
    </row>
    <row r="44">
      <c r="A44" s="26" t="inlineStr">
        <is>
          <t>EBITDA</t>
        </is>
      </c>
      <c r="B44" s="27" t="n">
        <v>15558</v>
      </c>
      <c r="C44" s="27" t="n">
        <v>16794</v>
      </c>
      <c r="D44" s="27" t="n">
        <v>17471</v>
      </c>
      <c r="E44" s="27" t="n">
        <v>15747</v>
      </c>
      <c r="F44" s="27" t="n">
        <v>15378</v>
      </c>
    </row>
    <row r="45">
      <c r="A45" s="17" t="inlineStr">
        <is>
          <t>Depreciation &amp; Amortisation</t>
        </is>
      </c>
      <c r="B45" s="18" t="n">
        <v>1862</v>
      </c>
      <c r="C45" s="18" t="n">
        <v>1957</v>
      </c>
      <c r="D45" s="18" t="n">
        <v>1726</v>
      </c>
      <c r="E45" s="18" t="n">
        <v>2507</v>
      </c>
      <c r="F45" s="18" t="n">
        <v>2862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618</v>
      </c>
      <c r="C47" s="18" t="n">
        <v>476</v>
      </c>
      <c r="D47" s="18" t="n">
        <v>962</v>
      </c>
      <c r="E47" s="18" t="n">
        <v>1365</v>
      </c>
      <c r="F47" s="18" t="n">
        <v>1001</v>
      </c>
    </row>
    <row r="48">
      <c r="A48" s="17" t="inlineStr">
        <is>
          <t>Interest Expense</t>
        </is>
      </c>
      <c r="B48" s="18" t="n">
        <v>434</v>
      </c>
      <c r="C48" s="18" t="n">
        <v>360</v>
      </c>
      <c r="D48" s="18" t="n">
        <v>427</v>
      </c>
      <c r="E48" s="18" t="n">
        <v>1006</v>
      </c>
      <c r="F48" s="18" t="n">
        <v>1593</v>
      </c>
    </row>
    <row r="49">
      <c r="A49" s="17" t="inlineStr">
        <is>
          <t>Net Interest Income</t>
        </is>
      </c>
      <c r="B49" s="18" t="n">
        <v>184</v>
      </c>
      <c r="C49" s="18" t="n">
        <v>116</v>
      </c>
      <c r="D49" s="18" t="n">
        <v>535</v>
      </c>
      <c r="E49" s="18" t="n">
        <v>359</v>
      </c>
      <c r="F49" s="18" t="n">
        <v>-592</v>
      </c>
    </row>
    <row r="50">
      <c r="A50" s="17" t="inlineStr">
        <is>
          <t>Non-Operating Income (ex-interest)</t>
        </is>
      </c>
      <c r="B50" s="18" t="n">
        <v>-863</v>
      </c>
      <c r="C50" s="18" t="n">
        <v>-868</v>
      </c>
      <c r="D50" s="18" t="n">
        <v>-714</v>
      </c>
      <c r="E50" s="18" t="n">
        <v>-1059</v>
      </c>
      <c r="F50" s="18" t="n">
        <v>-756</v>
      </c>
    </row>
    <row r="51">
      <c r="A51" s="17" t="inlineStr">
        <is>
          <t>Total Other Income / (Expenses)</t>
        </is>
      </c>
      <c r="B51" s="18" t="n">
        <v>429</v>
      </c>
      <c r="C51" s="18" t="n">
        <v>508</v>
      </c>
      <c r="D51" s="18" t="n">
        <v>287</v>
      </c>
      <c r="E51" s="18" t="n">
        <v>53</v>
      </c>
      <c r="F51" s="18" t="n">
        <v>-660</v>
      </c>
    </row>
    <row r="52">
      <c r="A52" s="26" t="inlineStr">
        <is>
          <t>EBT / Income Before Tax</t>
        </is>
      </c>
      <c r="B52" s="27" t="n">
        <v>13262</v>
      </c>
      <c r="C52" s="27" t="n">
        <v>14477</v>
      </c>
      <c r="D52" s="27" t="n">
        <v>15318</v>
      </c>
      <c r="E52" s="27" t="n">
        <v>12234</v>
      </c>
      <c r="F52" s="27" t="n">
        <v>11100</v>
      </c>
    </row>
    <row r="53">
      <c r="A53" s="17" t="inlineStr">
        <is>
          <t>Income Tax Expense</t>
        </is>
      </c>
      <c r="B53" s="18" t="n">
        <v>2671</v>
      </c>
      <c r="C53" s="18" t="n">
        <v>2665</v>
      </c>
      <c r="D53" s="18" t="n">
        <v>2705</v>
      </c>
      <c r="E53" s="18" t="n">
        <v>1914</v>
      </c>
      <c r="F53" s="18" t="n">
        <v>920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10591</v>
      </c>
      <c r="C55" s="18" t="n">
        <v>11812</v>
      </c>
      <c r="D55" s="18" t="n">
        <v>12613</v>
      </c>
      <c r="E55" s="18" t="n">
        <v>10320</v>
      </c>
      <c r="F55" s="18" t="n">
        <v>10180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10591</v>
      </c>
      <c r="C59" s="27" t="n">
        <v>11812</v>
      </c>
      <c r="D59" s="27" t="n">
        <v>12613</v>
      </c>
      <c r="E59" s="27" t="n">
        <v>10320</v>
      </c>
      <c r="F59" s="27" t="n">
        <v>10180</v>
      </c>
    </row>
    <row r="60">
      <c r="A60" s="15" t="inlineStr">
        <is>
          <t>Bottom Line Net Income</t>
        </is>
      </c>
      <c r="B60" s="16" t="n">
        <v>10591</v>
      </c>
      <c r="C60" s="16" t="n">
        <v>11812</v>
      </c>
      <c r="D60" s="16" t="n">
        <v>12613</v>
      </c>
      <c r="E60" s="16" t="n">
        <v>10320</v>
      </c>
      <c r="F60" s="16" t="n">
        <v>10180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2.51</v>
      </c>
      <c r="C62" s="18" t="n">
        <v>2.83</v>
      </c>
      <c r="D62" s="18" t="n">
        <v>3.08</v>
      </c>
      <c r="E62" s="18" t="n">
        <v>2.55</v>
      </c>
      <c r="F62" s="18" t="n">
        <v>2.56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4222</v>
      </c>
      <c r="C64" s="18" t="n">
        <v>4170</v>
      </c>
      <c r="D64" s="18" t="n">
        <v>4093</v>
      </c>
      <c r="E64" s="18" t="n">
        <v>4043</v>
      </c>
      <c r="F64" s="18" t="n">
        <v>3976</v>
      </c>
    </row>
    <row r="65">
      <c r="A65" s="17" t="inlineStr">
        <is>
          <t>Shares Outstanding — Diluted (mm)</t>
        </is>
      </c>
      <c r="B65" s="18" t="n">
        <v>4236</v>
      </c>
      <c r="C65" s="18" t="n">
        <v>4192</v>
      </c>
      <c r="D65" s="18" t="n">
        <v>4105</v>
      </c>
      <c r="E65" s="18" t="n">
        <v>4062</v>
      </c>
      <c r="F65" s="18" t="n">
        <v>3998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9175</v>
      </c>
      <c r="C5" s="18" t="n">
        <v>7079</v>
      </c>
      <c r="D5" s="18" t="n">
        <v>10123</v>
      </c>
      <c r="E5" s="18" t="n">
        <v>7508</v>
      </c>
      <c r="F5" s="18" t="n">
        <v>8346</v>
      </c>
    </row>
    <row r="6">
      <c r="A6" s="17" t="inlineStr">
        <is>
          <t>(2)  Receivables</t>
        </is>
      </c>
      <c r="B6" s="18" t="n">
        <v>10146</v>
      </c>
      <c r="C6" s="18" t="n">
        <v>10527</v>
      </c>
      <c r="D6" s="18" t="n">
        <v>9206</v>
      </c>
      <c r="E6" s="18" t="n">
        <v>10023</v>
      </c>
      <c r="F6" s="18" t="n">
        <v>9762</v>
      </c>
    </row>
    <row r="7">
      <c r="A7" s="17" t="inlineStr">
        <is>
          <t>(3)  Inventory</t>
        </is>
      </c>
      <c r="B7" s="18" t="n">
        <v>1559</v>
      </c>
      <c r="C7" s="18" t="n">
        <v>2568</v>
      </c>
      <c r="D7" s="18" t="n">
        <v>3644</v>
      </c>
      <c r="E7" s="18" t="n">
        <v>3373</v>
      </c>
      <c r="F7" s="18" t="n">
        <v>3164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39112</v>
      </c>
      <c r="C9" s="24" t="n">
        <v>36717</v>
      </c>
      <c r="D9" s="24" t="n">
        <v>43348</v>
      </c>
      <c r="E9" s="24" t="n">
        <v>36862</v>
      </c>
      <c r="F9" s="24" t="n">
        <v>34986</v>
      </c>
    </row>
    <row r="10">
      <c r="A10" s="17" t="inlineStr">
        <is>
          <t>(6)  PP&amp;E (Net)</t>
        </is>
      </c>
      <c r="B10" s="18" t="n">
        <v>2338</v>
      </c>
      <c r="C10" s="18" t="n">
        <v>1997</v>
      </c>
      <c r="D10" s="18" t="n">
        <v>2085</v>
      </c>
      <c r="E10" s="18" t="n">
        <v>2090</v>
      </c>
      <c r="F10" s="18" t="n">
        <v>2113</v>
      </c>
    </row>
    <row r="11">
      <c r="A11" s="17" t="inlineStr">
        <is>
          <t>(7)  Goodwill</t>
        </is>
      </c>
      <c r="B11" s="18" t="n">
        <v>38168</v>
      </c>
      <c r="C11" s="18" t="n">
        <v>38304</v>
      </c>
      <c r="D11" s="18" t="n">
        <v>38535</v>
      </c>
      <c r="E11" s="18" t="n">
        <v>58660</v>
      </c>
      <c r="F11" s="18" t="n">
        <v>59136</v>
      </c>
    </row>
    <row r="12">
      <c r="A12" s="17" t="inlineStr">
        <is>
          <t>(8)  Deferred Tax Assets</t>
        </is>
      </c>
      <c r="B12" s="18" t="n">
        <v>4360</v>
      </c>
      <c r="C12" s="18" t="n">
        <v>4449</v>
      </c>
      <c r="D12" s="18" t="n">
        <v>6576</v>
      </c>
      <c r="E12" s="18" t="n">
        <v>6262</v>
      </c>
      <c r="F12" s="18" t="n">
        <v>7356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58385</v>
      </c>
      <c r="C14" s="24" t="n">
        <v>57285</v>
      </c>
      <c r="D14" s="24" t="n">
        <v>58504</v>
      </c>
      <c r="E14" s="24" t="n">
        <v>87551</v>
      </c>
      <c r="F14" s="24" t="n">
        <v>87305</v>
      </c>
    </row>
    <row r="15">
      <c r="A15" s="19" t="inlineStr">
        <is>
          <t>(11) Total Assets</t>
        </is>
      </c>
      <c r="B15" s="24" t="n">
        <v>97497</v>
      </c>
      <c r="C15" s="24" t="n">
        <v>94002</v>
      </c>
      <c r="D15" s="24" t="n">
        <v>101852</v>
      </c>
      <c r="E15" s="24" t="n">
        <v>124413</v>
      </c>
      <c r="F15" s="24" t="n">
        <v>122291</v>
      </c>
    </row>
    <row r="16" ht="6" customHeight="1"/>
    <row r="17">
      <c r="A17" s="17" t="inlineStr">
        <is>
          <t>(12) Accounts Payable</t>
        </is>
      </c>
      <c r="B17" s="18" t="n">
        <v>2362</v>
      </c>
      <c r="C17" s="18" t="n">
        <v>2281</v>
      </c>
      <c r="D17" s="18" t="n">
        <v>2313</v>
      </c>
      <c r="E17" s="18" t="n">
        <v>2304</v>
      </c>
      <c r="F17" s="18" t="n">
        <v>2528</v>
      </c>
    </row>
    <row r="18">
      <c r="A18" s="17" t="inlineStr">
        <is>
          <t>(13) Short-Term Borrowings</t>
        </is>
      </c>
      <c r="B18" s="18" t="n">
        <v>2508</v>
      </c>
      <c r="C18" s="18" t="n">
        <v>1421</v>
      </c>
      <c r="D18" s="18" t="n">
        <v>1733</v>
      </c>
      <c r="E18" s="18" t="n">
        <v>11341</v>
      </c>
      <c r="F18" s="18" t="n">
        <v>5232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26257</v>
      </c>
      <c r="C21" s="24" t="n">
        <v>25640</v>
      </c>
      <c r="D21" s="24" t="n">
        <v>31309</v>
      </c>
      <c r="E21" s="24" t="n">
        <v>40584</v>
      </c>
      <c r="F21" s="24" t="n">
        <v>35064</v>
      </c>
    </row>
    <row r="22">
      <c r="A22" s="17" t="inlineStr">
        <is>
          <t>(17) Long-Term Debt</t>
        </is>
      </c>
      <c r="B22" s="18" t="n">
        <v>9018</v>
      </c>
      <c r="C22" s="18" t="n">
        <v>8416</v>
      </c>
      <c r="D22" s="18" t="n">
        <v>6658</v>
      </c>
      <c r="E22" s="18" t="n">
        <v>19632</v>
      </c>
      <c r="F22" s="18" t="n">
        <v>22861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56222</v>
      </c>
      <c r="C25" s="24" t="n">
        <v>54229</v>
      </c>
      <c r="D25" s="24" t="n">
        <v>57499</v>
      </c>
      <c r="E25" s="24" t="n">
        <v>78956</v>
      </c>
      <c r="F25" s="24" t="n">
        <v>75448</v>
      </c>
    </row>
    <row r="26" ht="6" customHeight="1"/>
    <row r="27">
      <c r="A27" s="17" t="inlineStr">
        <is>
          <t>(21) Common Stock &amp; APIC</t>
        </is>
      </c>
      <c r="B27" s="18" t="n">
        <v>42346</v>
      </c>
      <c r="C27" s="18" t="n">
        <v>42714</v>
      </c>
      <c r="D27" s="18" t="n">
        <v>44289</v>
      </c>
      <c r="E27" s="18" t="n">
        <v>45800</v>
      </c>
      <c r="F27" s="18" t="n">
        <v>47747</v>
      </c>
    </row>
    <row r="28">
      <c r="A28" s="17" t="inlineStr">
        <is>
          <t>(22) Retained Earnings</t>
        </is>
      </c>
      <c r="B28" s="18" t="n">
        <v>-654</v>
      </c>
      <c r="C28" s="18" t="n">
        <v>-1319</v>
      </c>
      <c r="D28" s="18" t="n">
        <v>1639</v>
      </c>
      <c r="E28" s="18" t="n">
        <v>1087</v>
      </c>
      <c r="F28" s="18" t="n">
        <v>50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41275</v>
      </c>
      <c r="C30" s="24" t="n">
        <v>39773</v>
      </c>
      <c r="D30" s="24" t="n">
        <v>44353</v>
      </c>
      <c r="E30" s="24" t="n">
        <v>45457</v>
      </c>
      <c r="F30" s="24" t="n">
        <v>46843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9175</v>
      </c>
      <c r="C36" s="18" t="n">
        <v>7079</v>
      </c>
      <c r="D36" s="18" t="n">
        <v>10123</v>
      </c>
      <c r="E36" s="18" t="n">
        <v>7508</v>
      </c>
      <c r="F36" s="18" t="n">
        <v>8346</v>
      </c>
    </row>
    <row r="37">
      <c r="A37" s="17" t="inlineStr">
        <is>
          <t>Short-Term Investments</t>
        </is>
      </c>
      <c r="B37" s="18" t="n">
        <v>15343</v>
      </c>
      <c r="C37" s="18" t="n">
        <v>12188</v>
      </c>
      <c r="D37" s="18" t="n">
        <v>16023</v>
      </c>
      <c r="E37" s="18" t="n">
        <v>10346</v>
      </c>
      <c r="F37" s="18" t="n">
        <v>7764</v>
      </c>
    </row>
    <row r="38">
      <c r="A38" s="28" t="inlineStr">
        <is>
          <t>Cash &amp; Short-Term Investments</t>
        </is>
      </c>
      <c r="B38" s="29" t="n">
        <v>24518</v>
      </c>
      <c r="C38" s="29" t="n">
        <v>19267</v>
      </c>
      <c r="D38" s="29" t="n">
        <v>26146</v>
      </c>
      <c r="E38" s="29" t="n">
        <v>17854</v>
      </c>
      <c r="F38" s="29" t="n">
        <v>16110</v>
      </c>
    </row>
    <row r="39">
      <c r="A39" s="17" t="inlineStr">
        <is>
          <t>Accounts Receivable (Trade)</t>
        </is>
      </c>
      <c r="B39" s="18" t="n">
        <v>10146</v>
      </c>
      <c r="C39" s="18" t="n">
        <v>6622</v>
      </c>
      <c r="D39" s="18" t="n">
        <v>9206</v>
      </c>
      <c r="E39" s="18" t="n">
        <v>6685</v>
      </c>
      <c r="F39" s="18" t="n">
        <v>6701</v>
      </c>
    </row>
    <row r="40">
      <c r="A40" s="17" t="inlineStr">
        <is>
          <t>Other Receivables</t>
        </is>
      </c>
      <c r="B40" s="18" t="n">
        <v>0</v>
      </c>
      <c r="C40" s="18" t="n">
        <v>3905</v>
      </c>
      <c r="D40" s="18" t="n">
        <v>0</v>
      </c>
      <c r="E40" s="18" t="n">
        <v>3338</v>
      </c>
      <c r="F40" s="18" t="n">
        <v>3061</v>
      </c>
    </row>
    <row r="41">
      <c r="A41" s="28" t="inlineStr">
        <is>
          <t>Net Receivables (Total)</t>
        </is>
      </c>
      <c r="B41" s="29" t="n">
        <v>10146</v>
      </c>
      <c r="C41" s="29" t="n">
        <v>10527</v>
      </c>
      <c r="D41" s="29" t="n">
        <v>9206</v>
      </c>
      <c r="E41" s="29" t="n">
        <v>10023</v>
      </c>
      <c r="F41" s="29" t="n">
        <v>9762</v>
      </c>
    </row>
    <row r="42">
      <c r="A42" s="17" t="inlineStr">
        <is>
          <t>Inventory</t>
        </is>
      </c>
      <c r="B42" s="18" t="n">
        <v>1559</v>
      </c>
      <c r="C42" s="18" t="n">
        <v>2568</v>
      </c>
      <c r="D42" s="18" t="n">
        <v>3644</v>
      </c>
      <c r="E42" s="18" t="n">
        <v>3373</v>
      </c>
      <c r="F42" s="18" t="n">
        <v>3164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2889</v>
      </c>
      <c r="C44" s="18" t="n">
        <v>4355</v>
      </c>
      <c r="D44" s="18" t="n">
        <v>4352</v>
      </c>
      <c r="E44" s="18" t="n">
        <v>5612</v>
      </c>
      <c r="F44" s="18" t="n">
        <v>5950</v>
      </c>
    </row>
    <row r="45">
      <c r="A45" s="26" t="inlineStr">
        <is>
          <t>Total Current Assets</t>
        </is>
      </c>
      <c r="B45" s="27" t="n">
        <v>39112</v>
      </c>
      <c r="C45" s="27" t="n">
        <v>36717</v>
      </c>
      <c r="D45" s="27" t="n">
        <v>43348</v>
      </c>
      <c r="E45" s="27" t="n">
        <v>36862</v>
      </c>
      <c r="F45" s="27" t="n">
        <v>34986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2338</v>
      </c>
      <c r="C47" s="18" t="n">
        <v>1997</v>
      </c>
      <c r="D47" s="18" t="n">
        <v>2085</v>
      </c>
      <c r="E47" s="18" t="n">
        <v>2090</v>
      </c>
      <c r="F47" s="18" t="n">
        <v>2113</v>
      </c>
    </row>
    <row r="48">
      <c r="A48" s="17" t="inlineStr">
        <is>
          <t>Goodwill</t>
        </is>
      </c>
      <c r="B48" s="18" t="n">
        <v>38168</v>
      </c>
      <c r="C48" s="18" t="n">
        <v>38304</v>
      </c>
      <c r="D48" s="18" t="n">
        <v>38535</v>
      </c>
      <c r="E48" s="18" t="n">
        <v>58660</v>
      </c>
      <c r="F48" s="18" t="n">
        <v>59136</v>
      </c>
    </row>
    <row r="49">
      <c r="A49" s="17" t="inlineStr">
        <is>
          <t>Intangible Assets</t>
        </is>
      </c>
      <c r="B49" s="18" t="n">
        <v>3619</v>
      </c>
      <c r="C49" s="18" t="n">
        <v>2569</v>
      </c>
      <c r="D49" s="18" t="n">
        <v>1818</v>
      </c>
      <c r="E49" s="18" t="n">
        <v>11219</v>
      </c>
      <c r="F49" s="18" t="n">
        <v>9175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4360</v>
      </c>
      <c r="C51" s="18" t="n">
        <v>4449</v>
      </c>
      <c r="D51" s="18" t="n">
        <v>6576</v>
      </c>
      <c r="E51" s="18" t="n">
        <v>6262</v>
      </c>
      <c r="F51" s="18" t="n">
        <v>7356</v>
      </c>
    </row>
    <row r="52">
      <c r="A52" s="17" t="inlineStr">
        <is>
          <t>Total Investments</t>
        </is>
      </c>
      <c r="B52" s="18" t="n">
        <v>15343</v>
      </c>
      <c r="C52" s="18" t="n">
        <v>12188</v>
      </c>
      <c r="D52" s="18" t="n">
        <v>16023</v>
      </c>
      <c r="E52" s="18" t="n">
        <v>10346</v>
      </c>
      <c r="F52" s="18" t="n">
        <v>7764</v>
      </c>
    </row>
    <row r="53">
      <c r="A53" s="17" t="inlineStr">
        <is>
          <t>Other Non-Current Assets</t>
        </is>
      </c>
      <c r="B53" s="18" t="n">
        <v>9900</v>
      </c>
      <c r="C53" s="18" t="n">
        <v>9966</v>
      </c>
      <c r="D53" s="18" t="n">
        <v>9490</v>
      </c>
      <c r="E53" s="18" t="n">
        <v>9320</v>
      </c>
      <c r="F53" s="18" t="n">
        <v>9525</v>
      </c>
    </row>
    <row r="54">
      <c r="A54" s="26" t="inlineStr">
        <is>
          <t>Total Non-Current Assets</t>
        </is>
      </c>
      <c r="B54" s="27" t="n">
        <v>58385</v>
      </c>
      <c r="C54" s="27" t="n">
        <v>57285</v>
      </c>
      <c r="D54" s="27" t="n">
        <v>58504</v>
      </c>
      <c r="E54" s="27" t="n">
        <v>87551</v>
      </c>
      <c r="F54" s="27" t="n">
        <v>87305</v>
      </c>
    </row>
    <row r="55">
      <c r="A55" s="13" t="inlineStr">
        <is>
          <t>TOTAL ASSETS</t>
        </is>
      </c>
      <c r="B55" s="30" t="n">
        <v>97497</v>
      </c>
      <c r="C55" s="30" t="n">
        <v>94002</v>
      </c>
      <c r="D55" s="30" t="n">
        <v>101852</v>
      </c>
      <c r="E55" s="30" t="n">
        <v>124413</v>
      </c>
      <c r="F55" s="30" t="n">
        <v>122291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2362</v>
      </c>
      <c r="C57" s="18" t="n">
        <v>2281</v>
      </c>
      <c r="D57" s="18" t="n">
        <v>2313</v>
      </c>
      <c r="E57" s="18" t="n">
        <v>2304</v>
      </c>
      <c r="F57" s="18" t="n">
        <v>2528</v>
      </c>
    </row>
    <row r="58">
      <c r="A58" s="17" t="inlineStr">
        <is>
          <t>Short-Term Debt</t>
        </is>
      </c>
      <c r="B58" s="18" t="n">
        <v>2508</v>
      </c>
      <c r="C58" s="18" t="n">
        <v>1421</v>
      </c>
      <c r="D58" s="18" t="n">
        <v>1733</v>
      </c>
      <c r="E58" s="18" t="n">
        <v>11341</v>
      </c>
      <c r="F58" s="18" t="n">
        <v>5232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12148</v>
      </c>
      <c r="C60" s="18" t="n">
        <v>12784</v>
      </c>
      <c r="D60" s="18" t="n">
        <v>13908</v>
      </c>
      <c r="E60" s="18" t="n">
        <v>16249</v>
      </c>
      <c r="F60" s="18" t="n">
        <v>16416</v>
      </c>
    </row>
    <row r="61">
      <c r="A61" s="17" t="inlineStr">
        <is>
          <t>Accrued &amp; Other Current Liabilities</t>
        </is>
      </c>
      <c r="B61" s="18" t="n">
        <v>8438</v>
      </c>
      <c r="C61" s="18" t="n">
        <v>4877</v>
      </c>
      <c r="D61" s="18" t="n">
        <v>9120</v>
      </c>
      <c r="E61" s="18" t="n">
        <v>9251</v>
      </c>
      <c r="F61" s="18" t="n">
        <v>9031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26257</v>
      </c>
      <c r="C63" s="27" t="n">
        <v>25640</v>
      </c>
      <c r="D63" s="27" t="n">
        <v>31309</v>
      </c>
      <c r="E63" s="27" t="n">
        <v>40584</v>
      </c>
      <c r="F63" s="27" t="n">
        <v>35064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9018</v>
      </c>
      <c r="C65" s="18" t="n">
        <v>8416</v>
      </c>
      <c r="D65" s="18" t="n">
        <v>6658</v>
      </c>
      <c r="E65" s="18" t="n">
        <v>19632</v>
      </c>
      <c r="F65" s="18" t="n">
        <v>22861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10016</v>
      </c>
      <c r="C67" s="18" t="n">
        <v>10480</v>
      </c>
      <c r="D67" s="18" t="n">
        <v>11642</v>
      </c>
      <c r="E67" s="18" t="n">
        <v>12226</v>
      </c>
      <c r="F67" s="18" t="n">
        <v>12363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10931</v>
      </c>
      <c r="C69" s="18" t="n">
        <v>8969</v>
      </c>
      <c r="D69" s="18" t="n">
        <v>7890</v>
      </c>
      <c r="E69" s="18" t="n">
        <v>6514</v>
      </c>
      <c r="F69" s="18" t="n">
        <v>5160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56222</v>
      </c>
      <c r="C71" s="30" t="n">
        <v>54229</v>
      </c>
      <c r="D71" s="30" t="n">
        <v>57499</v>
      </c>
      <c r="E71" s="30" t="n">
        <v>78956</v>
      </c>
      <c r="F71" s="30" t="n">
        <v>75448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42346</v>
      </c>
      <c r="C73" s="18" t="n">
        <v>42714</v>
      </c>
      <c r="D73" s="18" t="n">
        <v>44289</v>
      </c>
      <c r="E73" s="18" t="n">
        <v>45800</v>
      </c>
      <c r="F73" s="18" t="n">
        <v>47747</v>
      </c>
    </row>
    <row r="74">
      <c r="A74" s="17" t="inlineStr">
        <is>
          <t>Retained Earnings</t>
        </is>
      </c>
      <c r="B74" s="18" t="n">
        <v>-654</v>
      </c>
      <c r="C74" s="18" t="n">
        <v>-1319</v>
      </c>
      <c r="D74" s="18" t="n">
        <v>1639</v>
      </c>
      <c r="E74" s="18" t="n">
        <v>1087</v>
      </c>
      <c r="F74" s="18" t="n">
        <v>50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41275</v>
      </c>
      <c r="C78" s="27" t="n">
        <v>39773</v>
      </c>
      <c r="D78" s="27" t="n">
        <v>44353</v>
      </c>
      <c r="E78" s="27" t="n">
        <v>45457</v>
      </c>
      <c r="F78" s="27" t="n">
        <v>46843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15454</v>
      </c>
      <c r="C5" s="24" t="n">
        <v>13226</v>
      </c>
      <c r="D5" s="24" t="n">
        <v>19886</v>
      </c>
      <c r="E5" s="24" t="n">
        <v>10880</v>
      </c>
      <c r="F5" s="24" t="n">
        <v>14193</v>
      </c>
    </row>
    <row r="6">
      <c r="A6" s="17" t="inlineStr">
        <is>
          <t>(2)  Capital Expenditures</t>
        </is>
      </c>
      <c r="B6" s="18" t="n">
        <v>-692</v>
      </c>
      <c r="C6" s="18" t="n">
        <v>-477</v>
      </c>
      <c r="D6" s="18" t="n">
        <v>-849</v>
      </c>
      <c r="E6" s="18" t="n">
        <v>-670</v>
      </c>
      <c r="F6" s="18" t="n">
        <v>-905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-3005</v>
      </c>
      <c r="C9" s="18" t="n">
        <v>-1895</v>
      </c>
      <c r="D9" s="18" t="n">
        <v>-1102</v>
      </c>
      <c r="E9" s="18" t="n">
        <v>19330</v>
      </c>
      <c r="F9" s="18" t="n">
        <v>-2812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643</v>
      </c>
      <c r="C11" s="18" t="n">
        <v>660</v>
      </c>
      <c r="D11" s="18" t="n">
        <v>700</v>
      </c>
      <c r="E11" s="18" t="n">
        <v>714</v>
      </c>
      <c r="F11" s="18" t="n">
        <v>736</v>
      </c>
    </row>
    <row r="12">
      <c r="A12" s="17" t="inlineStr">
        <is>
          <t>(7)  Dividends Paid</t>
        </is>
      </c>
      <c r="B12" s="18" t="n">
        <v>-6163</v>
      </c>
      <c r="C12" s="18" t="n">
        <v>-6224</v>
      </c>
      <c r="D12" s="18" t="n">
        <v>-6302</v>
      </c>
      <c r="E12" s="18" t="n">
        <v>-6384</v>
      </c>
      <c r="F12" s="18" t="n">
        <v>-6437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14762</v>
      </c>
      <c r="C15" s="24" t="n">
        <v>12749</v>
      </c>
      <c r="D15" s="24" t="n">
        <v>19037</v>
      </c>
      <c r="E15" s="24" t="n">
        <v>10210</v>
      </c>
      <c r="F15" s="24" t="n">
        <v>13288</v>
      </c>
    </row>
    <row r="16">
      <c r="A16" s="15" t="inlineStr">
        <is>
          <t xml:space="preserve">     Net Change in Cash</t>
        </is>
      </c>
      <c r="B16" s="16" t="n">
        <v>-1870</v>
      </c>
      <c r="C16" s="16" t="n">
        <v>-1363</v>
      </c>
      <c r="D16" s="16" t="n">
        <v>3048</v>
      </c>
      <c r="E16" s="16" t="n">
        <v>-2785</v>
      </c>
      <c r="F16" s="16" t="n">
        <v>-677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10591</v>
      </c>
      <c r="C21" s="18" t="n">
        <v>11812</v>
      </c>
      <c r="D21" s="18" t="n">
        <v>12613</v>
      </c>
      <c r="E21" s="18" t="n">
        <v>10320</v>
      </c>
      <c r="F21" s="18" t="n">
        <v>10453</v>
      </c>
    </row>
    <row r="22">
      <c r="A22" s="17" t="inlineStr">
        <is>
          <t>Depreciation &amp; Amortisation</t>
        </is>
      </c>
      <c r="B22" s="18" t="n">
        <v>1862</v>
      </c>
      <c r="C22" s="18" t="n">
        <v>1957</v>
      </c>
      <c r="D22" s="18" t="n">
        <v>1726</v>
      </c>
      <c r="E22" s="18" t="n">
        <v>2507</v>
      </c>
      <c r="F22" s="18" t="n">
        <v>2811</v>
      </c>
    </row>
    <row r="23">
      <c r="A23" s="17" t="inlineStr">
        <is>
          <t>Deferred Income Tax</t>
        </is>
      </c>
      <c r="B23" s="18" t="n">
        <v>-384</v>
      </c>
      <c r="C23" s="18" t="n">
        <v>-309</v>
      </c>
      <c r="D23" s="18" t="n">
        <v>-2085</v>
      </c>
      <c r="E23" s="18" t="n">
        <v>-972</v>
      </c>
      <c r="F23" s="18" t="n">
        <v>-1051</v>
      </c>
    </row>
    <row r="24">
      <c r="A24" s="17" t="inlineStr">
        <is>
          <t>Stock-Based Compensation</t>
        </is>
      </c>
      <c r="B24" s="18" t="n">
        <v>1761</v>
      </c>
      <c r="C24" s="18" t="n">
        <v>1886</v>
      </c>
      <c r="D24" s="18" t="n">
        <v>2353</v>
      </c>
      <c r="E24" s="18" t="n">
        <v>3074</v>
      </c>
      <c r="F24" s="18" t="n">
        <v>3641</v>
      </c>
    </row>
    <row r="25">
      <c r="A25" s="17" t="inlineStr">
        <is>
          <t>Change in Working Capital</t>
        </is>
      </c>
      <c r="B25" s="18" t="n">
        <v>1984</v>
      </c>
      <c r="C25" s="18" t="n">
        <v>-1722</v>
      </c>
      <c r="D25" s="18" t="n">
        <v>5042</v>
      </c>
      <c r="E25" s="18" t="n">
        <v>-4298</v>
      </c>
      <c r="F25" s="18" t="n">
        <v>-1647</v>
      </c>
    </row>
    <row r="26">
      <c r="A26" s="21" t="inlineStr">
        <is>
          <t xml:space="preserve">  — Accounts Receivable</t>
        </is>
      </c>
      <c r="B26" s="18" t="n">
        <v>1470</v>
      </c>
      <c r="C26" s="18" t="n">
        <v>-1009</v>
      </c>
      <c r="D26" s="18" t="n">
        <v>1836</v>
      </c>
      <c r="E26" s="18" t="n">
        <v>-213</v>
      </c>
      <c r="F26" s="18" t="n">
        <v>192</v>
      </c>
    </row>
    <row r="27">
      <c r="A27" s="21" t="inlineStr">
        <is>
          <t xml:space="preserve">  — Inventory</t>
        </is>
      </c>
      <c r="B27" s="18" t="n">
        <v>-244</v>
      </c>
      <c r="C27" s="18" t="n">
        <v>-1030</v>
      </c>
      <c r="D27" s="18" t="n">
        <v>-1069</v>
      </c>
      <c r="E27" s="18" t="n">
        <v>275</v>
      </c>
      <c r="F27" s="18" t="n">
        <v>278</v>
      </c>
    </row>
    <row r="28">
      <c r="A28" s="21" t="inlineStr">
        <is>
          <t xml:space="preserve">  — Accounts Payable</t>
        </is>
      </c>
      <c r="B28" s="18" t="n">
        <v>-53</v>
      </c>
      <c r="C28" s="18" t="n">
        <v>-55</v>
      </c>
      <c r="D28" s="18" t="n">
        <v>27</v>
      </c>
      <c r="E28" s="18" t="n">
        <v>-90</v>
      </c>
      <c r="F28" s="18" t="n">
        <v>257</v>
      </c>
    </row>
    <row r="29">
      <c r="A29" s="21" t="inlineStr">
        <is>
          <t xml:space="preserve">  — Other Working Capital</t>
        </is>
      </c>
      <c r="B29" s="18" t="n">
        <v>811</v>
      </c>
      <c r="C29" s="18" t="n">
        <v>372</v>
      </c>
      <c r="D29" s="18" t="n">
        <v>4248</v>
      </c>
      <c r="E29" s="18" t="n">
        <v>-4270</v>
      </c>
      <c r="F29" s="18" t="n">
        <v>-2374</v>
      </c>
    </row>
    <row r="30">
      <c r="A30" s="17" t="inlineStr">
        <is>
          <t>Other Non-Cash Items</t>
        </is>
      </c>
      <c r="B30" s="18" t="n">
        <v>-360</v>
      </c>
      <c r="C30" s="18" t="n">
        <v>-398</v>
      </c>
      <c r="D30" s="18" t="n">
        <v>237</v>
      </c>
      <c r="E30" s="18" t="n">
        <v>249</v>
      </c>
      <c r="F30" s="18" t="n">
        <v>-14</v>
      </c>
    </row>
    <row r="31">
      <c r="A31" s="26" t="inlineStr">
        <is>
          <t>Net Cash from Operations (CFO)</t>
        </is>
      </c>
      <c r="B31" s="27" t="n">
        <v>15454</v>
      </c>
      <c r="C31" s="27" t="n">
        <v>13226</v>
      </c>
      <c r="D31" s="27" t="n">
        <v>19886</v>
      </c>
      <c r="E31" s="27" t="n">
        <v>10880</v>
      </c>
      <c r="F31" s="27" t="n">
        <v>14193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-692</v>
      </c>
      <c r="C33" s="18" t="n">
        <v>-477</v>
      </c>
      <c r="D33" s="18" t="n">
        <v>-849</v>
      </c>
      <c r="E33" s="18" t="n">
        <v>-670</v>
      </c>
      <c r="F33" s="18" t="n">
        <v>-905</v>
      </c>
    </row>
    <row r="34">
      <c r="A34" s="21" t="inlineStr">
        <is>
          <t xml:space="preserve">  (Alt: Invest. in PP&amp;E)</t>
        </is>
      </c>
      <c r="B34" s="18" t="n">
        <v>-692</v>
      </c>
      <c r="C34" s="18" t="n">
        <v>-477</v>
      </c>
      <c r="D34" s="18" t="n">
        <v>-849</v>
      </c>
      <c r="E34" s="18" t="n">
        <v>-670</v>
      </c>
      <c r="F34" s="18" t="n">
        <v>-905</v>
      </c>
    </row>
    <row r="35">
      <c r="A35" s="17" t="inlineStr">
        <is>
          <t>Acquisitions (Net)</t>
        </is>
      </c>
      <c r="B35" s="18" t="n">
        <v>-7038</v>
      </c>
      <c r="C35" s="18" t="n">
        <v>-373</v>
      </c>
      <c r="D35" s="18" t="n">
        <v>-301</v>
      </c>
      <c r="E35" s="18" t="n">
        <v>-25994</v>
      </c>
      <c r="F35" s="18" t="n">
        <v>-291</v>
      </c>
    </row>
    <row r="36">
      <c r="A36" s="17" t="inlineStr">
        <is>
          <t>Purchases of Investments</t>
        </is>
      </c>
      <c r="B36" s="18" t="n">
        <v>-9503</v>
      </c>
      <c r="C36" s="18" t="n">
        <v>-6256</v>
      </c>
      <c r="D36" s="18" t="n">
        <v>-11056</v>
      </c>
      <c r="E36" s="18" t="n">
        <v>-4514</v>
      </c>
      <c r="F36" s="18" t="n">
        <v>-4972</v>
      </c>
    </row>
    <row r="37">
      <c r="A37" s="17" t="inlineStr">
        <is>
          <t>Sales / Maturities of Investments</t>
        </is>
      </c>
      <c r="B37" s="18" t="n">
        <v>11976</v>
      </c>
      <c r="C37" s="18" t="n">
        <v>8583</v>
      </c>
      <c r="D37" s="18" t="n">
        <v>7122</v>
      </c>
      <c r="E37" s="18" t="n">
        <v>10705</v>
      </c>
      <c r="F37" s="18" t="n">
        <v>7892</v>
      </c>
    </row>
    <row r="38">
      <c r="A38" s="17" t="inlineStr">
        <is>
          <t>Other Investing Activities</t>
        </is>
      </c>
      <c r="B38" s="18" t="n">
        <v>-28</v>
      </c>
      <c r="C38" s="18" t="n">
        <v>76</v>
      </c>
      <c r="D38" s="18" t="n">
        <v>-23</v>
      </c>
      <c r="E38" s="18" t="n">
        <v>-5</v>
      </c>
      <c r="F38" s="18" t="n">
        <v>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-3005</v>
      </c>
      <c r="C41" s="18" t="n">
        <v>-1895</v>
      </c>
      <c r="D41" s="18" t="n">
        <v>-1102</v>
      </c>
      <c r="E41" s="18" t="n">
        <v>19330</v>
      </c>
      <c r="F41" s="18" t="n">
        <v>-2812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643</v>
      </c>
      <c r="C43" s="18" t="n">
        <v>660</v>
      </c>
      <c r="D43" s="18" t="n">
        <v>700</v>
      </c>
      <c r="E43" s="18" t="n">
        <v>714</v>
      </c>
      <c r="F43" s="18" t="n">
        <v>736</v>
      </c>
    </row>
    <row r="44">
      <c r="A44" s="17" t="inlineStr">
        <is>
          <t>Common Stock Repurchased (Buybacks)</t>
        </is>
      </c>
      <c r="B44" s="18" t="n">
        <v>-3513</v>
      </c>
      <c r="C44" s="18" t="n">
        <v>-8381</v>
      </c>
      <c r="D44" s="18" t="n">
        <v>-4890</v>
      </c>
      <c r="E44" s="18" t="n">
        <v>-6779</v>
      </c>
      <c r="F44" s="18" t="n">
        <v>-7222</v>
      </c>
    </row>
    <row r="45">
      <c r="A45" s="17" t="inlineStr">
        <is>
          <t>Dividends Paid</t>
        </is>
      </c>
      <c r="B45" s="18" t="n">
        <v>-6163</v>
      </c>
      <c r="C45" s="18" t="n">
        <v>-6224</v>
      </c>
      <c r="D45" s="18" t="n">
        <v>-6302</v>
      </c>
      <c r="E45" s="18" t="n">
        <v>-6384</v>
      </c>
      <c r="F45" s="18" t="n">
        <v>-6437</v>
      </c>
    </row>
    <row r="46">
      <c r="A46" s="17" t="inlineStr">
        <is>
          <t>Other Financing Activities</t>
        </is>
      </c>
      <c r="B46" s="18" t="n">
        <v>-59</v>
      </c>
      <c r="C46" s="18" t="n">
        <v>-122</v>
      </c>
      <c r="D46" s="18" t="n">
        <v>-32</v>
      </c>
      <c r="E46" s="18" t="n">
        <v>-37</v>
      </c>
      <c r="F46" s="18" t="n">
        <v>-80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58</v>
      </c>
      <c r="C49" s="18" t="n">
        <v>-180</v>
      </c>
      <c r="D49" s="18" t="n">
        <v>-105</v>
      </c>
      <c r="E49" s="18" t="n">
        <v>-31</v>
      </c>
      <c r="F49" s="18" t="n">
        <v>-788</v>
      </c>
    </row>
    <row r="50">
      <c r="A50" s="15" t="inlineStr">
        <is>
          <t>Net Change in Cash</t>
        </is>
      </c>
      <c r="B50" s="16" t="n">
        <v>-1870</v>
      </c>
      <c r="C50" s="16" t="n">
        <v>-1363</v>
      </c>
      <c r="D50" s="16" t="n">
        <v>3048</v>
      </c>
      <c r="E50" s="16" t="n">
        <v>-2785</v>
      </c>
      <c r="F50" s="16" t="n">
        <v>-677</v>
      </c>
    </row>
    <row r="51">
      <c r="A51" s="17" t="inlineStr">
        <is>
          <t>Cash at Beginning of Period</t>
        </is>
      </c>
      <c r="B51" s="18" t="n">
        <v>11812</v>
      </c>
      <c r="C51" s="18" t="n">
        <v>9942</v>
      </c>
      <c r="D51" s="18" t="n">
        <v>8579</v>
      </c>
      <c r="E51" s="18" t="n">
        <v>11627</v>
      </c>
      <c r="F51" s="18" t="n">
        <v>9023</v>
      </c>
    </row>
    <row r="52">
      <c r="A52" s="26" t="inlineStr">
        <is>
          <t>Cash at End of Period</t>
        </is>
      </c>
      <c r="B52" s="27" t="n">
        <v>9942</v>
      </c>
      <c r="C52" s="27" t="n">
        <v>8579</v>
      </c>
      <c r="D52" s="27" t="n">
        <v>11627</v>
      </c>
      <c r="E52" s="27" t="n">
        <v>8842</v>
      </c>
      <c r="F52" s="27" t="n">
        <v>8346</v>
      </c>
    </row>
    <row r="53">
      <c r="A53" s="26" t="inlineStr">
        <is>
          <t>Free Cash Flow</t>
        </is>
      </c>
      <c r="B53" s="27" t="n">
        <v>14762</v>
      </c>
      <c r="C53" s="27" t="n">
        <v>12749</v>
      </c>
      <c r="D53" s="27" t="n">
        <v>19037</v>
      </c>
      <c r="E53" s="27" t="n">
        <v>10210</v>
      </c>
      <c r="F53" s="27" t="n">
        <v>13288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4236</v>
      </c>
      <c r="C61" s="18" t="n">
        <v>4192</v>
      </c>
      <c r="D61" s="18" t="n">
        <v>4105</v>
      </c>
      <c r="E61" s="18" t="n">
        <v>4062</v>
      </c>
      <c r="F61" s="18" t="n">
        <v>3998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4154</v>
      </c>
      <c r="C5" s="18" t="n">
        <v>4113</v>
      </c>
      <c r="D5" s="18" t="n">
        <v>4052</v>
      </c>
      <c r="E5" s="18" t="n">
        <v>4472</v>
      </c>
      <c r="F5" s="18" t="n">
        <v>5504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CSCO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474588.151745</v>
      </c>
      <c r="C5" s="44" t="inlineStr">
        <is>
          <t>FMP marketCap  |  price $120.41</t>
        </is>
      </c>
    </row>
    <row r="6">
      <c r="A6" s="17" t="inlineStr">
        <is>
          <t>Debt  (gross book value, $mm)</t>
        </is>
      </c>
      <c r="B6" s="43" t="n">
        <v>28093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0.912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0.9409999999999999</v>
      </c>
      <c r="C17" s="44" t="inlineStr">
        <is>
          <t>Mean-reversion toward market beta of 1.0</t>
        </is>
      </c>
    </row>
    <row r="18">
      <c r="A18" s="17" t="inlineStr">
        <is>
          <t>Damodaran industry unlevered  (Communication Equipment)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0.06x,  t = 8.3%)</t>
        </is>
      </c>
      <c r="B19" s="50" t="n">
        <v>1.054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0.969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7.4</v>
      </c>
      <c r="C33" s="44" t="inlineStr">
        <is>
          <t>EBIT $11760mm  /  Int Exp $1593mm</t>
        </is>
      </c>
    </row>
    <row r="34">
      <c r="A34" s="17" t="inlineStr">
        <is>
          <t>Synthetic rating  (Damodaran ICR table)</t>
        </is>
      </c>
      <c r="B34" s="53" t="inlineStr">
        <is>
          <t>A</t>
        </is>
      </c>
      <c r="C34" s="44" t="inlineStr">
        <is>
          <t>ICR 7.4x  →  A</t>
        </is>
      </c>
    </row>
    <row r="35">
      <c r="A35" s="17" t="inlineStr">
        <is>
          <t>Synthetic Rd  (Rf + Damodaran default spread)</t>
        </is>
      </c>
      <c r="B35" s="46" t="n">
        <v>0.05650000000000001</v>
      </c>
      <c r="C35" s="44" t="inlineStr">
        <is>
          <t>Rf 4.57% + spread 1.08%</t>
        </is>
      </c>
    </row>
    <row r="36">
      <c r="A36" s="17" t="inlineStr">
        <is>
          <t>Accounting Rd  (Gross int exp / Avg gross debt)</t>
        </is>
      </c>
      <c r="B36" s="46" t="n">
        <v>0.05393966071851827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0.0552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0.0829</v>
      </c>
      <c r="C40" s="44" t="inlineStr">
        <is>
          <t>FMP: $920mm  /  $11100mm</t>
        </is>
      </c>
    </row>
    <row r="41">
      <c r="A41" s="47" t="inlineStr">
        <is>
          <t>► Selected tax rate  (user override)</t>
        </is>
      </c>
      <c r="B41" s="48" t="n">
        <v>0.0829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CSCO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2028E  (3 years)   |   User estimates required from: 2029E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0.1103</v>
      </c>
      <c r="H7" s="72" t="n">
        <v>0.0915</v>
      </c>
      <c r="I7" s="72" t="n">
        <v>0.06759999999999999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0.3017</v>
      </c>
      <c r="H8" s="72" t="n">
        <v>0.3017</v>
      </c>
      <c r="I8" s="72" t="n">
        <v>0.3017</v>
      </c>
      <c r="J8" s="73">
        <f>I8</f>
        <v/>
      </c>
      <c r="K8" s="73">
        <f>I8</f>
        <v/>
      </c>
      <c r="L8" s="74" t="n">
        <v>0.2714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62901.4</v>
      </c>
      <c r="H15" s="78" t="n">
        <v>68655.5</v>
      </c>
      <c r="I15" s="78" t="n">
        <v>73298.39999999999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61,899 — 63,132</t>
        </is>
      </c>
      <c r="H16" s="83" t="inlineStr">
        <is>
          <t>64,110 — 71,309</t>
        </is>
      </c>
      <c r="I16" s="83" t="inlineStr">
        <is>
          <t>73,182 — 73,414</t>
        </is>
      </c>
      <c r="J16" s="84" t="inlineStr">
        <is>
          <t>—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17</v>
      </c>
      <c r="H17" s="86" t="n">
        <v>19</v>
      </c>
      <c r="I17" s="86" t="n">
        <v>19</v>
      </c>
      <c r="J17" s="84" t="inlineStr">
        <is>
          <t>—</t>
        </is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7" t="inlineStr">
        <is>
          <t>—</t>
        </is>
      </c>
      <c r="C18" s="88">
        <f>IFERROR(C15/B15-1,"")</f>
        <v/>
      </c>
      <c r="D18" s="88">
        <f>IFERROR(D15/C15-1,"")</f>
        <v/>
      </c>
      <c r="E18" s="88">
        <f>IFERROR(E15/D15-1,"")</f>
        <v/>
      </c>
      <c r="F18" s="88">
        <f>IFERROR(F15/E15-1,"")</f>
        <v/>
      </c>
      <c r="G18" s="89">
        <f>IFERROR(G15/F15-1,"")</f>
        <v/>
      </c>
      <c r="H18" s="89">
        <f>IFERROR(H15/G15-1,"")</f>
        <v/>
      </c>
      <c r="I18" s="89">
        <f>IFERROR(I15/H15-1,"")</f>
        <v/>
      </c>
      <c r="J18" s="90">
        <f>IFERROR(J15/I15-1,"")</f>
        <v/>
      </c>
      <c r="K18" s="90">
        <f>IFERROR(K15/J15-1,"")</f>
        <v/>
      </c>
      <c r="L18" s="91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18979.5</v>
      </c>
      <c r="H20" s="78" t="n">
        <v>20715.7</v>
      </c>
      <c r="I20" s="78" t="n">
        <v>22116.6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18,677 — 19,049</t>
        </is>
      </c>
      <c r="H21" s="83" t="inlineStr">
        <is>
          <t>19,344 — 21,516</t>
        </is>
      </c>
      <c r="I21" s="83" t="inlineStr">
        <is>
          <t>22,082 — 22,152</t>
        </is>
      </c>
      <c r="J21" s="84" t="inlineStr">
        <is>
          <t>—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8">
        <f>IFERROR(B20/B15,"")</f>
        <v/>
      </c>
      <c r="C22" s="88">
        <f>IFERROR(C20/C15,"")</f>
        <v/>
      </c>
      <c r="D22" s="88">
        <f>IFERROR(D20/D15,"")</f>
        <v/>
      </c>
      <c r="E22" s="88">
        <f>IFERROR(E20/E15,"")</f>
        <v/>
      </c>
      <c r="F22" s="88">
        <f>IFERROR(F20/F15,"")</f>
        <v/>
      </c>
      <c r="G22" s="89">
        <f>IFERROR(G20/G15,"")</f>
        <v/>
      </c>
      <c r="H22" s="89">
        <f>IFERROR(H20/H15,"")</f>
        <v/>
      </c>
      <c r="I22" s="89">
        <f>IFERROR(I20/I15,"")</f>
        <v/>
      </c>
      <c r="J22" s="90">
        <f>IFERROR(J20/J15,"")</f>
        <v/>
      </c>
      <c r="K22" s="90">
        <f>IFERROR(K20/K15,"")</f>
        <v/>
      </c>
      <c r="L22" s="91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2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3">
        <f>-G15*G9</f>
        <v/>
      </c>
      <c r="H25" s="93">
        <f>-H15*H9</f>
        <v/>
      </c>
      <c r="I25" s="93">
        <f>-I15*I9</f>
        <v/>
      </c>
      <c r="J25" s="79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4">
        <f>B20+B25</f>
        <v/>
      </c>
      <c r="C26" s="94">
        <f>C20+C25</f>
        <v/>
      </c>
      <c r="D26" s="94">
        <f>D20+D25</f>
        <v/>
      </c>
      <c r="E26" s="94">
        <f>E20+E25</f>
        <v/>
      </c>
      <c r="F26" s="94">
        <f>F20+F25</f>
        <v/>
      </c>
      <c r="G26" s="95">
        <f>G20+G25</f>
        <v/>
      </c>
      <c r="H26" s="95">
        <f>H20+H25</f>
        <v/>
      </c>
      <c r="I26" s="95">
        <f>I20+I25</f>
        <v/>
      </c>
      <c r="J26" s="95">
        <f>J20+J25</f>
        <v/>
      </c>
      <c r="K26" s="95">
        <f>K20+K25</f>
        <v/>
      </c>
      <c r="L26" s="95">
        <f>L20+L25</f>
        <v/>
      </c>
      <c r="M26" s="81">
        <f> EBITDA + D&amp;A  (GAAP operating income, EBIT)</f>
        <v/>
      </c>
    </row>
    <row r="27" ht="20" customHeight="1">
      <c r="A27" s="92" t="inlineStr">
        <is>
          <t xml:space="preserve">  Less: Tax on EBIT  (unlevered)</t>
        </is>
      </c>
      <c r="B27" s="96">
        <f>-B26*B12</f>
        <v/>
      </c>
      <c r="C27" s="96">
        <f>-C26*C12</f>
        <v/>
      </c>
      <c r="D27" s="96">
        <f>-D26*D12</f>
        <v/>
      </c>
      <c r="E27" s="96">
        <f>-E26*E12</f>
        <v/>
      </c>
      <c r="F27" s="96">
        <f>-F26*F12</f>
        <v/>
      </c>
      <c r="G27" s="97">
        <f>-G26*G12</f>
        <v/>
      </c>
      <c r="H27" s="97">
        <f>-H26*H12</f>
        <v/>
      </c>
      <c r="I27" s="97">
        <f>-I26*I12</f>
        <v/>
      </c>
      <c r="J27" s="97">
        <f>-J26*J12</f>
        <v/>
      </c>
      <c r="K27" s="97">
        <f>-K26*K12</f>
        <v/>
      </c>
      <c r="L27" s="97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4">
        <f>B26+B27</f>
        <v/>
      </c>
      <c r="C28" s="94">
        <f>C26+C27</f>
        <v/>
      </c>
      <c r="D28" s="94">
        <f>D26+D27</f>
        <v/>
      </c>
      <c r="E28" s="94">
        <f>E26+E27</f>
        <v/>
      </c>
      <c r="F28" s="94">
        <f>F26+F27</f>
        <v/>
      </c>
      <c r="G28" s="98">
        <f>G26+G27</f>
        <v/>
      </c>
      <c r="H28" s="98">
        <f>H26+H27</f>
        <v/>
      </c>
      <c r="I28" s="98">
        <f>I26+I27</f>
        <v/>
      </c>
      <c r="J28" s="98">
        <f>J26+J27</f>
        <v/>
      </c>
      <c r="K28" s="98">
        <f>K26+K27</f>
        <v/>
      </c>
      <c r="L28" s="98">
        <f>L26+L27</f>
        <v/>
      </c>
      <c r="M28" s="81">
        <f> EBIT × (1 − tax rate)</f>
        <v/>
      </c>
    </row>
    <row r="29" ht="20" customHeight="1">
      <c r="A29" s="92" t="inlineStr">
        <is>
          <t xml:space="preserve">  (+) D&amp;A add-back  (non-cash)</t>
        </is>
      </c>
      <c r="B29" s="96">
        <f>-B25</f>
        <v/>
      </c>
      <c r="C29" s="96">
        <f>-C25</f>
        <v/>
      </c>
      <c r="D29" s="96">
        <f>-D25</f>
        <v/>
      </c>
      <c r="E29" s="96">
        <f>-E25</f>
        <v/>
      </c>
      <c r="F29" s="96">
        <f>-F25</f>
        <v/>
      </c>
      <c r="G29" s="97">
        <f>-G25</f>
        <v/>
      </c>
      <c r="H29" s="97">
        <f>-H25</f>
        <v/>
      </c>
      <c r="I29" s="97">
        <f>-I25</f>
        <v/>
      </c>
      <c r="J29" s="97">
        <f>-J25</f>
        <v/>
      </c>
      <c r="K29" s="97">
        <f>-K25</f>
        <v/>
      </c>
      <c r="L29" s="97">
        <f>-L25</f>
        <v/>
      </c>
      <c r="M29" s="81">
        <f> D&amp;A added back (non-cash charge — converts NOPAT to cash basis)</f>
        <v/>
      </c>
    </row>
    <row r="30" ht="20" customHeight="1">
      <c r="A30" s="92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7">
        <f>-G15*G10</f>
        <v/>
      </c>
      <c r="H30" s="97">
        <f>-H15*H10</f>
        <v/>
      </c>
      <c r="I30" s="97">
        <f>-I15*I10</f>
        <v/>
      </c>
      <c r="J30" s="97">
        <f>-J15*J10</f>
        <v/>
      </c>
      <c r="K30" s="97">
        <f>-K15*K10</f>
        <v/>
      </c>
      <c r="L30" s="97">
        <f>-L15*L10</f>
        <v/>
      </c>
      <c r="M30" s="81">
        <f> Revenue × CapEx % assumption  (negative = cash outflow)</f>
        <v/>
      </c>
    </row>
    <row r="31" ht="20" customHeight="1">
      <c r="A31" s="92" t="inlineStr">
        <is>
          <t xml:space="preserve">  (−) Increase in Net Working Capital</t>
        </is>
      </c>
      <c r="B31" s="96" t="n"/>
      <c r="C31" s="96">
        <f>-(('Balance Sheet'!C9-'Balance Sheet'!C21)-('Balance Sheet'!B9-'Balance Sheet'!B21))</f>
        <v/>
      </c>
      <c r="D31" s="96">
        <f>-(('Balance Sheet'!D9-'Balance Sheet'!D21)-('Balance Sheet'!C9-'Balance Sheet'!C21))</f>
        <v/>
      </c>
      <c r="E31" s="96">
        <f>-(('Balance Sheet'!E9-'Balance Sheet'!E21)-('Balance Sheet'!D9-'Balance Sheet'!D21))</f>
        <v/>
      </c>
      <c r="F31" s="96">
        <f>-(('Balance Sheet'!F9-'Balance Sheet'!F21)-('Balance Sheet'!E9-'Balance Sheet'!E21))</f>
        <v/>
      </c>
      <c r="G31" s="97">
        <f>-G15*G11</f>
        <v/>
      </c>
      <c r="H31" s="97">
        <f>-H15*H11</f>
        <v/>
      </c>
      <c r="I31" s="97">
        <f>-I15*I11</f>
        <v/>
      </c>
      <c r="J31" s="97">
        <f>-J15*J11</f>
        <v/>
      </c>
      <c r="K31" s="97">
        <f>-K15*K11</f>
        <v/>
      </c>
      <c r="L31" s="97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4">
        <f>B28+B29+B30+B31</f>
        <v/>
      </c>
      <c r="C32" s="94">
        <f>C28+C29+C30+C31</f>
        <v/>
      </c>
      <c r="D32" s="94">
        <f>D28+D29+D30+D31</f>
        <v/>
      </c>
      <c r="E32" s="94">
        <f>E28+E29+E30+E31</f>
        <v/>
      </c>
      <c r="F32" s="94">
        <f>F28+F29+F30+F31</f>
        <v/>
      </c>
      <c r="G32" s="98">
        <f>G28+G29+G30+G31</f>
        <v/>
      </c>
      <c r="H32" s="98">
        <f>H28+H29+H30+H31</f>
        <v/>
      </c>
      <c r="I32" s="98">
        <f>I28+I29+I30+I31</f>
        <v/>
      </c>
      <c r="J32" s="98">
        <f>J28+J29+J30+J31</f>
        <v/>
      </c>
      <c r="K32" s="98">
        <f>K28+K29+K30+K31</f>
        <v/>
      </c>
      <c r="L32" s="98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8">
        <f>B32/B15</f>
        <v/>
      </c>
      <c r="C33" s="88">
        <f>C32/C15</f>
        <v/>
      </c>
      <c r="D33" s="88">
        <f>D32/D15</f>
        <v/>
      </c>
      <c r="E33" s="88">
        <f>E32/E15</f>
        <v/>
      </c>
      <c r="F33" s="88">
        <f>F32/F15</f>
        <v/>
      </c>
      <c r="G33" s="99">
        <f>IFERROR(G32/G15,"")</f>
        <v/>
      </c>
      <c r="H33" s="99">
        <f>IFERROR(H32/H15,"")</f>
        <v/>
      </c>
      <c r="I33" s="99">
        <f>IFERROR(I32/I15,"")</f>
        <v/>
      </c>
      <c r="J33" s="99">
        <f>IFERROR(J32/J15,"")</f>
        <v/>
      </c>
      <c r="K33" s="99">
        <f>IFERROR(K32/K15,"")</f>
        <v/>
      </c>
      <c r="L33" s="99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0">
        <f>WACC!B44</f>
        <v/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2" t="n">
        <v>0.025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75" t="inlineStr">
        <is>
          <t>Growth tier: LOW (3.4% 3yr avg rev growth).  Bear 2.00% / Base 2.5% / Bull 3.00%.  Keep below WACC.</t>
        </is>
      </c>
    </row>
    <row r="38" ht="20" customHeight="1">
      <c r="A38" s="69" t="inlineStr">
        <is>
          <t>Terminal EV/EBITDA Multiple  (exit multiple method)</t>
        </is>
      </c>
      <c r="B38" s="103" t="n">
        <v>11.4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75" t="inlineStr">
        <is>
          <t>Growth tier: LOW (3.4% 3yr avg rev growth).  Bear 9x / Base 11x / Bull 14x.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4" t="inlineStr">
        <is>
          <t>Terminal Year UFCF  (grown by g)</t>
        </is>
      </c>
      <c r="B40" s="105">
        <f>L32</f>
        <v/>
      </c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8">
        <f>B40/(B36-B37)</f>
        <v/>
      </c>
      <c r="C41" s="107" t="n"/>
      <c r="D41" s="107" t="n"/>
      <c r="E41" s="107" t="n"/>
      <c r="F41" s="107" t="n"/>
      <c r="G41" s="107" t="n"/>
      <c r="H41" s="107" t="n"/>
      <c r="I41" s="107" t="n"/>
      <c r="J41" s="107" t="n"/>
      <c r="K41" s="107" t="n"/>
      <c r="L41" s="107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8">
        <f>L20*B38</f>
        <v/>
      </c>
      <c r="C42" s="107" t="n"/>
      <c r="D42" s="107" t="n"/>
      <c r="E42" s="107" t="n"/>
      <c r="F42" s="107" t="n"/>
      <c r="G42" s="107" t="n"/>
      <c r="H42" s="107" t="n"/>
      <c r="I42" s="107" t="n"/>
      <c r="J42" s="107" t="n"/>
      <c r="K42" s="107" t="n"/>
      <c r="L42" s="107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4" t="inlineStr">
        <is>
          <t>Discount Period  (mid-year convention)</t>
        </is>
      </c>
      <c r="G45" s="108" t="n">
        <v>0.5</v>
      </c>
      <c r="H45" s="108" t="n">
        <v>1.5</v>
      </c>
      <c r="I45" s="108" t="n">
        <v>2.5</v>
      </c>
      <c r="J45" s="108" t="n">
        <v>3.5</v>
      </c>
      <c r="K45" s="108" t="n">
        <v>4.5</v>
      </c>
      <c r="L45" s="109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4" t="inlineStr">
        <is>
          <t>Discount Factor  =  1 / (1 + WACC) ^ period</t>
        </is>
      </c>
      <c r="G46" s="110">
        <f>1/(1+B36)^G45</f>
        <v/>
      </c>
      <c r="H46" s="110">
        <f>1/(1+B36)^H45</f>
        <v/>
      </c>
      <c r="I46" s="110">
        <f>1/(1+B36)^I45</f>
        <v/>
      </c>
      <c r="J46" s="110">
        <f>1/(1+B36)^J45</f>
        <v/>
      </c>
      <c r="K46" s="110">
        <f>1/(1+B36)^K45</f>
        <v/>
      </c>
      <c r="L46" s="111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8">
        <f>G32*G46</f>
        <v/>
      </c>
      <c r="H47" s="98">
        <f>H32*H46</f>
        <v/>
      </c>
      <c r="I47" s="98">
        <f>I32*I46</f>
        <v/>
      </c>
      <c r="J47" s="98">
        <f>J32*J46</f>
        <v/>
      </c>
      <c r="K47" s="98">
        <f>K32*K46</f>
        <v/>
      </c>
      <c r="L47" s="107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5">
        <f>G47+H47+I47+J47+K47</f>
        <v/>
      </c>
      <c r="C48" s="112" t="n"/>
      <c r="D48" s="112" t="n"/>
      <c r="E48" s="112" t="n"/>
      <c r="F48" s="112" t="n"/>
      <c r="G48" s="112" t="n"/>
      <c r="H48" s="112" t="n"/>
      <c r="I48" s="112" t="n"/>
      <c r="J48" s="112" t="n"/>
      <c r="K48" s="112" t="n"/>
      <c r="L48" s="112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5">
        <f>B41*L46</f>
        <v/>
      </c>
      <c r="C49" s="112" t="n"/>
      <c r="D49" s="112" t="n"/>
      <c r="E49" s="112" t="n"/>
      <c r="F49" s="112" t="n"/>
      <c r="G49" s="112" t="n"/>
      <c r="H49" s="112" t="n"/>
      <c r="I49" s="112" t="n"/>
      <c r="J49" s="112" t="n"/>
      <c r="K49" s="112" t="n"/>
      <c r="L49" s="112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5">
        <f>B42*L46</f>
        <v/>
      </c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2" t="n"/>
      <c r="L50" s="112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8">
        <f>B48+B49</f>
        <v/>
      </c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</row>
    <row r="54">
      <c r="A54" s="76" t="inlineStr">
        <is>
          <t>Enterprise Value  [Exit Multiple]</t>
        </is>
      </c>
      <c r="B54" s="98">
        <f>B48+B50</f>
        <v/>
      </c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</row>
    <row r="55" ht="20" customHeight="1">
      <c r="A55" s="92" t="inlineStr">
        <is>
          <t xml:space="preserve">  Less: Net Debt  (Debt − Cash)</t>
        </is>
      </c>
      <c r="B55" s="105">
        <f>'Balance Sheet'!F81</f>
        <v/>
      </c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81" t="inlineStr">
        <is>
          <t>Linked from Balance Sheet: Total Debt (ST+LT) − Cash &amp; Equivalents  (negative = net cash)</t>
        </is>
      </c>
    </row>
    <row r="56" ht="20" customHeight="1">
      <c r="A56" s="92" t="inlineStr">
        <is>
          <t xml:space="preserve">  Less: Minority Interest</t>
        </is>
      </c>
      <c r="B56" s="105" t="n">
        <v>0</v>
      </c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81" t="inlineStr">
        <is>
          <t>Auto-linked from Balance Sheet: minorityInterest</t>
        </is>
      </c>
    </row>
    <row r="57" ht="20" customHeight="1">
      <c r="A57" s="92" t="inlineStr">
        <is>
          <t xml:space="preserve">  Shares Outstanding — Diluted  (mm)</t>
        </is>
      </c>
      <c r="B57" s="105" t="n">
        <v>3998</v>
      </c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3">
        <f>IFERROR((B53-B55-B56)/B57,"")</f>
        <v/>
      </c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</row>
    <row r="60">
      <c r="A60" s="76" t="inlineStr">
        <is>
          <t>Implied Share Price  [Exit Multiple]  ($)</t>
        </is>
      </c>
      <c r="B60" s="113">
        <f>IFERROR((B54-B55-B56)/B57,"")</f>
        <v/>
      </c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</row>
    <row r="61" ht="20" customHeight="1">
      <c r="A61" s="104" t="inlineStr">
        <is>
          <t>Current Market Price  ($)</t>
        </is>
      </c>
      <c r="B61" s="114" t="n">
        <v>120.41</v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5">
        <f>IFERROR(B59/B61-1,"")</f>
        <v/>
      </c>
      <c r="C62" s="112" t="n"/>
      <c r="D62" s="112" t="n"/>
      <c r="E62" s="112" t="n"/>
      <c r="F62" s="112" t="n"/>
      <c r="G62" s="112" t="n"/>
      <c r="H62" s="112" t="n"/>
      <c r="I62" s="112" t="n"/>
      <c r="J62" s="112" t="n"/>
      <c r="K62" s="112" t="n"/>
      <c r="L62" s="112" t="n"/>
      <c r="M62" s="112" t="n"/>
    </row>
    <row r="63">
      <c r="A63" s="63" t="inlineStr">
        <is>
          <t>Upside / (Downside)  [Exit Multiple]</t>
        </is>
      </c>
      <c r="B63" s="115">
        <f>IFERROR(B60/B61-1,"")</f>
        <v/>
      </c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6" t="inlineStr">
        <is>
          <t>JS SCORECARD — CSCO  |  Master Prompt v2  |  25 May 2026  |  Sector bucket: Stable Compounder</t>
        </is>
      </c>
    </row>
    <row r="2" ht="18" customHeight="1">
      <c r="A2" s="117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8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9" t="inlineStr">
        <is>
          <t>CRITERION</t>
        </is>
      </c>
      <c r="B6" s="120" t="inlineStr">
        <is>
          <t>PART</t>
        </is>
      </c>
      <c r="C6" s="120" t="inlineStr">
        <is>
          <t>WEIGHT %</t>
        </is>
      </c>
      <c r="D6" s="120" t="inlineStr">
        <is>
          <t>CALCULATED VALUE</t>
        </is>
      </c>
      <c r="E6" s="120" t="inlineStr">
        <is>
          <t>TIER  ▼</t>
        </is>
      </c>
      <c r="F6" s="120" t="inlineStr">
        <is>
          <t>SCORE</t>
        </is>
      </c>
      <c r="G6" s="120" t="inlineStr">
        <is>
          <t>WTD SCORE</t>
        </is>
      </c>
      <c r="H6" s="119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1" t="inlineStr">
        <is>
          <t xml:space="preserve">  Business Clarity</t>
        </is>
      </c>
      <c r="B8" s="122" t="inlineStr">
        <is>
          <t>P1</t>
        </is>
      </c>
      <c r="C8" s="123" t="n">
        <v>0.025</v>
      </c>
      <c r="D8" s="124" t="inlineStr">
        <is>
          <t>— user input required</t>
        </is>
      </c>
      <c r="E8" s="125" t="n"/>
      <c r="F8" s="126">
        <f>IF(E8="HIGH",10,IF(E8="MOD-HIGH",7,IF(E8="MOD-LOW",3,IF(E8="LOW",0,""))))</f>
        <v/>
      </c>
      <c r="G8" s="127">
        <f>IF(F8="",0,C8*F8*10)</f>
        <v/>
      </c>
      <c r="H8" s="128" t="inlineStr"/>
    </row>
    <row r="9" ht="18" customHeight="1">
      <c r="A9" s="129" t="inlineStr">
        <is>
          <t xml:space="preserve">  Moat Profile</t>
        </is>
      </c>
      <c r="B9" s="130" t="inlineStr">
        <is>
          <t>P1</t>
        </is>
      </c>
      <c r="C9" s="131" t="n">
        <v>0.1</v>
      </c>
      <c r="D9" s="132" t="inlineStr">
        <is>
          <t>GM 64.9% ✓ (&gt;40%)  |  GM trend +2.4% ✓ (&gt;+1pp)  |  ROIC-WACC +8.0% ✓ (&gt;+5pp)  |  Rev consistency σ=5.8% ✓ (&lt;8%)  [4/4 indicators positive — proxy score]</t>
        </is>
      </c>
      <c r="E9" s="133" t="inlineStr">
        <is>
          <t>HIGH</t>
        </is>
      </c>
      <c r="F9" s="134" t="n">
        <v>10</v>
      </c>
      <c r="G9" s="135">
        <f>IF(F9="",0,C9*F9*10)</f>
        <v/>
      </c>
      <c r="H9" s="136" t="inlineStr">
        <is>
          <t>GM 64.9% ✓ (&gt;40%)  |  GM trend +2.4% ✓ (&gt;+1pp)  |  ROIC-WACC +8.0% ✓ (&gt;+5pp)  |  Rev consistency σ=5.8% ✓ (&lt;8%)  [4/4 indicators positive — proxy score]</t>
        </is>
      </c>
    </row>
    <row r="10" ht="18" customHeight="1">
      <c r="A10" s="121" t="inlineStr">
        <is>
          <t xml:space="preserve">  Long-Term Potential</t>
        </is>
      </c>
      <c r="B10" s="122" t="inlineStr">
        <is>
          <t>P1</t>
        </is>
      </c>
      <c r="C10" s="123" t="n">
        <v>0.1</v>
      </c>
      <c r="D10" s="124" t="inlineStr">
        <is>
          <t>— user input required</t>
        </is>
      </c>
      <c r="E10" s="125" t="n"/>
      <c r="F10" s="126">
        <f>IF(E10="HIGH",10,IF(E10="MOD-HIGH",7,IF(E10="MOD-LOW",3,IF(E10="LOW",0,""))))</f>
        <v/>
      </c>
      <c r="G10" s="127">
        <f>IF(F10="",0,C10*F10*10)</f>
        <v/>
      </c>
      <c r="H10" s="128" t="inlineStr"/>
    </row>
    <row r="11" ht="18" customHeight="1">
      <c r="A11" s="129" t="inlineStr">
        <is>
          <t xml:space="preserve">  Management</t>
        </is>
      </c>
      <c r="B11" s="130" t="inlineStr">
        <is>
          <t>P1</t>
        </is>
      </c>
      <c r="C11" s="131" t="n">
        <v>0.075</v>
      </c>
      <c r="D11" s="132" t="inlineStr">
        <is>
          <t>ROIC trend -10.6% ✗ (&gt;=-2pp)  |  GM maintained +2.4% ✓  |  Op margin -6.3% ✗ (≥-2pp)  |  Capital returns HIGH ✓  |  Share count -1.5%/yr ✓ (net buyback)  |  Goodwill/Equity 126% ✗ (&lt;40%)  [3/6 indicators positive — proxy score]</t>
        </is>
      </c>
      <c r="E11" s="137" t="inlineStr">
        <is>
          <t>MOD-LOW</t>
        </is>
      </c>
      <c r="F11" s="134" t="n">
        <v>5</v>
      </c>
      <c r="G11" s="135">
        <f>IF(F11="",0,C11*F11*10)</f>
        <v/>
      </c>
      <c r="H11" s="136" t="inlineStr">
        <is>
          <t>ROIC trend -10.6% ✗ (&gt;=-2pp)  |  GM maintained +2.4% ✓  |  Op margin -6.3% ✗ (≥-2pp)  |  Capital returns HIGH ✓  |  Share count -1.5%/yr ✓ (net buyback)  |  Goodwill/Equity 126% ✗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9" t="inlineStr">
        <is>
          <t xml:space="preserve">  Revenue 3yr CAGR</t>
        </is>
      </c>
      <c r="B13" s="130" t="inlineStr">
        <is>
          <t>P2</t>
        </is>
      </c>
      <c r="C13" s="131" t="n">
        <v>0.1</v>
      </c>
      <c r="D13" s="132" t="inlineStr">
        <is>
          <t>3.2%</t>
        </is>
      </c>
      <c r="E13" s="137" t="inlineStr">
        <is>
          <t>MOD-LOW</t>
        </is>
      </c>
      <c r="F13" s="134" t="n">
        <v>3.38</v>
      </c>
      <c r="G13" s="135">
        <f>IF(F13="",0,C13*F13*10)</f>
        <v/>
      </c>
      <c r="H13" s="136" t="inlineStr">
        <is>
          <t>3.2%</t>
        </is>
      </c>
    </row>
    <row r="14" ht="18" customHeight="1">
      <c r="A14" s="129" t="inlineStr">
        <is>
          <t xml:space="preserve">  Cash Quality  (FCF / Net Income)</t>
        </is>
      </c>
      <c r="B14" s="130" t="inlineStr">
        <is>
          <t>P2</t>
        </is>
      </c>
      <c r="C14" s="131" t="n">
        <v>0.1</v>
      </c>
      <c r="D14" s="132" t="inlineStr">
        <is>
          <t>131%</t>
        </is>
      </c>
      <c r="E14" s="133" t="inlineStr">
        <is>
          <t>HIGH</t>
        </is>
      </c>
      <c r="F14" s="134" t="n">
        <v>10</v>
      </c>
      <c r="G14" s="135">
        <f>IF(F14="",0,C14*F14*10)</f>
        <v/>
      </c>
      <c r="H14" s="136" t="inlineStr">
        <is>
          <t>131%</t>
        </is>
      </c>
    </row>
    <row r="15" ht="18" customHeight="1">
      <c r="A15" s="129" t="inlineStr">
        <is>
          <t xml:space="preserve">  Capital Returns</t>
        </is>
      </c>
      <c r="B15" s="130" t="inlineStr">
        <is>
          <t>P2</t>
        </is>
      </c>
      <c r="C15" s="131" t="n">
        <v>0.05</v>
      </c>
      <c r="D15" s="132" t="inlineStr">
        <is>
          <t>$7,222mm latest FY — 5yr+ consistent equity-funded  [payout 54% of FCF]</t>
        </is>
      </c>
      <c r="E15" s="133" t="inlineStr">
        <is>
          <t>HIGH</t>
        </is>
      </c>
      <c r="F15" s="134" t="n">
        <v>10</v>
      </c>
      <c r="G15" s="135">
        <f>IF(F15="",0,C15*F15*10)</f>
        <v/>
      </c>
      <c r="H15" s="136" t="inlineStr">
        <is>
          <t>$7,222mm latest FY — 5yr+ consistent equity-funded  [payout 54% of FCF]</t>
        </is>
      </c>
    </row>
    <row r="16" ht="18" customHeight="1">
      <c r="A16" s="129" t="inlineStr">
        <is>
          <t xml:space="preserve">  ROIC</t>
        </is>
      </c>
      <c r="B16" s="130" t="inlineStr">
        <is>
          <t>P2</t>
        </is>
      </c>
      <c r="C16" s="131" t="n">
        <v>0.075</v>
      </c>
      <c r="D16" s="132" t="inlineStr">
        <is>
          <t>18.4%  [trend penalty: declined &gt;5pp vs 3yr ago]  [through-cycle: 70/30 latest+5yr median, latest 16.2% → smoothed 18.4%]</t>
        </is>
      </c>
      <c r="E16" s="137" t="inlineStr">
        <is>
          <t>MOD-LOW</t>
        </is>
      </c>
      <c r="F16" s="134" t="n">
        <v>5.89</v>
      </c>
      <c r="G16" s="135">
        <f>IF(F16="",0,C16*F16*10)</f>
        <v/>
      </c>
      <c r="H16" s="136" t="inlineStr">
        <is>
          <t>18.4%  [trend penalty: declined &gt;5pp vs 3yr ago]  [through-cycle: 70/30 latest+5yr median, latest 16.2% → smoothed 18.4%]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9" t="inlineStr">
        <is>
          <t xml:space="preserve">  Credit Risk  (D / EBITDA)</t>
        </is>
      </c>
      <c r="B18" s="130" t="inlineStr">
        <is>
          <t>P3</t>
        </is>
      </c>
      <c r="C18" s="131" t="n">
        <v>0.05</v>
      </c>
      <c r="D18" s="132" t="inlineStr">
        <is>
          <t>1.5x  [through-cycle: 70/30 latest+5yr median, latest 1.8x → smoothed 1.5x]</t>
        </is>
      </c>
      <c r="E18" s="138" t="inlineStr">
        <is>
          <t>MOD-HIGH</t>
        </is>
      </c>
      <c r="F18" s="134" t="n">
        <v>10</v>
      </c>
      <c r="G18" s="135">
        <f>IF(F18="",0,C18*F18*10)</f>
        <v/>
      </c>
      <c r="H18" s="136" t="inlineStr">
        <is>
          <t>1.5x  [through-cycle: 70/30 latest+5yr median, latest 1.8x → smoothed 1.5x]</t>
        </is>
      </c>
    </row>
    <row r="19" ht="18" customHeight="1">
      <c r="A19" s="129" t="inlineStr">
        <is>
          <t xml:space="preserve">  Interest Cover  (EBIT / Interest)</t>
        </is>
      </c>
      <c r="B19" s="130" t="inlineStr">
        <is>
          <t>P3</t>
        </is>
      </c>
      <c r="C19" s="131" t="n">
        <v>0.075</v>
      </c>
      <c r="D19" s="132" t="inlineStr">
        <is>
          <t>7.4x</t>
        </is>
      </c>
      <c r="E19" s="138" t="inlineStr">
        <is>
          <t>MOD-HIGH</t>
        </is>
      </c>
      <c r="F19" s="134" t="n">
        <v>8.69</v>
      </c>
      <c r="G19" s="135">
        <f>IF(F19="",0,C19*F19*10)</f>
        <v/>
      </c>
      <c r="H19" s="136" t="inlineStr">
        <is>
          <t>7.4x</t>
        </is>
      </c>
    </row>
    <row r="20" ht="18" customHeight="1">
      <c r="A20" s="129" t="inlineStr">
        <is>
          <t xml:space="preserve">  Execution Risk</t>
        </is>
      </c>
      <c r="B20" s="130" t="inlineStr">
        <is>
          <t>P3</t>
        </is>
      </c>
      <c r="C20" s="131" t="n">
        <v>0.05</v>
      </c>
      <c r="D20" s="132" t="inlineStr">
        <is>
          <t>Rev growth σ=5.8%  |  OM trend -5.0%, σ=2.4%  [quality = direction + stability]</t>
        </is>
      </c>
      <c r="E20" s="137" t="inlineStr">
        <is>
          <t>MOD-LOW</t>
        </is>
      </c>
      <c r="F20" s="134" t="n">
        <v>3.33</v>
      </c>
      <c r="G20" s="135">
        <f>IF(F20="",0,C20*F20*10)</f>
        <v/>
      </c>
      <c r="H20" s="136" t="inlineStr">
        <is>
          <t>Rev growth σ=5.8%  |  OM trend -5.0%, σ=2.4%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9" t="inlineStr">
        <is>
          <t xml:space="preserve">  Valuation vs Median  (P/E)</t>
        </is>
      </c>
      <c r="B22" s="130" t="inlineStr">
        <is>
          <t>P4</t>
        </is>
      </c>
      <c r="C22" s="131" t="n">
        <v>0.1</v>
      </c>
      <c r="D22" s="132" t="inlineStr">
        <is>
          <t>Current 26.8x  |  5yr avg 20.1x  |  DCF-implied 25.3x [ref only — not used as benchmark]  [+33% vs benchmark]  [trail=2.00 | fwd_pe=28.2x→1.16 | abs=4.0 → blended 40/40/20=2.07]  PEG=42.20 (fwd_pe=28.2x / eps_growth=67%)  [revision:Strong upgrade cycle→+0.50]</t>
        </is>
      </c>
      <c r="E22" s="139" t="inlineStr">
        <is>
          <t>LOW</t>
        </is>
      </c>
      <c r="F22" s="134" t="n">
        <v>2.57</v>
      </c>
      <c r="G22" s="135">
        <f>IF(F22="",0,C22*F22*10)</f>
        <v/>
      </c>
      <c r="H22" s="136" t="inlineStr">
        <is>
          <t>Current 26.8x  |  5yr avg 20.1x  |  DCF-implied 25.3x [ref only — not used as benchmark]  [+33% vs benchmark]  [trail=2.00 | fwd_pe=28.2x→1.16 | abs=4.0 → blended 40/40/20=2.07]  PEG=42.20 (fwd_pe=28.2x / eps_growth=67%)  [revision:Strong upgrade cycle→+0.50]</t>
        </is>
      </c>
    </row>
    <row r="23" ht="18" customHeight="1">
      <c r="A23" s="129" t="inlineStr">
        <is>
          <t xml:space="preserve">  Valuation vs Median  (P/FCF)</t>
        </is>
      </c>
      <c r="B23" s="130" t="inlineStr">
        <is>
          <t>P4</t>
        </is>
      </c>
      <c r="C23" s="131" t="n">
        <v>0.1</v>
      </c>
      <c r="D23" s="132" t="inlineStr">
        <is>
          <t>Current 20.6x  |  5yr avg 16.3x  |  DCF-implied 19.4x [ref only — not used as benchmark]  [+26% vs benchmark]  [trail=2.83 | fwd_pfcf=32.5x→0.00 | abs=7.5 → blended 40/40/20=2.63]</t>
        </is>
      </c>
      <c r="E23" s="139" t="inlineStr">
        <is>
          <t>LOW</t>
        </is>
      </c>
      <c r="F23" s="134" t="n">
        <v>2.63</v>
      </c>
      <c r="G23" s="135">
        <f>IF(F23="",0,C23*F23*10)</f>
        <v/>
      </c>
      <c r="H23" s="136" t="inlineStr">
        <is>
          <t>Current 20.6x  |  5yr avg 16.3x  |  DCF-implied 19.4x [ref only — not used as benchmark]  [+26% vs benchmark]  [trail=2.83 | fwd_pfcf=32.5x→0.00 | abs=7.5 → blended 40/40/20=2.63]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40" t="inlineStr">
        <is>
          <t>TOTAL SCORE  (max = 100.0)</t>
        </is>
      </c>
      <c r="B25" s="141" t="n"/>
      <c r="C25" s="141" t="n"/>
      <c r="D25" s="141" t="n"/>
      <c r="E25" s="141" t="n"/>
      <c r="F25" s="141" t="n"/>
      <c r="G25" s="142">
        <f>G8+G9+G10+G11+G13+G14+G15+G16+G18+G19+G20+G22+G23</f>
        <v/>
      </c>
      <c r="H25" s="143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4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2026-05-25T12:17:26Z</dcterms:created>
  <dcterms:modified xmlns:dcterms="http://purl.org/dc/terms/" xmlns:xsi="http://www.w3.org/2001/XMLSchema-instance" xsi:type="dcterms:W3CDTF">2026-05-25T12:17:50Z</dcterms:modified>
</cp:coreProperties>
</file>