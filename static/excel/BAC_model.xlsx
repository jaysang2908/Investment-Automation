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9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43673</v>
      </c>
      <c r="C5" s="18" t="n">
        <v>12967</v>
      </c>
      <c r="D5" s="18" t="n">
        <v>12732</v>
      </c>
      <c r="E5" s="18" t="n">
        <v>12075</v>
      </c>
      <c r="F5" s="18" t="n">
        <v>8691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353765.043952</v>
      </c>
      <c r="C5" s="44" t="inlineStr">
        <is>
          <t>FMP marketCap  |  price $49.85</t>
        </is>
      </c>
    </row>
    <row r="6">
      <c r="A6" s="17" t="inlineStr">
        <is>
          <t>Debt  (gross book value, $mm)</t>
        </is>
      </c>
      <c r="B6" s="43" t="n">
        <v>365904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1.221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1.148</v>
      </c>
      <c r="C17" s="44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1.03x,  t = 19.1%)</t>
        </is>
      </c>
      <c r="B19" s="50" t="n">
        <v>1.837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1.402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0.5</v>
      </c>
      <c r="C33" s="44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3" t="inlineStr">
        <is>
          <t>CC</t>
        </is>
      </c>
      <c r="C34" s="44" t="inlineStr">
        <is>
          <t>ICR 0.5x  →  CC</t>
        </is>
      </c>
    </row>
    <row r="35">
      <c r="A35" s="17" t="inlineStr">
        <is>
          <t>Synthetic Rd  (Rf + Damodaran default spread)</t>
        </is>
      </c>
      <c r="B35" s="46" t="n">
        <v>0.1646</v>
      </c>
      <c r="C35" s="44" t="inlineStr">
        <is>
          <t>Rf 4.46% + spread 12.00%</t>
        </is>
      </c>
    </row>
    <row r="36">
      <c r="A36" s="17" t="inlineStr">
        <is>
          <t>Accounting Rd  (Gross int exp / Avg gross debt)</t>
        </is>
      </c>
      <c r="B36" s="46" t="n">
        <v>0.1532120445324368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0.1589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0.1906</v>
      </c>
      <c r="C41" s="44" t="inlineStr">
        <is>
          <t>FMP: $7186mm  /  $37695mm</t>
        </is>
      </c>
    </row>
    <row r="42">
      <c r="A42" s="47" t="inlineStr">
        <is>
          <t>► Selected tax rate  (user override)</t>
        </is>
      </c>
      <c r="B42" s="48" t="n">
        <v>0.1906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-0.3683</v>
      </c>
      <c r="H7" s="72" t="n">
        <v>0.0493</v>
      </c>
      <c r="I7" s="72" t="n">
        <v>0.0472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0.2435</v>
      </c>
      <c r="H8" s="72" t="n">
        <v>0.2435</v>
      </c>
      <c r="I8" s="72" t="n">
        <v>0.2435</v>
      </c>
      <c r="J8" s="73">
        <f>I8</f>
        <v/>
      </c>
      <c r="K8" s="73">
        <f>I8</f>
        <v/>
      </c>
      <c r="L8" s="74" t="n">
        <v>0.2089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121017.8</v>
      </c>
      <c r="H15" s="78" t="n">
        <v>126980.6</v>
      </c>
      <c r="I15" s="78" t="n">
        <v>132968.2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120,437 — 121,589</t>
        </is>
      </c>
      <c r="H16" s="83" t="inlineStr">
        <is>
          <t>125,360 — 128,371</t>
        </is>
      </c>
      <c r="I16" s="83" t="inlineStr">
        <is>
          <t>132,495 — 133,442</t>
        </is>
      </c>
      <c r="J16" s="83" t="inlineStr">
        <is>
          <t>132,338 — 135,209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9</v>
      </c>
      <c r="H17" s="87" t="n">
        <v>10</v>
      </c>
      <c r="I17" s="88" t="n">
        <v>3</v>
      </c>
      <c r="J17" s="88" t="n">
        <v>2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9" t="inlineStr">
        <is>
          <t>—</t>
        </is>
      </c>
      <c r="C18" s="90">
        <f>IFERROR(C15/B15-1,"")</f>
        <v/>
      </c>
      <c r="D18" s="90">
        <f>IFERROR(D15/C15-1,"")</f>
        <v/>
      </c>
      <c r="E18" s="90">
        <f>IFERROR(E15/D15-1,"")</f>
        <v/>
      </c>
      <c r="F18" s="90">
        <f>IFERROR(F15/E15-1,"")</f>
        <v/>
      </c>
      <c r="G18" s="91">
        <f>IFERROR(G15/F15-1,"")</f>
        <v/>
      </c>
      <c r="H18" s="91">
        <f>IFERROR(H15/G15-1,"")</f>
        <v/>
      </c>
      <c r="I18" s="91">
        <f>IFERROR(I15/H15-1,"")</f>
        <v/>
      </c>
      <c r="J18" s="91">
        <f>IFERROR(J15/I15-1,"")</f>
        <v/>
      </c>
      <c r="K18" s="92">
        <f>IFERROR(K15/J15-1,"")</f>
        <v/>
      </c>
      <c r="L18" s="93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29472.3</v>
      </c>
      <c r="H20" s="78" t="n">
        <v>30924.5</v>
      </c>
      <c r="I20" s="78" t="n">
        <v>32382.7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29,331 — 29,611</t>
        </is>
      </c>
      <c r="H21" s="83" t="inlineStr">
        <is>
          <t>30,530 — 31,263</t>
        </is>
      </c>
      <c r="I21" s="83" t="inlineStr">
        <is>
          <t>32,267 — 32,498</t>
        </is>
      </c>
      <c r="J21" s="83" t="inlineStr">
        <is>
          <t>32,229 — 32,928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90">
        <f>IFERROR(B20/B15,"")</f>
        <v/>
      </c>
      <c r="C22" s="90">
        <f>IFERROR(C20/C15,"")</f>
        <v/>
      </c>
      <c r="D22" s="90">
        <f>IFERROR(D20/D15,"")</f>
        <v/>
      </c>
      <c r="E22" s="90">
        <f>IFERROR(E20/E15,"")</f>
        <v/>
      </c>
      <c r="F22" s="90">
        <f>IFERROR(F20/F15,"")</f>
        <v/>
      </c>
      <c r="G22" s="91">
        <f>IFERROR(G20/G15,"")</f>
        <v/>
      </c>
      <c r="H22" s="91">
        <f>IFERROR(H20/H15,"")</f>
        <v/>
      </c>
      <c r="I22" s="91">
        <f>IFERROR(I20/I15,"")</f>
        <v/>
      </c>
      <c r="J22" s="91">
        <f>IFERROR(J20/J15,"")</f>
        <v/>
      </c>
      <c r="K22" s="92">
        <f>IFERROR(K20/K15,"")</f>
        <v/>
      </c>
      <c r="L22" s="93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4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5">
        <f>-G15*G9</f>
        <v/>
      </c>
      <c r="H25" s="95">
        <f>-H15*H9</f>
        <v/>
      </c>
      <c r="I25" s="95">
        <f>-I15*I9</f>
        <v/>
      </c>
      <c r="J25" s="95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6">
        <f>B20+B25</f>
        <v/>
      </c>
      <c r="C26" s="96">
        <f>C20+C25</f>
        <v/>
      </c>
      <c r="D26" s="96">
        <f>D20+D25</f>
        <v/>
      </c>
      <c r="E26" s="96">
        <f>E20+E25</f>
        <v/>
      </c>
      <c r="F26" s="96">
        <f>F20+F25</f>
        <v/>
      </c>
      <c r="G26" s="97">
        <f>G20+G25</f>
        <v/>
      </c>
      <c r="H26" s="97">
        <f>H20+H25</f>
        <v/>
      </c>
      <c r="I26" s="97">
        <f>I20+I25</f>
        <v/>
      </c>
      <c r="J26" s="97">
        <f>J20+J25</f>
        <v/>
      </c>
      <c r="K26" s="97">
        <f>K20+K25</f>
        <v/>
      </c>
      <c r="L26" s="97">
        <f>L20+L25</f>
        <v/>
      </c>
      <c r="M26" s="81">
        <f> EBITDA + D&amp;A  (GAAP operating income, EBIT)</f>
        <v/>
      </c>
    </row>
    <row r="27" ht="20" customHeight="1">
      <c r="A27" s="94" t="inlineStr">
        <is>
          <t xml:space="preserve">  Less: Tax on EBIT  (unlevered)</t>
        </is>
      </c>
      <c r="B27" s="98">
        <f>-B26*B12</f>
        <v/>
      </c>
      <c r="C27" s="98">
        <f>-C26*C12</f>
        <v/>
      </c>
      <c r="D27" s="98">
        <f>-D26*D12</f>
        <v/>
      </c>
      <c r="E27" s="98">
        <f>-E26*E12</f>
        <v/>
      </c>
      <c r="F27" s="98">
        <f>-F26*F12</f>
        <v/>
      </c>
      <c r="G27" s="99">
        <f>-G26*G12</f>
        <v/>
      </c>
      <c r="H27" s="99">
        <f>-H26*H12</f>
        <v/>
      </c>
      <c r="I27" s="99">
        <f>-I26*I12</f>
        <v/>
      </c>
      <c r="J27" s="99">
        <f>-J26*J12</f>
        <v/>
      </c>
      <c r="K27" s="99">
        <f>-K26*K12</f>
        <v/>
      </c>
      <c r="L27" s="99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6">
        <f>B26+B27</f>
        <v/>
      </c>
      <c r="C28" s="96">
        <f>C26+C27</f>
        <v/>
      </c>
      <c r="D28" s="96">
        <f>D26+D27</f>
        <v/>
      </c>
      <c r="E28" s="96">
        <f>E26+E27</f>
        <v/>
      </c>
      <c r="F28" s="96">
        <f>F26+F27</f>
        <v/>
      </c>
      <c r="G28" s="100">
        <f>G26+G27</f>
        <v/>
      </c>
      <c r="H28" s="100">
        <f>H26+H27</f>
        <v/>
      </c>
      <c r="I28" s="100">
        <f>I26+I27</f>
        <v/>
      </c>
      <c r="J28" s="100">
        <f>J26+J27</f>
        <v/>
      </c>
      <c r="K28" s="100">
        <f>K26+K27</f>
        <v/>
      </c>
      <c r="L28" s="100">
        <f>L26+L27</f>
        <v/>
      </c>
      <c r="M28" s="81">
        <f> EBIT × (1 − tax rate)</f>
        <v/>
      </c>
    </row>
    <row r="29" ht="20" customHeight="1">
      <c r="A29" s="94" t="inlineStr">
        <is>
          <t xml:space="preserve">  (+) D&amp;A add-back  (non-cash)</t>
        </is>
      </c>
      <c r="B29" s="98">
        <f>-B25</f>
        <v/>
      </c>
      <c r="C29" s="98">
        <f>-C25</f>
        <v/>
      </c>
      <c r="D29" s="98">
        <f>-D25</f>
        <v/>
      </c>
      <c r="E29" s="98">
        <f>-E25</f>
        <v/>
      </c>
      <c r="F29" s="98">
        <f>-F25</f>
        <v/>
      </c>
      <c r="G29" s="99">
        <f>-G25</f>
        <v/>
      </c>
      <c r="H29" s="99">
        <f>-H25</f>
        <v/>
      </c>
      <c r="I29" s="99">
        <f>-I25</f>
        <v/>
      </c>
      <c r="J29" s="99">
        <f>-J25</f>
        <v/>
      </c>
      <c r="K29" s="99">
        <f>-K25</f>
        <v/>
      </c>
      <c r="L29" s="99">
        <f>-L25</f>
        <v/>
      </c>
      <c r="M29" s="81">
        <f> D&amp;A added back (non-cash charge — converts NOPAT to cash basis)</f>
        <v/>
      </c>
    </row>
    <row r="30" ht="20" customHeight="1">
      <c r="A30" s="94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9">
        <f>-G15*G10</f>
        <v/>
      </c>
      <c r="H30" s="99">
        <f>-H15*H10</f>
        <v/>
      </c>
      <c r="I30" s="99">
        <f>-I15*I10</f>
        <v/>
      </c>
      <c r="J30" s="99">
        <f>-J15*J10</f>
        <v/>
      </c>
      <c r="K30" s="99">
        <f>-K15*K10</f>
        <v/>
      </c>
      <c r="L30" s="99">
        <f>-L15*L10</f>
        <v/>
      </c>
      <c r="M30" s="81">
        <f> Revenue × CapEx % assumption  (negative = cash outflow)</f>
        <v/>
      </c>
    </row>
    <row r="31" ht="20" customHeight="1">
      <c r="A31" s="94" t="inlineStr">
        <is>
          <t xml:space="preserve">  (−) Increase in Net Working Capital</t>
        </is>
      </c>
      <c r="B31" s="98" t="n"/>
      <c r="C31" s="98">
        <f>-(('Balance Sheet'!C9-'Balance Sheet'!C21)-('Balance Sheet'!B9-'Balance Sheet'!B21))</f>
        <v/>
      </c>
      <c r="D31" s="98">
        <f>-(('Balance Sheet'!D9-'Balance Sheet'!D21)-('Balance Sheet'!C9-'Balance Sheet'!C21))</f>
        <v/>
      </c>
      <c r="E31" s="98">
        <f>-(('Balance Sheet'!E9-'Balance Sheet'!E21)-('Balance Sheet'!D9-'Balance Sheet'!D21))</f>
        <v/>
      </c>
      <c r="F31" s="98">
        <f>-(('Balance Sheet'!F9-'Balance Sheet'!F21)-('Balance Sheet'!E9-'Balance Sheet'!E21))</f>
        <v/>
      </c>
      <c r="G31" s="99">
        <f>-G15*G11</f>
        <v/>
      </c>
      <c r="H31" s="99">
        <f>-H15*H11</f>
        <v/>
      </c>
      <c r="I31" s="99">
        <f>-I15*I11</f>
        <v/>
      </c>
      <c r="J31" s="99">
        <f>-J15*J11</f>
        <v/>
      </c>
      <c r="K31" s="99">
        <f>-K15*K11</f>
        <v/>
      </c>
      <c r="L31" s="99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6">
        <f>B28+B29+B30+B31</f>
        <v/>
      </c>
      <c r="C32" s="96">
        <f>C28+C29+C30+C31</f>
        <v/>
      </c>
      <c r="D32" s="96">
        <f>D28+D29+D30+D31</f>
        <v/>
      </c>
      <c r="E32" s="96">
        <f>E28+E29+E30+E31</f>
        <v/>
      </c>
      <c r="F32" s="96">
        <f>F28+F29+F30+F31</f>
        <v/>
      </c>
      <c r="G32" s="100">
        <f>G28+G29+G30+G31</f>
        <v/>
      </c>
      <c r="H32" s="100">
        <f>H28+H29+H30+H31</f>
        <v/>
      </c>
      <c r="I32" s="100">
        <f>I28+I29+I30+I31</f>
        <v/>
      </c>
      <c r="J32" s="100">
        <f>J28+J29+J30+J31</f>
        <v/>
      </c>
      <c r="K32" s="100">
        <f>K28+K29+K30+K31</f>
        <v/>
      </c>
      <c r="L32" s="100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90">
        <f>B32/B15</f>
        <v/>
      </c>
      <c r="C33" s="90">
        <f>C32/C15</f>
        <v/>
      </c>
      <c r="D33" s="90">
        <f>D32/D15</f>
        <v/>
      </c>
      <c r="E33" s="90">
        <f>E32/E15</f>
        <v/>
      </c>
      <c r="F33" s="90">
        <f>F32/F15</f>
        <v/>
      </c>
      <c r="G33" s="101">
        <f>IFERROR(G32/G15,"")</f>
        <v/>
      </c>
      <c r="H33" s="101">
        <f>IFERROR(H32/H15,"")</f>
        <v/>
      </c>
      <c r="I33" s="101">
        <f>IFERROR(I32/I15,"")</f>
        <v/>
      </c>
      <c r="J33" s="101">
        <f>IFERROR(J32/J15,"")</f>
        <v/>
      </c>
      <c r="K33" s="101">
        <f>IFERROR(K32/K15,"")</f>
        <v/>
      </c>
      <c r="L33" s="101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2">
        <f>WACC!B45</f>
        <v/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4" t="n">
        <v>0.04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75" t="inlineStr">
        <is>
          <t>Growth tier: HIGH (20.3%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5" t="n">
        <v>18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75" t="inlineStr">
        <is>
          <t>Growth tier: HIGH (20.3%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6" t="inlineStr">
        <is>
          <t>Terminal Year UFCF  (grown by g)</t>
        </is>
      </c>
      <c r="B40" s="107">
        <f>L32</f>
        <v/>
      </c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100">
        <f>B40/(B36-B37)</f>
        <v/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  <c r="L41" s="109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100">
        <f>L20*B38</f>
        <v/>
      </c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6" t="inlineStr">
        <is>
          <t>Discount Period  (mid-year convention)</t>
        </is>
      </c>
      <c r="G45" s="110" t="n">
        <v>0.5</v>
      </c>
      <c r="H45" s="110" t="n">
        <v>1.5</v>
      </c>
      <c r="I45" s="110" t="n">
        <v>2.5</v>
      </c>
      <c r="J45" s="110" t="n">
        <v>3.5</v>
      </c>
      <c r="K45" s="110" t="n">
        <v>4.5</v>
      </c>
      <c r="L45" s="111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6" t="inlineStr">
        <is>
          <t>Discount Factor  =  1 / (1 + WACC) ^ period</t>
        </is>
      </c>
      <c r="G46" s="112">
        <f>1/(1+B36)^G45</f>
        <v/>
      </c>
      <c r="H46" s="112">
        <f>1/(1+B36)^H45</f>
        <v/>
      </c>
      <c r="I46" s="112">
        <f>1/(1+B36)^I45</f>
        <v/>
      </c>
      <c r="J46" s="112">
        <f>1/(1+B36)^J45</f>
        <v/>
      </c>
      <c r="K46" s="112">
        <f>1/(1+B36)^K45</f>
        <v/>
      </c>
      <c r="L46" s="113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100">
        <f>G32*G46</f>
        <v/>
      </c>
      <c r="H47" s="100">
        <f>H32*H46</f>
        <v/>
      </c>
      <c r="I47" s="100">
        <f>I32*I46</f>
        <v/>
      </c>
      <c r="J47" s="100">
        <f>J32*J46</f>
        <v/>
      </c>
      <c r="K47" s="100">
        <f>K32*K46</f>
        <v/>
      </c>
      <c r="L47" s="109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7">
        <f>G47+H47+I47+J47+K47</f>
        <v/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7">
        <f>B41*L46</f>
        <v/>
      </c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7">
        <f>B42*L46</f>
        <v/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100">
        <f>B48+B49</f>
        <v/>
      </c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  <c r="L53" s="109" t="n"/>
      <c r="M53" s="109" t="n"/>
    </row>
    <row r="54">
      <c r="A54" s="76" t="inlineStr">
        <is>
          <t>Enterprise Value  [Exit Multiple]</t>
        </is>
      </c>
      <c r="B54" s="100">
        <f>B48+B50</f>
        <v/>
      </c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  <c r="L54" s="109" t="n"/>
      <c r="M54" s="109" t="n"/>
    </row>
    <row r="55" ht="20" customHeight="1">
      <c r="A55" s="94" t="inlineStr">
        <is>
          <t xml:space="preserve">  Less: Net Debt  (Debt − Cash)</t>
        </is>
      </c>
      <c r="B55" s="107">
        <f>'Balance Sheet'!F81</f>
        <v/>
      </c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81" t="inlineStr">
        <is>
          <t>Linked from Balance Sheet: Total Debt (ST+LT) − Cash &amp; Equivalents  (negative = net cash)</t>
        </is>
      </c>
    </row>
    <row r="56" ht="20" customHeight="1">
      <c r="A56" s="94" t="inlineStr">
        <is>
          <t xml:space="preserve">  Less: Minority Interest</t>
        </is>
      </c>
      <c r="B56" s="107" t="n">
        <v>0</v>
      </c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81" t="inlineStr">
        <is>
          <t>Auto-linked from Balance Sheet: minorityInterest</t>
        </is>
      </c>
    </row>
    <row r="57" ht="20" customHeight="1">
      <c r="A57" s="94" t="inlineStr">
        <is>
          <t xml:space="preserve">  Shares Outstanding — Diluted  (mm)</t>
        </is>
      </c>
      <c r="B57" s="107" t="n">
        <v>7546.9</v>
      </c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5">
        <f>IFERROR((B53-B55-B56)/B57,"")</f>
        <v/>
      </c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  <c r="L59" s="109" t="n"/>
      <c r="M59" s="109" t="n"/>
    </row>
    <row r="60">
      <c r="A60" s="76" t="inlineStr">
        <is>
          <t>Implied Share Price  [Exit Multiple]  ($)</t>
        </is>
      </c>
      <c r="B60" s="115">
        <f>IFERROR((B54-B55-B56)/B57,"")</f>
        <v/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</row>
    <row r="61" ht="20" customHeight="1">
      <c r="A61" s="106" t="inlineStr">
        <is>
          <t>Current Market Price  ($)</t>
        </is>
      </c>
      <c r="B61" s="116" t="n">
        <v>49.85</v>
      </c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7">
        <f>IFERROR(B59/B61-1,"")</f>
        <v/>
      </c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63" t="inlineStr">
        <is>
          <t>Upside / (Downside)  [Exit Multiple]</t>
        </is>
      </c>
      <c r="B63" s="117">
        <f>IFERROR(B60/B61-1,"")</f>
        <v/>
      </c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8" t="inlineStr">
        <is>
          <t>JS SCORECARD — BAC  |  Master Prompt v2  |  15 May 2026  |  Sector bucket: Bank</t>
        </is>
      </c>
    </row>
    <row r="2" ht="18" customHeight="1">
      <c r="A2" s="119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20" t="inlineStr">
        <is>
          <t>✓  Bank/Financial sector — D/EBITDA and EBIT/Interest gates exempt  | Capital Adequacy (Equity/Assets) used as P3 leverage criterion  |  Equity/Assets = 8.9%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21" t="inlineStr">
        <is>
          <t>CRITERION</t>
        </is>
      </c>
      <c r="B6" s="122" t="inlineStr">
        <is>
          <t>PART</t>
        </is>
      </c>
      <c r="C6" s="122" t="inlineStr">
        <is>
          <t>WEIGHT %</t>
        </is>
      </c>
      <c r="D6" s="122" t="inlineStr">
        <is>
          <t>CALCULATED VALUE</t>
        </is>
      </c>
      <c r="E6" s="122" t="inlineStr">
        <is>
          <t>TIER  ▼</t>
        </is>
      </c>
      <c r="F6" s="122" t="inlineStr">
        <is>
          <t>SCORE</t>
        </is>
      </c>
      <c r="G6" s="122" t="inlineStr">
        <is>
          <t>WTD SCORE</t>
        </is>
      </c>
      <c r="H6" s="121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3" t="inlineStr">
        <is>
          <t xml:space="preserve">  Business Clarity</t>
        </is>
      </c>
      <c r="B8" s="124" t="inlineStr">
        <is>
          <t>P1</t>
        </is>
      </c>
      <c r="C8" s="125" t="n">
        <v>0.025</v>
      </c>
      <c r="D8" s="126" t="inlineStr">
        <is>
          <t>— user input required</t>
        </is>
      </c>
      <c r="E8" s="127" t="n"/>
      <c r="F8" s="128">
        <f>IF(E8="HIGH",10,IF(E8="MOD-HIGH",7,IF(E8="MOD-LOW",3,IF(E8="LOW",0,""))))</f>
        <v/>
      </c>
      <c r="G8" s="129">
        <f>IF(F8="",0,C8*F8*10)</f>
        <v/>
      </c>
      <c r="H8" s="130" t="inlineStr"/>
    </row>
    <row r="9" ht="18" customHeight="1">
      <c r="A9" s="131" t="inlineStr">
        <is>
          <t xml:space="preserve">  Moat Profile</t>
        </is>
      </c>
      <c r="B9" s="132" t="inlineStr">
        <is>
          <t>P1</t>
        </is>
      </c>
      <c r="C9" s="133" t="n">
        <v>0.1</v>
      </c>
      <c r="D9" s="134" t="inlineStr">
        <is>
          <t>GM 56.1% ✓ (&gt;40%)  |  GM trend -24.2% ✗ (&gt;+1pp)  |  ROIC-WACC -5.4% ✗ (&gt;+5pp)  |  Rev consistency σ=18.4% ✗ (&lt;8%)  [1/4 indicators positive — proxy score]</t>
        </is>
      </c>
      <c r="E9" s="135" t="inlineStr">
        <is>
          <t>LOW</t>
        </is>
      </c>
      <c r="F9" s="136" t="n">
        <v>2.5</v>
      </c>
      <c r="G9" s="137">
        <f>IF(F9="",0,C9*F9*10)</f>
        <v/>
      </c>
      <c r="H9" s="138" t="inlineStr">
        <is>
          <t>GM 56.1% ✓ (&gt;40%)  |  GM trend -24.2% ✗ (&gt;+1pp)  |  ROIC-WACC -5.4% ✗ (&gt;+5pp)  |  Rev consistency σ=18.4% ✗ (&lt;8%)  [1/4 indicators positive — proxy score]</t>
        </is>
      </c>
    </row>
    <row r="10" ht="18" customHeight="1">
      <c r="A10" s="123" t="inlineStr">
        <is>
          <t xml:space="preserve">  Long-Term Potential</t>
        </is>
      </c>
      <c r="B10" s="124" t="inlineStr">
        <is>
          <t>P1</t>
        </is>
      </c>
      <c r="C10" s="125" t="n">
        <v>0.1</v>
      </c>
      <c r="D10" s="126" t="inlineStr">
        <is>
          <t>— user input required</t>
        </is>
      </c>
      <c r="E10" s="127" t="n"/>
      <c r="F10" s="128">
        <f>IF(E10="HIGH",10,IF(E10="MOD-HIGH",7,IF(E10="MOD-LOW",3,IF(E10="LOW",0,""))))</f>
        <v/>
      </c>
      <c r="G10" s="129">
        <f>IF(F10="",0,C10*F10*10)</f>
        <v/>
      </c>
      <c r="H10" s="130" t="inlineStr"/>
    </row>
    <row r="11" ht="18" customHeight="1">
      <c r="A11" s="131" t="inlineStr">
        <is>
          <t xml:space="preserve">  Management</t>
        </is>
      </c>
      <c r="B11" s="132" t="inlineStr">
        <is>
          <t>P1</t>
        </is>
      </c>
      <c r="C11" s="133" t="n">
        <v>0.075</v>
      </c>
      <c r="D11" s="134" t="inlineStr">
        <is>
          <t>ROIC trend +1.8% ✓ (≥-2pp)  |  GM maintained -24.2% ✗  |  Op margin -7.2% ✗ (≥-2pp)  |  Capital returns HIGH ✓  |  Share count -3.5%/yr ✓ (net buyback)  |  Goodwill/Equity 23% ✓ (&lt;40%)  [4/6 indicators positive — proxy score]</t>
        </is>
      </c>
      <c r="E11" s="139" t="inlineStr">
        <is>
          <t>MOD-HIGH</t>
        </is>
      </c>
      <c r="F11" s="136" t="n">
        <v>6.67</v>
      </c>
      <c r="G11" s="137">
        <f>IF(F11="",0,C11*F11*10)</f>
        <v/>
      </c>
      <c r="H11" s="138" t="inlineStr">
        <is>
          <t>ROIC trend +1.8% ✓ (≥-2pp)  |  GM maintained -24.2% ✗  |  Op margin -7.2% ✗ (≥-2pp)  |  Capital returns HIGH ✓  |  Share count -3.5%/yr ✓ (net buyback)  |  Goodwill/Equity 23%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1" t="inlineStr">
        <is>
          <t xml:space="preserve">  Revenue 3yr CAGR</t>
        </is>
      </c>
      <c r="B13" s="132" t="inlineStr">
        <is>
          <t>P2</t>
        </is>
      </c>
      <c r="C13" s="133" t="n">
        <v>0.1</v>
      </c>
      <c r="D13" s="134" t="inlineStr">
        <is>
          <t>18.5%</t>
        </is>
      </c>
      <c r="E13" s="140" t="inlineStr">
        <is>
          <t>HIGH</t>
        </is>
      </c>
      <c r="F13" s="136" t="n">
        <v>12</v>
      </c>
      <c r="G13" s="137">
        <f>IF(F13="",0,C13*F13*10)</f>
        <v/>
      </c>
      <c r="H13" s="138" t="inlineStr">
        <is>
          <t>18.5%</t>
        </is>
      </c>
    </row>
    <row r="14" ht="18" customHeight="1">
      <c r="A14" s="131" t="inlineStr">
        <is>
          <t xml:space="preserve">  Cash Quality  (FCF / Net Income)</t>
        </is>
      </c>
      <c r="B14" s="132" t="inlineStr">
        <is>
          <t>P2</t>
        </is>
      </c>
      <c r="C14" s="133" t="n">
        <v>0.1</v>
      </c>
      <c r="D14" s="134" t="inlineStr">
        <is>
          <t>22%  [through-cycle: 70/30 latest+5yr median, latest 41.3% → smoothed 22.2%]</t>
        </is>
      </c>
      <c r="E14" s="135" t="inlineStr">
        <is>
          <t>LOW</t>
        </is>
      </c>
      <c r="F14" s="136" t="n">
        <v>1.11</v>
      </c>
      <c r="G14" s="137">
        <f>IF(F14="",0,C14*F14*10)</f>
        <v/>
      </c>
      <c r="H14" s="138" t="inlineStr">
        <is>
          <t>22%  [through-cycle: 70/30 latest+5yr median, latest 41.3% → smoothed 22.2%]</t>
        </is>
      </c>
    </row>
    <row r="15" ht="18" customHeight="1">
      <c r="A15" s="131" t="inlineStr">
        <is>
          <t xml:space="preserve">  Capital Returns</t>
        </is>
      </c>
      <c r="B15" s="132" t="inlineStr">
        <is>
          <t>P2</t>
        </is>
      </c>
      <c r="C15" s="133" t="n">
        <v>0.05</v>
      </c>
      <c r="D15" s="134" t="inlineStr">
        <is>
          <t>$21,433mm latest FY — 5yr+ consistent equity-funded  [payout 170% of FCF — &gt; 100%, unsustainable]</t>
        </is>
      </c>
      <c r="E15" s="140" t="inlineStr">
        <is>
          <t>HIGH</t>
        </is>
      </c>
      <c r="F15" s="136" t="n">
        <v>7.5</v>
      </c>
      <c r="G15" s="137">
        <f>IF(F15="",0,C15*F15*10)</f>
        <v/>
      </c>
      <c r="H15" s="138" t="inlineStr">
        <is>
          <t>$21,433mm latest FY — 5yr+ consistent equity-funded  [payout 170% of FCF — &gt; 100%, unsustainable]</t>
        </is>
      </c>
    </row>
    <row r="16" ht="18" customHeight="1">
      <c r="A16" s="131" t="inlineStr">
        <is>
          <t xml:space="preserve">  ROIC</t>
        </is>
      </c>
      <c r="B16" s="132" t="inlineStr">
        <is>
          <t>P2</t>
        </is>
      </c>
      <c r="C16" s="133" t="n">
        <v>0.075</v>
      </c>
      <c r="D16" s="134" t="inlineStr">
        <is>
          <t>6.4%  [through-cycle: 70/30 latest+5yr median, latest 7.0% → smoothed 6.4%]  [QoE: CFO/NI 60% 3yr avg — cash conv weak]</t>
        </is>
      </c>
      <c r="E16" s="141" t="inlineStr">
        <is>
          <t>MOD-LOW</t>
        </is>
      </c>
      <c r="F16" s="136" t="n">
        <v>3.93</v>
      </c>
      <c r="G16" s="137">
        <f>IF(F16="",0,C16*F16*10)</f>
        <v/>
      </c>
      <c r="H16" s="138" t="inlineStr">
        <is>
          <t>6.4%  [through-cycle: 70/30 latest+5yr median, latest 7.0% → smoothed 6.4%]  [QoE: CFO/NI 60%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31" t="inlineStr">
        <is>
          <t xml:space="preserve">  Capital Adequacy  (Equity / Assets)</t>
        </is>
      </c>
      <c r="B18" s="132" t="inlineStr">
        <is>
          <t>P3</t>
        </is>
      </c>
      <c r="C18" s="133" t="n">
        <v>0.125</v>
      </c>
      <c r="D18" s="134" t="inlineStr">
        <is>
          <t>8.9%  [Equity/Assets — CET1 proxy; well-capitalised &gt;10%]</t>
        </is>
      </c>
      <c r="E18" s="139" t="inlineStr">
        <is>
          <t>MOD-HIGH</t>
        </is>
      </c>
      <c r="F18" s="136" t="n">
        <v>8.34</v>
      </c>
      <c r="G18" s="137">
        <f>IF(F18="",0,C18*F18*10)</f>
        <v/>
      </c>
      <c r="H18" s="138" t="inlineStr">
        <is>
          <t>8.9%  [Equity/Assets — CET1 proxy; well-capitalised &gt;10%]</t>
        </is>
      </c>
    </row>
    <row r="19" ht="18" customHeight="1">
      <c r="A19" s="131" t="inlineStr">
        <is>
          <t xml:space="preserve">  Execution Risk</t>
        </is>
      </c>
      <c r="B19" s="132" t="inlineStr">
        <is>
          <t>P3</t>
        </is>
      </c>
      <c r="C19" s="133" t="n">
        <v>0.05</v>
      </c>
      <c r="D19" s="134" t="inlineStr">
        <is>
          <t>Rev growth σ=18.4%  |  Op margin σ=7.8%  [proxy — lower σ = lower risk = higher score]</t>
        </is>
      </c>
      <c r="E19" s="135" t="inlineStr">
        <is>
          <t>LOW</t>
        </is>
      </c>
      <c r="F19" s="136" t="n">
        <v>1.67</v>
      </c>
      <c r="G19" s="137">
        <f>IF(F19="",0,C19*F19*10)</f>
        <v/>
      </c>
      <c r="H19" s="138" t="inlineStr">
        <is>
          <t>Rev growth σ=18.4%  |  Op margin σ=7.8%  [proxy — lower σ = lower risk = higher score]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31" t="inlineStr">
        <is>
          <t xml:space="preserve">  Valuation vs Median  (P/E)</t>
        </is>
      </c>
      <c r="B21" s="132" t="inlineStr">
        <is>
          <t>P4</t>
        </is>
      </c>
      <c r="C21" s="133" t="n">
        <v>0.2</v>
      </c>
      <c r="D21" s="134" t="inlineStr">
        <is>
          <t>Current 13.3x  |  5yr avg 11.5x  |  DCF-implied 5.5x  [+142% vs benchmark]</t>
        </is>
      </c>
      <c r="E21" s="135" t="inlineStr">
        <is>
          <t>LOW</t>
        </is>
      </c>
      <c r="F21" s="136" t="n">
        <v>0</v>
      </c>
      <c r="G21" s="137">
        <f>IF(F21="",0,C21*F21*10)</f>
        <v/>
      </c>
      <c r="H21" s="138" t="inlineStr">
        <is>
          <t>Current 13.3x  |  5yr avg 11.5x  |  DCF-implied 5.5x  [+142% vs benchmark]</t>
        </is>
      </c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</row>
    <row r="23" ht="20" customHeight="1">
      <c r="A23" s="142" t="inlineStr">
        <is>
          <t>TOTAL SCORE  (max = 100.0)</t>
        </is>
      </c>
      <c r="B23" s="143" t="n"/>
      <c r="C23" s="143" t="n"/>
      <c r="D23" s="143" t="n"/>
      <c r="E23" s="143" t="n"/>
      <c r="F23" s="143" t="n"/>
      <c r="G23" s="144">
        <f>G8+G9+G10+G11+G13+G14+G15+G16+G18+G19+G21</f>
        <v/>
      </c>
      <c r="H23" s="145" t="inlineStr">
        <is>
          <t>No floor cap.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4" customHeight="1">
      <c r="A25" s="146">
        <f>IF(G23="","Score incomplete — fill qualitative tiers above",IF(G23&gt;=80,"STRONG BUY",IF(G23&gt;=65,"BUY",IF(G23&gt;=50,"HOLD",IF(G23&gt;=35,"REDUCE","SELL")))))</f>
        <v/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18" customHeight="1">
      <c r="A27" s="147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2026-05-15T11:59:45Z</dcterms:created>
  <dcterms:modified xsi:type="dcterms:W3CDTF">2026-05-15T11:59:58Z</dcterms:modified>
</cp:coreProperties>
</file>