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170" fontId="7" fillId="5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4" fillId="16" borderId="0" applyAlignment="1" pivotButton="0" quotePrefix="0" xfId="0">
      <alignment horizontal="left" vertical="center" wrapText="1" indent="1"/>
    </xf>
    <xf numFmtId="0" fontId="23" fillId="7" borderId="1" applyAlignment="1" pivotButton="0" quotePrefix="0" xfId="0">
      <alignment horizontal="left" vertical="center" indent="1"/>
    </xf>
    <xf numFmtId="0" fontId="23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4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4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5" fillId="13" borderId="1" applyAlignment="1" pivotButton="0" quotePrefix="0" xfId="0">
      <alignment horizontal="left" vertical="center"/>
    </xf>
    <xf numFmtId="0" fontId="26" fillId="18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7" fillId="19" borderId="1" applyAlignment="1" pivotButton="0" quotePrefix="0" xfId="0">
      <alignment horizontal="center" vertical="center"/>
    </xf>
    <xf numFmtId="0" fontId="28" fillId="20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left" vertical="center" indent="1"/>
    </xf>
    <xf numFmtId="0" fontId="30" fillId="22" borderId="1" applyAlignment="1" pivotButton="0" quotePrefix="0" xfId="0">
      <alignment horizontal="left" vertical="center" indent="1"/>
    </xf>
    <xf numFmtId="0" fontId="0" fillId="22" borderId="1" pivotButton="0" quotePrefix="0" xfId="0"/>
    <xf numFmtId="2" fontId="30" fillId="22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BAC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191567</v>
      </c>
    </row>
    <row r="8">
      <c r="A8" s="3" t="inlineStr">
        <is>
          <t>Gross Profit ($mm)</t>
        </is>
      </c>
      <c r="B8" s="7" t="n">
        <v>107422</v>
      </c>
    </row>
    <row r="9">
      <c r="A9" s="3" t="inlineStr">
        <is>
          <t>EBITDA ($mm)</t>
        </is>
      </c>
      <c r="B9" s="7" t="n">
        <v>40009</v>
      </c>
    </row>
    <row r="10">
      <c r="A10" s="3" t="inlineStr">
        <is>
          <t>EBIT ($mm)</t>
        </is>
      </c>
      <c r="B10" s="7" t="n">
        <v>37695</v>
      </c>
    </row>
    <row r="11">
      <c r="A11" s="3" t="inlineStr">
        <is>
          <t>Net Income ($mm)</t>
        </is>
      </c>
      <c r="B11" s="7" t="n">
        <v>30509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93851</v>
      </c>
      <c r="C5" s="16" t="n">
        <v>115053</v>
      </c>
      <c r="D5" s="16" t="n">
        <v>171912</v>
      </c>
      <c r="E5" s="16" t="n">
        <v>192434</v>
      </c>
      <c r="F5" s="16" t="n">
        <v>191567</v>
      </c>
    </row>
    <row r="6">
      <c r="A6" s="17" t="inlineStr">
        <is>
          <t>(2)  Cost of Revenue (COGS)</t>
        </is>
      </c>
      <c r="B6" s="18" t="n">
        <v>144</v>
      </c>
      <c r="C6" s="18" t="n">
        <v>22646</v>
      </c>
      <c r="D6" s="18" t="n">
        <v>77725</v>
      </c>
      <c r="E6" s="18" t="n">
        <v>96368</v>
      </c>
      <c r="F6" s="18" t="n">
        <v>84145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45049</v>
      </c>
      <c r="C9" s="18" t="n">
        <v>45946</v>
      </c>
      <c r="D9" s="18" t="n">
        <v>47715</v>
      </c>
      <c r="E9" s="18" t="n">
        <v>49623</v>
      </c>
      <c r="F9" s="18" t="n">
        <v>52246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59731</v>
      </c>
      <c r="C11" s="18" t="n">
        <v>61438</v>
      </c>
      <c r="D11" s="18" t="n">
        <v>65845</v>
      </c>
      <c r="E11" s="18" t="n">
        <v>66812</v>
      </c>
      <c r="F11" s="18" t="n">
        <v>69727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1898</v>
      </c>
      <c r="C14" s="18" t="n">
        <v>1978</v>
      </c>
      <c r="D14" s="18" t="n">
        <v>2057</v>
      </c>
      <c r="E14" s="18" t="n">
        <v>2189</v>
      </c>
      <c r="F14" s="18" t="n">
        <v>2314</v>
      </c>
    </row>
    <row r="15">
      <c r="A15" s="19" t="inlineStr">
        <is>
          <t>(8)  EBIT (Operating Income)</t>
        </is>
      </c>
      <c r="B15" s="24" t="n">
        <v>33976</v>
      </c>
      <c r="C15" s="24" t="n">
        <v>30969</v>
      </c>
      <c r="D15" s="24" t="n">
        <v>28342</v>
      </c>
      <c r="E15" s="24" t="n">
        <v>29254</v>
      </c>
      <c r="F15" s="24" t="n">
        <v>37695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4738</v>
      </c>
      <c r="C17" s="18" t="n">
        <v>20103</v>
      </c>
      <c r="D17" s="18" t="n">
        <v>73331</v>
      </c>
      <c r="E17" s="18" t="n">
        <v>90547</v>
      </c>
      <c r="F17" s="18" t="n">
        <v>78470</v>
      </c>
    </row>
    <row r="18">
      <c r="A18" s="21" t="inlineStr">
        <is>
          <t xml:space="preserve">     Interest Income</t>
        </is>
      </c>
      <c r="B18" s="18" t="n">
        <v>47672</v>
      </c>
      <c r="C18" s="18" t="n">
        <v>72565</v>
      </c>
      <c r="D18" s="18" t="n">
        <v>130262</v>
      </c>
      <c r="E18" s="18" t="n">
        <v>146607</v>
      </c>
      <c r="F18" s="18" t="n">
        <v>138566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33976</v>
      </c>
      <c r="C21" s="24" t="n">
        <v>30969</v>
      </c>
      <c r="D21" s="24" t="n">
        <v>28342</v>
      </c>
      <c r="E21" s="24" t="n">
        <v>29254</v>
      </c>
      <c r="F21" s="24" t="n">
        <v>37695</v>
      </c>
    </row>
    <row r="22">
      <c r="A22" s="17" t="inlineStr">
        <is>
          <t>(11) Income Tax Expense</t>
        </is>
      </c>
      <c r="B22" s="18" t="n">
        <v>1998</v>
      </c>
      <c r="C22" s="18" t="n">
        <v>3441</v>
      </c>
      <c r="D22" s="18" t="n">
        <v>1827</v>
      </c>
      <c r="E22" s="18" t="n">
        <v>2122</v>
      </c>
      <c r="F22" s="18" t="n">
        <v>7186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31978</v>
      </c>
      <c r="C24" s="24" t="n">
        <v>27528</v>
      </c>
      <c r="D24" s="24" t="n">
        <v>26515</v>
      </c>
      <c r="E24" s="24" t="n">
        <v>27132</v>
      </c>
      <c r="F24" s="24" t="n">
        <v>30509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93851</v>
      </c>
      <c r="C30" s="16" t="n">
        <v>115053</v>
      </c>
      <c r="D30" s="16" t="n">
        <v>171912</v>
      </c>
      <c r="E30" s="16" t="n">
        <v>192434</v>
      </c>
      <c r="F30" s="16" t="n">
        <v>191567</v>
      </c>
    </row>
    <row r="31">
      <c r="A31" s="17" t="inlineStr">
        <is>
          <t>Cost of Revenue</t>
        </is>
      </c>
      <c r="B31" s="18" t="n">
        <v>144</v>
      </c>
      <c r="C31" s="18" t="n">
        <v>22646</v>
      </c>
      <c r="D31" s="18" t="n">
        <v>77725</v>
      </c>
      <c r="E31" s="18" t="n">
        <v>96368</v>
      </c>
      <c r="F31" s="18" t="n">
        <v>84145</v>
      </c>
    </row>
    <row r="32">
      <c r="A32" s="26" t="inlineStr">
        <is>
          <t>Gross Profit</t>
        </is>
      </c>
      <c r="B32" s="27" t="n">
        <v>93707</v>
      </c>
      <c r="C32" s="27" t="n">
        <v>92407</v>
      </c>
      <c r="D32" s="27" t="n">
        <v>94187</v>
      </c>
      <c r="E32" s="27" t="n">
        <v>96066</v>
      </c>
      <c r="F32" s="27" t="n">
        <v>107422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39229</v>
      </c>
      <c r="C35" s="18" t="n">
        <v>40468</v>
      </c>
      <c r="D35" s="18" t="n">
        <v>42180</v>
      </c>
      <c r="E35" s="18" t="n">
        <v>44173</v>
      </c>
      <c r="F35" s="18" t="n">
        <v>46118</v>
      </c>
    </row>
    <row r="36">
      <c r="A36" s="17" t="inlineStr">
        <is>
          <t>Selling &amp; Marketing</t>
        </is>
      </c>
      <c r="B36" s="18" t="n">
        <v>5820</v>
      </c>
      <c r="C36" s="18" t="n">
        <v>5478</v>
      </c>
      <c r="D36" s="18" t="n">
        <v>5535</v>
      </c>
      <c r="E36" s="18" t="n">
        <v>5450</v>
      </c>
      <c r="F36" s="18" t="n">
        <v>6128</v>
      </c>
    </row>
    <row r="37">
      <c r="A37" s="17" t="inlineStr">
        <is>
          <t>SG&amp;A (Combined)</t>
        </is>
      </c>
      <c r="B37" s="18" t="n">
        <v>45049</v>
      </c>
      <c r="C37" s="18" t="n">
        <v>45946</v>
      </c>
      <c r="D37" s="18" t="n">
        <v>47715</v>
      </c>
      <c r="E37" s="18" t="n">
        <v>49623</v>
      </c>
      <c r="F37" s="18" t="n">
        <v>52246</v>
      </c>
    </row>
    <row r="38">
      <c r="A38" s="17" t="inlineStr">
        <is>
          <t>Other Expenses</t>
        </is>
      </c>
      <c r="B38" s="18" t="n">
        <v>14682</v>
      </c>
      <c r="C38" s="18" t="n">
        <v>15492</v>
      </c>
      <c r="D38" s="18" t="n">
        <v>18130</v>
      </c>
      <c r="E38" s="18" t="n">
        <v>17189</v>
      </c>
      <c r="F38" s="18" t="n">
        <v>17481</v>
      </c>
    </row>
    <row r="39">
      <c r="A39" s="26" t="inlineStr">
        <is>
          <t>Total Operating Expenses</t>
        </is>
      </c>
      <c r="B39" s="27" t="n">
        <v>59731</v>
      </c>
      <c r="C39" s="27" t="n">
        <v>61438</v>
      </c>
      <c r="D39" s="27" t="n">
        <v>65845</v>
      </c>
      <c r="E39" s="27" t="n">
        <v>66812</v>
      </c>
      <c r="F39" s="27" t="n">
        <v>69727</v>
      </c>
    </row>
    <row r="40">
      <c r="A40" s="17" t="inlineStr">
        <is>
          <t>Cost &amp; Expenses (COGS + Opex)</t>
        </is>
      </c>
      <c r="B40" s="18" t="n">
        <v>59875</v>
      </c>
      <c r="C40" s="18" t="n">
        <v>84084</v>
      </c>
      <c r="D40" s="18" t="n">
        <v>143570</v>
      </c>
      <c r="E40" s="18" t="n">
        <v>163180</v>
      </c>
      <c r="F40" s="18" t="n">
        <v>153872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33976</v>
      </c>
      <c r="C42" s="16" t="n">
        <v>30969</v>
      </c>
      <c r="D42" s="16" t="n">
        <v>28342</v>
      </c>
      <c r="E42" s="16" t="n">
        <v>29254</v>
      </c>
      <c r="F42" s="16" t="n">
        <v>37695</v>
      </c>
    </row>
    <row r="43">
      <c r="A43" s="17" t="inlineStr">
        <is>
          <t>EBIT (FMP field)</t>
        </is>
      </c>
      <c r="B43" s="18" t="n">
        <v>33976</v>
      </c>
      <c r="C43" s="18" t="n">
        <v>30969</v>
      </c>
      <c r="D43" s="18" t="n">
        <v>28342</v>
      </c>
      <c r="E43" s="18" t="n">
        <v>29254</v>
      </c>
      <c r="F43" s="18" t="n">
        <v>37695</v>
      </c>
    </row>
    <row r="44">
      <c r="A44" s="26" t="inlineStr">
        <is>
          <t>EBITDA</t>
        </is>
      </c>
      <c r="B44" s="27" t="n">
        <v>35874</v>
      </c>
      <c r="C44" s="27" t="n">
        <v>32947</v>
      </c>
      <c r="D44" s="27" t="n">
        <v>30399</v>
      </c>
      <c r="E44" s="27" t="n">
        <v>31443</v>
      </c>
      <c r="F44" s="27" t="n">
        <v>40009</v>
      </c>
    </row>
    <row r="45">
      <c r="A45" s="17" t="inlineStr">
        <is>
          <t>Depreciation &amp; Amortisation</t>
        </is>
      </c>
      <c r="B45" s="18" t="n">
        <v>1898</v>
      </c>
      <c r="C45" s="18" t="n">
        <v>1978</v>
      </c>
      <c r="D45" s="18" t="n">
        <v>2057</v>
      </c>
      <c r="E45" s="18" t="n">
        <v>2189</v>
      </c>
      <c r="F45" s="18" t="n">
        <v>2314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47672</v>
      </c>
      <c r="C47" s="18" t="n">
        <v>72565</v>
      </c>
      <c r="D47" s="18" t="n">
        <v>130262</v>
      </c>
      <c r="E47" s="18" t="n">
        <v>146607</v>
      </c>
      <c r="F47" s="18" t="n">
        <v>138566</v>
      </c>
    </row>
    <row r="48">
      <c r="A48" s="17" t="inlineStr">
        <is>
          <t>Interest Expense</t>
        </is>
      </c>
      <c r="B48" s="18" t="n">
        <v>4738</v>
      </c>
      <c r="C48" s="18" t="n">
        <v>20103</v>
      </c>
      <c r="D48" s="18" t="n">
        <v>73331</v>
      </c>
      <c r="E48" s="18" t="n">
        <v>90547</v>
      </c>
      <c r="F48" s="18" t="n">
        <v>78470</v>
      </c>
    </row>
    <row r="49">
      <c r="A49" s="17" t="inlineStr">
        <is>
          <t>Net Interest Income</t>
        </is>
      </c>
      <c r="B49" s="18" t="n">
        <v>42934</v>
      </c>
      <c r="C49" s="18" t="n">
        <v>52462</v>
      </c>
      <c r="D49" s="18" t="n">
        <v>56931</v>
      </c>
      <c r="E49" s="18" t="n">
        <v>56060</v>
      </c>
      <c r="F49" s="18" t="n">
        <v>60096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33976</v>
      </c>
      <c r="C52" s="27" t="n">
        <v>30969</v>
      </c>
      <c r="D52" s="27" t="n">
        <v>28342</v>
      </c>
      <c r="E52" s="27" t="n">
        <v>29254</v>
      </c>
      <c r="F52" s="27" t="n">
        <v>37695</v>
      </c>
    </row>
    <row r="53">
      <c r="A53" s="17" t="inlineStr">
        <is>
          <t>Income Tax Expense</t>
        </is>
      </c>
      <c r="B53" s="18" t="n">
        <v>1998</v>
      </c>
      <c r="C53" s="18" t="n">
        <v>3441</v>
      </c>
      <c r="D53" s="18" t="n">
        <v>1827</v>
      </c>
      <c r="E53" s="18" t="n">
        <v>2122</v>
      </c>
      <c r="F53" s="18" t="n">
        <v>7186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31978</v>
      </c>
      <c r="C55" s="18" t="n">
        <v>27528</v>
      </c>
      <c r="D55" s="18" t="n">
        <v>26515</v>
      </c>
      <c r="E55" s="18" t="n">
        <v>27132</v>
      </c>
      <c r="F55" s="18" t="n">
        <v>30509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-1421</v>
      </c>
      <c r="C58" s="18" t="n">
        <v>-1513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31978</v>
      </c>
      <c r="C59" s="27" t="n">
        <v>27528</v>
      </c>
      <c r="D59" s="27" t="n">
        <v>26515</v>
      </c>
      <c r="E59" s="27" t="n">
        <v>27132</v>
      </c>
      <c r="F59" s="27" t="n">
        <v>30509</v>
      </c>
    </row>
    <row r="60">
      <c r="A60" s="15" t="inlineStr">
        <is>
          <t>Bottom Line Net Income</t>
        </is>
      </c>
      <c r="B60" s="16" t="n">
        <v>30557</v>
      </c>
      <c r="C60" s="16" t="n">
        <v>26015</v>
      </c>
      <c r="D60" s="16" t="n">
        <v>24866</v>
      </c>
      <c r="E60" s="16" t="n">
        <v>25503</v>
      </c>
      <c r="F60" s="16" t="n">
        <v>29055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3.6</v>
      </c>
      <c r="C62" s="18" t="n">
        <v>3.21</v>
      </c>
      <c r="D62" s="18" t="n">
        <v>3.1</v>
      </c>
      <c r="E62" s="18" t="n">
        <v>3.25</v>
      </c>
      <c r="F62" s="18" t="n">
        <v>3.88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8493.299999999999</v>
      </c>
      <c r="C64" s="18" t="n">
        <v>8113.7</v>
      </c>
      <c r="D64" s="18" t="n">
        <v>8028.6</v>
      </c>
      <c r="E64" s="18" t="n">
        <v>7738.4</v>
      </c>
      <c r="F64" s="18" t="n">
        <v>7364.9</v>
      </c>
    </row>
    <row r="65">
      <c r="A65" s="17" t="inlineStr">
        <is>
          <t>Shares Outstanding — Diluted (mm)</t>
        </is>
      </c>
      <c r="B65" s="18" t="n">
        <v>8558.4</v>
      </c>
      <c r="C65" s="18" t="n">
        <v>8167.5</v>
      </c>
      <c r="D65" s="18" t="n">
        <v>8080.5</v>
      </c>
      <c r="E65" s="18" t="n">
        <v>7843.7</v>
      </c>
      <c r="F65" s="18" t="n">
        <v>7546.9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355365</v>
      </c>
      <c r="C5" s="18" t="n">
        <v>237462</v>
      </c>
      <c r="D5" s="18" t="n">
        <v>341419</v>
      </c>
      <c r="E5" s="18" t="n">
        <v>296486</v>
      </c>
      <c r="F5" s="18" t="n">
        <v>231845</v>
      </c>
    </row>
    <row r="6">
      <c r="A6" s="17" t="inlineStr">
        <is>
          <t>(2)  Receivables</t>
        </is>
      </c>
      <c r="B6" s="18" t="n">
        <v>87020</v>
      </c>
      <c r="C6" s="18" t="n">
        <v>81135</v>
      </c>
      <c r="D6" s="18" t="n">
        <v>96697</v>
      </c>
      <c r="E6" s="18" t="n">
        <v>97919</v>
      </c>
      <c r="F6" s="18" t="n">
        <v>103351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741563</v>
      </c>
      <c r="C9" s="24" t="n">
        <v>539385</v>
      </c>
      <c r="D9" s="24" t="n">
        <v>704765</v>
      </c>
      <c r="E9" s="24" t="n">
        <v>740837</v>
      </c>
      <c r="F9" s="24" t="n">
        <v>1067083</v>
      </c>
    </row>
    <row r="10">
      <c r="A10" s="17" t="inlineStr">
        <is>
          <t>(6)  PP&amp;E (Net)</t>
        </is>
      </c>
      <c r="B10" s="18" t="n">
        <v>10833</v>
      </c>
      <c r="C10" s="18" t="n">
        <v>11510</v>
      </c>
      <c r="D10" s="18" t="n">
        <v>11855</v>
      </c>
      <c r="E10" s="18" t="n">
        <v>12168</v>
      </c>
      <c r="F10" s="18" t="n">
        <v>12516</v>
      </c>
    </row>
    <row r="11">
      <c r="A11" s="17" t="inlineStr">
        <is>
          <t>(7)  Goodwill</t>
        </is>
      </c>
      <c r="B11" s="18" t="n">
        <v>69022</v>
      </c>
      <c r="C11" s="18" t="n">
        <v>69022</v>
      </c>
      <c r="D11" s="18" t="n">
        <v>69021</v>
      </c>
      <c r="E11" s="18" t="n">
        <v>69021</v>
      </c>
      <c r="F11" s="18" t="n">
        <v>69021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2427932</v>
      </c>
      <c r="C14" s="24" t="n">
        <v>2511990</v>
      </c>
      <c r="D14" s="24" t="n">
        <v>2475386</v>
      </c>
      <c r="E14" s="24" t="n">
        <v>2520682</v>
      </c>
      <c r="F14" s="24" t="n">
        <v>2343311</v>
      </c>
    </row>
    <row r="15">
      <c r="A15" s="19" t="inlineStr">
        <is>
          <t>(11) Total Assets</t>
        </is>
      </c>
      <c r="B15" s="24" t="n">
        <v>3169495</v>
      </c>
      <c r="C15" s="24" t="n">
        <v>3051375</v>
      </c>
      <c r="D15" s="24" t="n">
        <v>3180151</v>
      </c>
      <c r="E15" s="24" t="n">
        <v>3261519</v>
      </c>
      <c r="F15" s="24" t="n">
        <v>3410394</v>
      </c>
    </row>
    <row r="16" ht="6" customHeight="1"/>
    <row r="17">
      <c r="A17" s="17" t="inlineStr">
        <is>
          <t>(12) Accounts Payable</t>
        </is>
      </c>
      <c r="B17" s="18" t="n">
        <v>0</v>
      </c>
      <c r="C17" s="18" t="n">
        <v>0</v>
      </c>
      <c r="D17" s="18" t="n">
        <v>0</v>
      </c>
      <c r="E17" s="18" t="n">
        <v>0</v>
      </c>
      <c r="F17" s="18" t="n">
        <v>0</v>
      </c>
    </row>
    <row r="18">
      <c r="A18" s="17" t="inlineStr">
        <is>
          <t>(13) Short-Term Borrowings</t>
        </is>
      </c>
      <c r="B18" s="18" t="n">
        <v>216082</v>
      </c>
      <c r="C18" s="18" t="n">
        <v>222567</v>
      </c>
      <c r="D18" s="18" t="n">
        <v>315985</v>
      </c>
      <c r="E18" s="18" t="n">
        <v>375149</v>
      </c>
      <c r="F18" s="18" t="n">
        <v>48088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2580181</v>
      </c>
      <c r="C21" s="24" t="n">
        <v>2455840</v>
      </c>
      <c r="D21" s="24" t="n">
        <v>2335342</v>
      </c>
      <c r="E21" s="24" t="n">
        <v>2433159</v>
      </c>
      <c r="F21" s="24" t="n">
        <v>2559605</v>
      </c>
    </row>
    <row r="22">
      <c r="A22" s="17" t="inlineStr">
        <is>
          <t>(17) Long-Term Debt</t>
        </is>
      </c>
      <c r="B22" s="18" t="n">
        <v>280117</v>
      </c>
      <c r="C22" s="18" t="n">
        <v>275982</v>
      </c>
      <c r="D22" s="18" t="n">
        <v>302204</v>
      </c>
      <c r="E22" s="18" t="n">
        <v>283279</v>
      </c>
      <c r="F22" s="18" t="n">
        <v>317816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2899429</v>
      </c>
      <c r="C25" s="24" t="n">
        <v>2778178</v>
      </c>
      <c r="D25" s="24" t="n">
        <v>2888505</v>
      </c>
      <c r="E25" s="24" t="n">
        <v>2965960</v>
      </c>
      <c r="F25" s="24" t="n">
        <v>3107151</v>
      </c>
    </row>
    <row r="26" ht="6" customHeight="1"/>
    <row r="27">
      <c r="A27" s="17" t="inlineStr">
        <is>
          <t>(21) Common Stock &amp; APIC</t>
        </is>
      </c>
      <c r="B27" s="18" t="n">
        <v>62398</v>
      </c>
      <c r="C27" s="18" t="n">
        <v>58953</v>
      </c>
      <c r="D27" s="18" t="n">
        <v>56365</v>
      </c>
      <c r="E27" s="18" t="n">
        <v>45336</v>
      </c>
      <c r="F27" s="18" t="n">
        <v>26084</v>
      </c>
    </row>
    <row r="28">
      <c r="A28" s="17" t="inlineStr">
        <is>
          <t>(22) Retained Earnings</t>
        </is>
      </c>
      <c r="B28" s="18" t="n">
        <v>188064</v>
      </c>
      <c r="C28" s="18" t="n">
        <v>207003</v>
      </c>
      <c r="D28" s="18" t="n">
        <v>224672</v>
      </c>
      <c r="E28" s="18" t="n">
        <v>242349</v>
      </c>
      <c r="F28" s="18" t="n">
        <v>261693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270066</v>
      </c>
      <c r="C30" s="24" t="n">
        <v>273197</v>
      </c>
      <c r="D30" s="24" t="n">
        <v>291646</v>
      </c>
      <c r="E30" s="24" t="n">
        <v>295559</v>
      </c>
      <c r="F30" s="24" t="n">
        <v>303243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355365</v>
      </c>
      <c r="C36" s="18" t="n">
        <v>237462</v>
      </c>
      <c r="D36" s="18" t="n">
        <v>341419</v>
      </c>
      <c r="E36" s="18" t="n">
        <v>296486</v>
      </c>
      <c r="F36" s="18" t="n">
        <v>231845</v>
      </c>
    </row>
    <row r="37">
      <c r="A37" s="17" t="inlineStr">
        <is>
          <t>Short-Term Investments</t>
        </is>
      </c>
      <c r="B37" s="18" t="n">
        <v>299178</v>
      </c>
      <c r="C37" s="18" t="n">
        <v>220788</v>
      </c>
      <c r="D37" s="18" t="n">
        <v>266649</v>
      </c>
      <c r="E37" s="18" t="n">
        <v>346432</v>
      </c>
      <c r="F37" s="18" t="n">
        <v>731887</v>
      </c>
    </row>
    <row r="38">
      <c r="A38" s="28" t="inlineStr">
        <is>
          <t>Cash &amp; Short-Term Investments</t>
        </is>
      </c>
      <c r="B38" s="29" t="n">
        <v>654543</v>
      </c>
      <c r="C38" s="29" t="n">
        <v>458250</v>
      </c>
      <c r="D38" s="29" t="n">
        <v>608068</v>
      </c>
      <c r="E38" s="29" t="n">
        <v>642918</v>
      </c>
      <c r="F38" s="29" t="n">
        <v>963732</v>
      </c>
    </row>
    <row r="39">
      <c r="A39" s="17" t="inlineStr">
        <is>
          <t>Accounts Receivable (Trade)</t>
        </is>
      </c>
      <c r="B39" s="18" t="n">
        <v>72263</v>
      </c>
      <c r="C39" s="18" t="n">
        <v>67543</v>
      </c>
      <c r="D39" s="18" t="n">
        <v>81881</v>
      </c>
      <c r="E39" s="18" t="n">
        <v>82247</v>
      </c>
      <c r="F39" s="18" t="n">
        <v>98186</v>
      </c>
    </row>
    <row r="40">
      <c r="A40" s="17" t="inlineStr">
        <is>
          <t>Other Receivables</t>
        </is>
      </c>
      <c r="B40" s="18" t="n">
        <v>14757</v>
      </c>
      <c r="C40" s="18" t="n">
        <v>13592</v>
      </c>
      <c r="D40" s="18" t="n">
        <v>14816</v>
      </c>
      <c r="E40" s="18" t="n">
        <v>15672</v>
      </c>
      <c r="F40" s="18" t="n">
        <v>5165</v>
      </c>
    </row>
    <row r="41">
      <c r="A41" s="28" t="inlineStr">
        <is>
          <t>Net Receivables (Total)</t>
        </is>
      </c>
      <c r="B41" s="29" t="n">
        <v>87020</v>
      </c>
      <c r="C41" s="29" t="n">
        <v>81135</v>
      </c>
      <c r="D41" s="29" t="n">
        <v>96697</v>
      </c>
      <c r="E41" s="29" t="n">
        <v>97919</v>
      </c>
      <c r="F41" s="29" t="n">
        <v>103351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741563</v>
      </c>
      <c r="C45" s="27" t="n">
        <v>539385</v>
      </c>
      <c r="D45" s="27" t="n">
        <v>704765</v>
      </c>
      <c r="E45" s="27" t="n">
        <v>740837</v>
      </c>
      <c r="F45" s="27" t="n">
        <v>1067083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10833</v>
      </c>
      <c r="C47" s="18" t="n">
        <v>11510</v>
      </c>
      <c r="D47" s="18" t="n">
        <v>11855</v>
      </c>
      <c r="E47" s="18" t="n">
        <v>12168</v>
      </c>
      <c r="F47" s="18" t="n">
        <v>12516</v>
      </c>
    </row>
    <row r="48">
      <c r="A48" s="17" t="inlineStr">
        <is>
          <t>Goodwill</t>
        </is>
      </c>
      <c r="B48" s="18" t="n">
        <v>69022</v>
      </c>
      <c r="C48" s="18" t="n">
        <v>69022</v>
      </c>
      <c r="D48" s="18" t="n">
        <v>69021</v>
      </c>
      <c r="E48" s="18" t="n">
        <v>69021</v>
      </c>
      <c r="F48" s="18" t="n">
        <v>69021</v>
      </c>
    </row>
    <row r="49">
      <c r="A49" s="17" t="inlineStr">
        <is>
          <t>Intangible Assets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1686408</v>
      </c>
      <c r="C50" s="18" t="n">
        <v>1717017</v>
      </c>
      <c r="D50" s="18" t="n">
        <v>1675657</v>
      </c>
      <c r="E50" s="18" t="n">
        <v>1688268</v>
      </c>
      <c r="F50" s="18" t="n">
        <v>2098132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1985586</v>
      </c>
      <c r="C52" s="18" t="n">
        <v>1937805</v>
      </c>
      <c r="D52" s="18" t="n">
        <v>1942306</v>
      </c>
      <c r="E52" s="18" t="n">
        <v>2034700</v>
      </c>
      <c r="F52" s="18" t="n">
        <v>2830019</v>
      </c>
    </row>
    <row r="53">
      <c r="A53" s="17" t="inlineStr">
        <is>
          <t>Other Non-Current Assets</t>
        </is>
      </c>
      <c r="B53" s="18" t="n">
        <v>661669</v>
      </c>
      <c r="C53" s="18" t="n">
        <v>714441</v>
      </c>
      <c r="D53" s="18" t="n">
        <v>718853</v>
      </c>
      <c r="E53" s="18" t="n">
        <v>751225</v>
      </c>
      <c r="F53" s="18" t="n">
        <v>163642</v>
      </c>
    </row>
    <row r="54">
      <c r="A54" s="26" t="inlineStr">
        <is>
          <t>Total Non-Current Assets</t>
        </is>
      </c>
      <c r="B54" s="27" t="n">
        <v>2427932</v>
      </c>
      <c r="C54" s="27" t="n">
        <v>2511990</v>
      </c>
      <c r="D54" s="27" t="n">
        <v>2475386</v>
      </c>
      <c r="E54" s="27" t="n">
        <v>2520682</v>
      </c>
      <c r="F54" s="27" t="n">
        <v>2343311</v>
      </c>
    </row>
    <row r="55">
      <c r="A55" s="13" t="inlineStr">
        <is>
          <t>TOTAL ASSETS</t>
        </is>
      </c>
      <c r="B55" s="30" t="n">
        <v>3169495</v>
      </c>
      <c r="C55" s="30" t="n">
        <v>3051375</v>
      </c>
      <c r="D55" s="30" t="n">
        <v>3180151</v>
      </c>
      <c r="E55" s="30" t="n">
        <v>3261519</v>
      </c>
      <c r="F55" s="30" t="n">
        <v>3410394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Short-Term Debt</t>
        </is>
      </c>
      <c r="B58" s="18" t="n">
        <v>216082</v>
      </c>
      <c r="C58" s="18" t="n">
        <v>222567</v>
      </c>
      <c r="D58" s="18" t="n">
        <v>315985</v>
      </c>
      <c r="E58" s="18" t="n">
        <v>375149</v>
      </c>
      <c r="F58" s="18" t="n">
        <v>48088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2165136</v>
      </c>
      <c r="C61" s="18" t="n">
        <v>2010740</v>
      </c>
      <c r="D61" s="18" t="n">
        <v>2019357</v>
      </c>
      <c r="E61" s="18" t="n">
        <v>2058010</v>
      </c>
      <c r="F61" s="18" t="n">
        <v>2511517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2580181</v>
      </c>
      <c r="C63" s="27" t="n">
        <v>2455840</v>
      </c>
      <c r="D63" s="27" t="n">
        <v>2335342</v>
      </c>
      <c r="E63" s="27" t="n">
        <v>2433159</v>
      </c>
      <c r="F63" s="27" t="n">
        <v>2559605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280117</v>
      </c>
      <c r="C65" s="18" t="n">
        <v>275982</v>
      </c>
      <c r="D65" s="18" t="n">
        <v>302204</v>
      </c>
      <c r="E65" s="18" t="n">
        <v>283279</v>
      </c>
      <c r="F65" s="18" t="n">
        <v>317816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39131</v>
      </c>
      <c r="C69" s="18" t="n">
        <v>46356</v>
      </c>
      <c r="D69" s="18" t="n">
        <v>250959</v>
      </c>
      <c r="E69" s="18" t="n">
        <v>249522</v>
      </c>
      <c r="F69" s="18" t="n">
        <v>229730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2899429</v>
      </c>
      <c r="C71" s="30" t="n">
        <v>2778178</v>
      </c>
      <c r="D71" s="30" t="n">
        <v>2888505</v>
      </c>
      <c r="E71" s="30" t="n">
        <v>2965960</v>
      </c>
      <c r="F71" s="30" t="n">
        <v>3107151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62398</v>
      </c>
      <c r="C73" s="18" t="n">
        <v>58953</v>
      </c>
      <c r="D73" s="18" t="n">
        <v>56365</v>
      </c>
      <c r="E73" s="18" t="n">
        <v>45336</v>
      </c>
      <c r="F73" s="18" t="n">
        <v>26084</v>
      </c>
    </row>
    <row r="74">
      <c r="A74" s="17" t="inlineStr">
        <is>
          <t>Retained Earnings</t>
        </is>
      </c>
      <c r="B74" s="18" t="n">
        <v>188064</v>
      </c>
      <c r="C74" s="18" t="n">
        <v>207003</v>
      </c>
      <c r="D74" s="18" t="n">
        <v>224672</v>
      </c>
      <c r="E74" s="18" t="n">
        <v>242349</v>
      </c>
      <c r="F74" s="18" t="n">
        <v>261693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270066</v>
      </c>
      <c r="C78" s="27" t="n">
        <v>273197</v>
      </c>
      <c r="D78" s="27" t="n">
        <v>291646</v>
      </c>
      <c r="E78" s="27" t="n">
        <v>295559</v>
      </c>
      <c r="F78" s="27" t="n">
        <v>303243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-7193</v>
      </c>
      <c r="C5" s="24" t="n">
        <v>-6327</v>
      </c>
      <c r="D5" s="24" t="n">
        <v>44982</v>
      </c>
      <c r="E5" s="24" t="n">
        <v>-8805</v>
      </c>
      <c r="F5" s="24" t="n">
        <v>12613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34281</v>
      </c>
      <c r="C9" s="18" t="n">
        <v>35034</v>
      </c>
      <c r="D9" s="18" t="n">
        <v>25987</v>
      </c>
      <c r="E9" s="18" t="n">
        <v>-1154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-8055</v>
      </c>
      <c r="C12" s="18" t="n">
        <v>-8576</v>
      </c>
      <c r="D12" s="18" t="n">
        <v>-9087</v>
      </c>
      <c r="E12" s="18" t="n">
        <v>-9503</v>
      </c>
      <c r="F12" s="18" t="n">
        <v>-9563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-7193</v>
      </c>
      <c r="C15" s="24" t="n">
        <v>-6327</v>
      </c>
      <c r="D15" s="24" t="n">
        <v>44982</v>
      </c>
      <c r="E15" s="24" t="n">
        <v>-8805</v>
      </c>
      <c r="F15" s="24" t="n">
        <v>12613</v>
      </c>
    </row>
    <row r="16">
      <c r="A16" s="15" t="inlineStr">
        <is>
          <t xml:space="preserve">     Net Change in Cash</t>
        </is>
      </c>
      <c r="B16" s="16" t="n">
        <v>-32242</v>
      </c>
      <c r="C16" s="16" t="n">
        <v>-118018</v>
      </c>
      <c r="D16" s="16" t="n">
        <v>102870</v>
      </c>
      <c r="E16" s="16" t="n">
        <v>-42959</v>
      </c>
      <c r="F16" s="16" t="n">
        <v>-58269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31978</v>
      </c>
      <c r="C21" s="18" t="n">
        <v>27528</v>
      </c>
      <c r="D21" s="18" t="n">
        <v>26515</v>
      </c>
      <c r="E21" s="18" t="n">
        <v>27132</v>
      </c>
      <c r="F21" s="18" t="n">
        <v>30509</v>
      </c>
    </row>
    <row r="22">
      <c r="A22" s="17" t="inlineStr">
        <is>
          <t>Depreciation &amp; Amortisation</t>
        </is>
      </c>
      <c r="B22" s="18" t="n">
        <v>1898</v>
      </c>
      <c r="C22" s="18" t="n">
        <v>1978</v>
      </c>
      <c r="D22" s="18" t="n">
        <v>2057</v>
      </c>
      <c r="E22" s="18" t="n">
        <v>2189</v>
      </c>
      <c r="F22" s="18" t="n">
        <v>2314</v>
      </c>
    </row>
    <row r="23">
      <c r="A23" s="17" t="inlineStr">
        <is>
          <t>Deferred Income Tax</t>
        </is>
      </c>
      <c r="B23" s="18" t="n">
        <v>-838</v>
      </c>
      <c r="C23" s="18" t="n">
        <v>739</v>
      </c>
      <c r="D23" s="18" t="n">
        <v>-2011</v>
      </c>
      <c r="E23" s="18" t="n">
        <v>-1734</v>
      </c>
      <c r="F23" s="18" t="n">
        <v>295</v>
      </c>
    </row>
    <row r="24">
      <c r="A24" s="17" t="inlineStr">
        <is>
          <t>Stock-Based Compensation</t>
        </is>
      </c>
      <c r="B24" s="18" t="n">
        <v>2768</v>
      </c>
      <c r="C24" s="18" t="n">
        <v>2862</v>
      </c>
      <c r="D24" s="18" t="n">
        <v>2942</v>
      </c>
      <c r="E24" s="18" t="n">
        <v>3433</v>
      </c>
      <c r="F24" s="18" t="n">
        <v>4001</v>
      </c>
    </row>
    <row r="25">
      <c r="A25" s="17" t="inlineStr">
        <is>
          <t>Change in Working Capital</t>
        </is>
      </c>
      <c r="B25" s="18" t="n">
        <v>-39920</v>
      </c>
      <c r="C25" s="18" t="n">
        <v>-51944</v>
      </c>
      <c r="D25" s="18" t="n">
        <v>2728</v>
      </c>
      <c r="E25" s="18" t="n">
        <v>-48546</v>
      </c>
      <c r="F25" s="18" t="n">
        <v>0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-39920</v>
      </c>
      <c r="C29" s="18" t="n">
        <v>-51944</v>
      </c>
      <c r="D29" s="18" t="n">
        <v>2728</v>
      </c>
      <c r="E29" s="18" t="n">
        <v>-48546</v>
      </c>
      <c r="F29" s="18" t="n">
        <v>0</v>
      </c>
    </row>
    <row r="30">
      <c r="A30" s="17" t="inlineStr">
        <is>
          <t>Other Non-Cash Items</t>
        </is>
      </c>
      <c r="B30" s="18" t="n">
        <v>-3079</v>
      </c>
      <c r="C30" s="18" t="n">
        <v>12510</v>
      </c>
      <c r="D30" s="18" t="n">
        <v>12751</v>
      </c>
      <c r="E30" s="18" t="n">
        <v>8721</v>
      </c>
      <c r="F30" s="18" t="n">
        <v>-24506</v>
      </c>
    </row>
    <row r="31">
      <c r="A31" s="26" t="inlineStr">
        <is>
          <t>Net Cash from Operations (CFO)</t>
        </is>
      </c>
      <c r="B31" s="27" t="n">
        <v>-7193</v>
      </c>
      <c r="C31" s="27" t="n">
        <v>-6327</v>
      </c>
      <c r="D31" s="27" t="n">
        <v>44982</v>
      </c>
      <c r="E31" s="27" t="n">
        <v>-8805</v>
      </c>
      <c r="F31" s="27" t="n">
        <v>12613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-601134</v>
      </c>
      <c r="C36" s="18" t="n">
        <v>-159058</v>
      </c>
      <c r="D36" s="18" t="n">
        <v>-291057</v>
      </c>
      <c r="E36" s="18" t="n">
        <v>-390911</v>
      </c>
      <c r="F36" s="18" t="n">
        <v>0</v>
      </c>
    </row>
    <row r="37">
      <c r="A37" s="17" t="inlineStr">
        <is>
          <t>Sales / Maturities of Investments</t>
        </is>
      </c>
      <c r="B37" s="18" t="n">
        <v>291389</v>
      </c>
      <c r="C37" s="18" t="n">
        <v>243161</v>
      </c>
      <c r="D37" s="18" t="n">
        <v>286819</v>
      </c>
      <c r="E37" s="18" t="n">
        <v>342455</v>
      </c>
      <c r="F37" s="18" t="n">
        <v>9592</v>
      </c>
    </row>
    <row r="38">
      <c r="A38" s="17" t="inlineStr">
        <is>
          <t>Other Investing Activities</t>
        </is>
      </c>
      <c r="B38" s="18" t="n">
        <v>-3546</v>
      </c>
      <c r="C38" s="18" t="n">
        <v>-86632</v>
      </c>
      <c r="D38" s="18" t="n">
        <v>-31149</v>
      </c>
      <c r="E38" s="18" t="n">
        <v>-42237</v>
      </c>
      <c r="F38" s="18" t="n">
        <v>-154749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34281</v>
      </c>
      <c r="C41" s="18" t="n">
        <v>35034</v>
      </c>
      <c r="D41" s="18" t="n">
        <v>25987</v>
      </c>
      <c r="E41" s="18" t="n">
        <v>-1154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-25126</v>
      </c>
      <c r="C44" s="18" t="n">
        <v>-5073</v>
      </c>
      <c r="D44" s="18" t="n">
        <v>-4576</v>
      </c>
      <c r="E44" s="18" t="n">
        <v>-13104</v>
      </c>
      <c r="F44" s="18" t="n">
        <v>-21433</v>
      </c>
    </row>
    <row r="45">
      <c r="A45" s="17" t="inlineStr">
        <is>
          <t>Dividends Paid</t>
        </is>
      </c>
      <c r="B45" s="18" t="n">
        <v>-8055</v>
      </c>
      <c r="C45" s="18" t="n">
        <v>-8576</v>
      </c>
      <c r="D45" s="18" t="n">
        <v>-9087</v>
      </c>
      <c r="E45" s="18" t="n">
        <v>-9503</v>
      </c>
      <c r="F45" s="18" t="n">
        <v>-9563</v>
      </c>
    </row>
    <row r="46">
      <c r="A46" s="17" t="inlineStr">
        <is>
          <t>Other Financing Activities</t>
        </is>
      </c>
      <c r="B46" s="18" t="n">
        <v>290550</v>
      </c>
      <c r="C46" s="18" t="n">
        <v>-131196</v>
      </c>
      <c r="D46" s="18" t="n">
        <v>81021</v>
      </c>
      <c r="E46" s="18" t="n">
        <v>89384</v>
      </c>
      <c r="F46" s="18" t="n">
        <v>100944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-3408</v>
      </c>
      <c r="C49" s="18" t="n">
        <v>-3123</v>
      </c>
      <c r="D49" s="18" t="n">
        <v>-70</v>
      </c>
      <c r="E49" s="18" t="n">
        <v>-3830</v>
      </c>
      <c r="F49" s="18" t="n">
        <v>4327</v>
      </c>
    </row>
    <row r="50">
      <c r="A50" s="15" t="inlineStr">
        <is>
          <t>Net Change in Cash</t>
        </is>
      </c>
      <c r="B50" s="16" t="n">
        <v>-32242</v>
      </c>
      <c r="C50" s="16" t="n">
        <v>-118018</v>
      </c>
      <c r="D50" s="16" t="n">
        <v>102870</v>
      </c>
      <c r="E50" s="16" t="n">
        <v>-42959</v>
      </c>
      <c r="F50" s="16" t="n">
        <v>-58269</v>
      </c>
    </row>
    <row r="51">
      <c r="A51" s="17" t="inlineStr">
        <is>
          <t>Cash at Beginning of Period</t>
        </is>
      </c>
      <c r="B51" s="18" t="n">
        <v>380463</v>
      </c>
      <c r="C51" s="18" t="n">
        <v>348221</v>
      </c>
      <c r="D51" s="18" t="n">
        <v>230203</v>
      </c>
      <c r="E51" s="18" t="n">
        <v>333073</v>
      </c>
      <c r="F51" s="18" t="n">
        <v>0</v>
      </c>
    </row>
    <row r="52">
      <c r="A52" s="26" t="inlineStr">
        <is>
          <t>Cash at End of Period</t>
        </is>
      </c>
      <c r="B52" s="27" t="n">
        <v>348221</v>
      </c>
      <c r="C52" s="27" t="n">
        <v>230203</v>
      </c>
      <c r="D52" s="27" t="n">
        <v>333073</v>
      </c>
      <c r="E52" s="27" t="n">
        <v>290114</v>
      </c>
      <c r="F52" s="27" t="n">
        <v>-58269</v>
      </c>
    </row>
    <row r="53">
      <c r="A53" s="26" t="inlineStr">
        <is>
          <t>Free Cash Flow</t>
        </is>
      </c>
      <c r="B53" s="27" t="n">
        <v>-7193</v>
      </c>
      <c r="C53" s="27" t="n">
        <v>-6327</v>
      </c>
      <c r="D53" s="27" t="n">
        <v>44982</v>
      </c>
      <c r="E53" s="27" t="n">
        <v>-8805</v>
      </c>
      <c r="F53" s="27" t="n">
        <v>12613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8558.4</v>
      </c>
      <c r="C61" s="18" t="n">
        <v>8167.5</v>
      </c>
      <c r="D61" s="18" t="n">
        <v>8080.5</v>
      </c>
      <c r="E61" s="18" t="n">
        <v>7843.7</v>
      </c>
      <c r="F61" s="18" t="n">
        <v>7546.9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2.243</v>
      </c>
      <c r="C84" s="18" t="n">
        <v>2.172</v>
      </c>
      <c r="D84" s="18" t="n">
        <v>3.799</v>
      </c>
      <c r="E84" s="18" t="n">
        <v>6.031000000000001</v>
      </c>
      <c r="F84" s="18" t="n">
        <v>5.631</v>
      </c>
    </row>
    <row r="85">
      <c r="A85" s="17" t="inlineStr">
        <is>
          <t>Gross Loans ($B)</t>
        </is>
      </c>
      <c r="B85" s="18" t="n">
        <v>979.124</v>
      </c>
      <c r="C85" s="18" t="n">
        <v>1045.747</v>
      </c>
      <c r="D85" s="18" t="n">
        <v>1053.732</v>
      </c>
      <c r="E85" s="18" t="n">
        <v>1095.835</v>
      </c>
      <c r="F85" s="18" t="n">
        <v>1185.7</v>
      </c>
    </row>
    <row r="86">
      <c r="A86" s="17" t="inlineStr">
        <is>
          <t>NCO Rate %</t>
        </is>
      </c>
      <c r="B86" s="41" t="n">
        <v>0.002290823225658854</v>
      </c>
      <c r="C86" s="41" t="n">
        <v>0.002145321850132675</v>
      </c>
      <c r="D86" s="41" t="n">
        <v>0.003618993093048323</v>
      </c>
      <c r="E86" s="41" t="n">
        <v>0.005611362660479994</v>
      </c>
      <c r="F86" s="41" t="n">
        <v>0.004936150442574845</v>
      </c>
    </row>
    <row r="87">
      <c r="A87" s="17" t="inlineStr">
        <is>
          <t>Allowance for Credit Losses ($B)</t>
        </is>
      </c>
      <c r="B87" s="18" t="n">
        <v>12.387</v>
      </c>
      <c r="C87" s="18" t="n">
        <v>12.682</v>
      </c>
      <c r="D87" s="18" t="n">
        <v>13.342</v>
      </c>
      <c r="E87" s="18" t="n">
        <v>13.24</v>
      </c>
      <c r="F87" s="18" t="n">
        <v>13.203</v>
      </c>
    </row>
    <row r="88">
      <c r="A88" s="17" t="inlineStr">
        <is>
          <t>Coverage Ratio (Allowance / NCO)</t>
        </is>
      </c>
      <c r="B88" s="42" t="n">
        <v>5.52251448952296</v>
      </c>
      <c r="C88" s="42" t="n">
        <v>5.838858195211786</v>
      </c>
      <c r="D88" s="42" t="n">
        <v>3.511976836009476</v>
      </c>
      <c r="E88" s="42" t="n">
        <v>2.195324158514342</v>
      </c>
      <c r="F88" s="42" t="n">
        <v>2.344698987746404</v>
      </c>
    </row>
    <row r="89">
      <c r="A89" s="17" t="inlineStr">
        <is>
          <t>Provision for Credit Losses ($B)</t>
        </is>
      </c>
      <c r="B89" s="18" t="n">
        <v>-4.173</v>
      </c>
      <c r="C89" s="18" t="n">
        <v>2.46</v>
      </c>
      <c r="D89" s="18" t="n">
        <v>4.725000000000001</v>
      </c>
      <c r="E89" s="18" t="n">
        <v>5.935</v>
      </c>
      <c r="F89" s="18" t="n">
        <v>5.595000000000001</v>
      </c>
    </row>
    <row r="90">
      <c r="A90" s="17" t="inlineStr">
        <is>
          <t>Provision / Net Interest Income %</t>
        </is>
      </c>
      <c r="B90" s="41" t="n">
        <v>-0.09719569571901057</v>
      </c>
      <c r="C90" s="41" t="n">
        <v>0.04689108306965041</v>
      </c>
      <c r="D90" s="41" t="n">
        <v>0.08299520472150498</v>
      </c>
      <c r="E90" s="41" t="n">
        <v>0.1058687120941848</v>
      </c>
      <c r="F90" s="41" t="n">
        <v>0.09310103833865814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3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3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BAC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/>
      <c r="C5" s="46" t="inlineStr">
        <is>
          <t>FMP marketCap  |  price $</t>
        </is>
      </c>
    </row>
    <row r="6">
      <c r="A6" s="17" t="inlineStr">
        <is>
          <t>Debt  (gross book value, $mm)</t>
        </is>
      </c>
      <c r="B6" s="47" t="n">
        <v>365904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8" t="inlineStr"/>
    </row>
    <row r="8">
      <c r="A8" s="17" t="inlineStr">
        <is>
          <t>Equity weight  (E / V)</t>
        </is>
      </c>
      <c r="B8" s="49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9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9" t="n">
        <v>0.0447</v>
      </c>
      <c r="C12" s="46" t="inlineStr">
        <is>
          <t>FRED series DGS10  |  latest: 2026-05-14</t>
        </is>
      </c>
    </row>
    <row r="13">
      <c r="A13" s="50" t="inlineStr">
        <is>
          <t>► Selected Rf  (override if needed)</t>
        </is>
      </c>
      <c r="B13" s="51" t="n">
        <v>0.0447</v>
      </c>
      <c r="C13" s="52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3" t="n"/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3" t="n"/>
      <c r="C17" s="46" t="inlineStr">
        <is>
          <t>Mean-reversion toward market beta of 1.0</t>
        </is>
      </c>
    </row>
    <row r="18">
      <c r="A18" s="17" t="inlineStr">
        <is>
          <t>Damodaran industry unlevered  (sector)</t>
        </is>
      </c>
      <c r="B18" s="54" t="n">
        <v>1.15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0.00x,  t = 19.1%)</t>
        </is>
      </c>
      <c r="B19" s="54" t="n">
        <v>1.15</v>
      </c>
      <c r="C19" s="46">
        <f> unlevered × (1 + (1 − t) × D/E)</f>
        <v/>
      </c>
    </row>
    <row r="20">
      <c r="A20" s="50" t="inlineStr">
        <is>
          <t>► Selected beta  (user override)</t>
        </is>
      </c>
      <c r="B20" s="55" t="n">
        <v>1.15</v>
      </c>
      <c r="C20" s="52" t="inlineStr">
        <is>
          <t>Default = average of 1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9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9" t="n">
        <v>0.042</v>
      </c>
      <c r="C24" s="46" t="inlineStr">
        <is>
          <t>Arithmetic average excess return over T-bill</t>
        </is>
      </c>
    </row>
    <row r="25">
      <c r="A25" s="50" t="inlineStr">
        <is>
          <t>► Selected ERP  (user override)</t>
        </is>
      </c>
      <c r="B25" s="51" t="n">
        <v>0.0446</v>
      </c>
      <c r="C25" s="52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6">
        <f>B13+B20*B25</f>
        <v/>
      </c>
      <c r="C28" s="48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6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6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4" t="n">
        <v>0.5</v>
      </c>
      <c r="C33" s="46" t="inlineStr">
        <is>
          <t>EBIT $37695mm  /  Int Exp $78470mm</t>
        </is>
      </c>
    </row>
    <row r="34">
      <c r="A34" s="17" t="inlineStr">
        <is>
          <t>Synthetic rating  (Damodaran ICR table)</t>
        </is>
      </c>
      <c r="B34" s="53" t="inlineStr">
        <is>
          <t>CC</t>
        </is>
      </c>
      <c r="C34" s="46" t="inlineStr">
        <is>
          <t>ICR 0.5x  →  CC</t>
        </is>
      </c>
    </row>
    <row r="35">
      <c r="A35" s="17" t="inlineStr">
        <is>
          <t>Synthetic Rd  (Rf + Damodaran default spread)</t>
        </is>
      </c>
      <c r="B35" s="49" t="n">
        <v>0.1647</v>
      </c>
      <c r="C35" s="46" t="inlineStr">
        <is>
          <t>Rf 4.47% + spread 12.00%</t>
        </is>
      </c>
    </row>
    <row r="36">
      <c r="A36" s="17" t="inlineStr">
        <is>
          <t>Accounting Rd  (Gross int exp / Avg gross debt)</t>
        </is>
      </c>
      <c r="B36" s="49" t="n">
        <v>0.1532120445324368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$60096mm  (int inc $138566mm &gt; int exp $78470mm)</t>
        </is>
      </c>
      <c r="B37" s="53" t="n"/>
      <c r="C37" s="46" t="inlineStr">
        <is>
          <t>Gross Rd is the correct basis here — net figure is distorted</t>
        </is>
      </c>
    </row>
    <row r="38">
      <c r="A38" s="50" t="inlineStr">
        <is>
          <t>► Selected pre-tax Rd  (user override)</t>
        </is>
      </c>
      <c r="B38" s="51" t="n">
        <v>0.159</v>
      </c>
      <c r="C38" s="52" t="inlineStr">
        <is>
          <t>Default = average of 2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9" t="n">
        <v>0.1906</v>
      </c>
      <c r="C41" s="46" t="inlineStr">
        <is>
          <t>FMP: $7186mm  /  $37695mm</t>
        </is>
      </c>
    </row>
    <row r="42">
      <c r="A42" s="50" t="inlineStr">
        <is>
          <t>► Selected tax rate  (user override)</t>
        </is>
      </c>
      <c r="B42" s="51" t="n">
        <v>0.1906</v>
      </c>
      <c r="C42" s="52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7" t="inlineStr">
        <is>
          <t>WACC  =  (E/V × Re)  +  (D/V × Rd × (1 − t))</t>
        </is>
      </c>
      <c r="B45" s="58">
        <f>B8*B28+B9*B38*(1-B42)</f>
        <v/>
      </c>
      <c r="C45" s="59" t="inlineStr">
        <is>
          <t>Used as discount rate in DCF tab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60" t="inlineStr">
        <is>
          <t>Beta offset  \  ERP offset →</t>
        </is>
      </c>
      <c r="B48" s="60" t="inlineStr">
        <is>
          <t>-1.0%</t>
        </is>
      </c>
      <c r="C48" s="60" t="inlineStr">
        <is>
          <t>-0.5%</t>
        </is>
      </c>
      <c r="D48" s="60" t="inlineStr">
        <is>
          <t>Base ERP</t>
        </is>
      </c>
      <c r="E48" s="60" t="inlineStr">
        <is>
          <t>+0.5%</t>
        </is>
      </c>
      <c r="F48" s="60" t="inlineStr">
        <is>
          <t>+1.0%</t>
        </is>
      </c>
    </row>
    <row r="49">
      <c r="A49" s="61" t="inlineStr">
        <is>
          <t>-1.0</t>
        </is>
      </c>
      <c r="B49" s="62">
        <f>B8*(B13+(B20+(-1.0))*(B25+(-0.01)))+B9*B38*(1-B42)</f>
        <v/>
      </c>
      <c r="C49" s="62">
        <f>B8*(B13+(B20+(-1.0))*(B25+(-0.005)))+B9*B38*(1-B42)</f>
        <v/>
      </c>
      <c r="D49" s="62">
        <f>B8*(B13+(B20+(-1.0))*(B25+(0.0)))+B9*B38*(1-B42)</f>
        <v/>
      </c>
      <c r="E49" s="62">
        <f>B8*(B13+(B20+(-1.0))*(B25+(0.005)))+B9*B38*(1-B42)</f>
        <v/>
      </c>
      <c r="F49" s="62">
        <f>B8*(B13+(B20+(-1.0))*(B25+(0.01)))+B9*B38*(1-B42)</f>
        <v/>
      </c>
    </row>
    <row r="50">
      <c r="A50" s="61" t="inlineStr">
        <is>
          <t>-0.5</t>
        </is>
      </c>
      <c r="B50" s="62">
        <f>B8*(B13+(B20+(-0.5))*(B25+(-0.01)))+B9*B38*(1-B42)</f>
        <v/>
      </c>
      <c r="C50" s="62">
        <f>B8*(B13+(B20+(-0.5))*(B25+(-0.005)))+B9*B38*(1-B42)</f>
        <v/>
      </c>
      <c r="D50" s="62">
        <f>B8*(B13+(B20+(-0.5))*(B25+(0.0)))+B9*B38*(1-B42)</f>
        <v/>
      </c>
      <c r="E50" s="62">
        <f>B8*(B13+(B20+(-0.5))*(B25+(0.005)))+B9*B38*(1-B42)</f>
        <v/>
      </c>
      <c r="F50" s="62">
        <f>B8*(B13+(B20+(-0.5))*(B25+(0.01)))+B9*B38*(1-B42)</f>
        <v/>
      </c>
    </row>
    <row r="51">
      <c r="A51" s="63" t="inlineStr">
        <is>
          <t>Base β</t>
        </is>
      </c>
      <c r="B51" s="64">
        <f>B8*(B13+(B20+(0.0))*(B25+(-0.01)))+B9*B38*(1-B42)</f>
        <v/>
      </c>
      <c r="C51" s="64">
        <f>B8*(B13+(B20+(0.0))*(B25+(-0.005)))+B9*B38*(1-B42)</f>
        <v/>
      </c>
      <c r="D51" s="65">
        <f>B8*(B13+(B20+(0.0))*(B25+(0.0)))+B9*B38*(1-B42)</f>
        <v/>
      </c>
      <c r="E51" s="64">
        <f>B8*(B13+(B20+(0.0))*(B25+(0.005)))+B9*B38*(1-B42)</f>
        <v/>
      </c>
      <c r="F51" s="64">
        <f>B8*(B13+(B20+(0.0))*(B25+(0.01)))+B9*B38*(1-B42)</f>
        <v/>
      </c>
    </row>
    <row r="52">
      <c r="A52" s="61" t="inlineStr">
        <is>
          <t>+0.5</t>
        </is>
      </c>
      <c r="B52" s="62">
        <f>B8*(B13+(B20+(0.5))*(B25+(-0.01)))+B9*B38*(1-B42)</f>
        <v/>
      </c>
      <c r="C52" s="62">
        <f>B8*(B13+(B20+(0.5))*(B25+(-0.005)))+B9*B38*(1-B42)</f>
        <v/>
      </c>
      <c r="D52" s="62">
        <f>B8*(B13+(B20+(0.5))*(B25+(0.0)))+B9*B38*(1-B42)</f>
        <v/>
      </c>
      <c r="E52" s="62">
        <f>B8*(B13+(B20+(0.5))*(B25+(0.005)))+B9*B38*(1-B42)</f>
        <v/>
      </c>
      <c r="F52" s="62">
        <f>B8*(B13+(B20+(0.5))*(B25+(0.01)))+B9*B38*(1-B42)</f>
        <v/>
      </c>
    </row>
    <row r="53">
      <c r="A53" s="61" t="inlineStr">
        <is>
          <t>+1.0</t>
        </is>
      </c>
      <c r="B53" s="62">
        <f>B8*(B13+(B20+(1.0))*(B25+(-0.01)))+B9*B38*(1-B42)</f>
        <v/>
      </c>
      <c r="C53" s="62">
        <f>B8*(B13+(B20+(1.0))*(B25+(-0.005)))+B9*B38*(1-B42)</f>
        <v/>
      </c>
      <c r="D53" s="62">
        <f>B8*(B13+(B20+(1.0))*(B25+(0.0)))+B9*B38*(1-B42)</f>
        <v/>
      </c>
      <c r="E53" s="62">
        <f>B8*(B13+(B20+(1.0))*(B25+(0.005)))+B9*B38*(1-B42)</f>
        <v/>
      </c>
      <c r="F53" s="62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BAC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6" t="inlineStr">
        <is>
          <t>Fiscal Year</t>
        </is>
      </c>
      <c r="B3" s="67" t="inlineStr">
        <is>
          <t>2021</t>
        </is>
      </c>
      <c r="C3" s="67" t="inlineStr">
        <is>
          <t>2022</t>
        </is>
      </c>
      <c r="D3" s="67" t="inlineStr">
        <is>
          <t>2023</t>
        </is>
      </c>
      <c r="E3" s="67" t="inlineStr">
        <is>
          <t>2024</t>
        </is>
      </c>
      <c r="F3" s="67" t="inlineStr">
        <is>
          <t>2025</t>
        </is>
      </c>
      <c r="G3" s="68" t="inlineStr">
        <is>
          <t>2026E</t>
        </is>
      </c>
      <c r="H3" s="68" t="inlineStr">
        <is>
          <t>2027E</t>
        </is>
      </c>
      <c r="I3" s="68" t="inlineStr">
        <is>
          <t>2028E</t>
        </is>
      </c>
      <c r="J3" s="68" t="inlineStr">
        <is>
          <t>2029E</t>
        </is>
      </c>
      <c r="K3" s="68" t="inlineStr">
        <is>
          <t>2030E</t>
        </is>
      </c>
      <c r="L3" s="69" t="inlineStr">
        <is>
          <t>Terminal</t>
        </is>
      </c>
      <c r="M3" s="66" t="inlineStr">
        <is>
          <t>Source / Notes</t>
        </is>
      </c>
    </row>
    <row r="4" ht="6" customHeight="1">
      <c r="A4" s="44" t="n"/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  <c r="M4" s="44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70" t="inlineStr">
        <is>
          <t>Revenue Growth %</t>
        </is>
      </c>
      <c r="B6" s="71" t="inlineStr">
        <is>
          <t>—</t>
        </is>
      </c>
      <c r="C6" s="72">
        <f>'P&amp;L'!C5/'P&amp;L'!B5-1</f>
        <v/>
      </c>
      <c r="D6" s="72">
        <f>'P&amp;L'!D5/'P&amp;L'!C5-1</f>
        <v/>
      </c>
      <c r="E6" s="72">
        <f>'P&amp;L'!E5/'P&amp;L'!D5-1</f>
        <v/>
      </c>
      <c r="F6" s="72">
        <f>'P&amp;L'!F5/'P&amp;L'!E5-1</f>
        <v/>
      </c>
      <c r="G6" s="73" t="n">
        <v>0.08</v>
      </c>
      <c r="H6" s="73" t="n">
        <v>0.08</v>
      </c>
      <c r="I6" s="73" t="n">
        <v>0.08</v>
      </c>
      <c r="J6" s="73">
        <f>I6</f>
        <v/>
      </c>
      <c r="K6" s="73">
        <f>I6</f>
        <v/>
      </c>
      <c r="L6" s="74" t="n">
        <v>0.03</v>
      </c>
      <c r="M6" s="75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70" t="inlineStr">
        <is>
          <t>EBITDA Margin %</t>
        </is>
      </c>
      <c r="B7" s="72">
        <f>'P&amp;L'!B12/'P&amp;L'!B5</f>
        <v/>
      </c>
      <c r="C7" s="72">
        <f>'P&amp;L'!C12/'P&amp;L'!C5</f>
        <v/>
      </c>
      <c r="D7" s="72">
        <f>'P&amp;L'!D12/'P&amp;L'!D5</f>
        <v/>
      </c>
      <c r="E7" s="72">
        <f>'P&amp;L'!E12/'P&amp;L'!E5</f>
        <v/>
      </c>
      <c r="F7" s="72">
        <f>'P&amp;L'!F12/'P&amp;L'!F5</f>
        <v/>
      </c>
      <c r="G7" s="73" t="n">
        <v>0.2089</v>
      </c>
      <c r="H7" s="73" t="n">
        <v>0.2089</v>
      </c>
      <c r="I7" s="73" t="n">
        <v>0.2089</v>
      </c>
      <c r="J7" s="73">
        <f>I7</f>
        <v/>
      </c>
      <c r="K7" s="73">
        <f>I7</f>
        <v/>
      </c>
      <c r="L7" s="74" t="n">
        <v>0.2089</v>
      </c>
      <c r="M7" s="75" t="inlineStr">
        <is>
          <t>Yrs 1-3: FMP analyst consensus margin.  Yrs 4-5: = Yr 3 margin.  Terminal: long-run normalised EBITDA margin (user input).</t>
        </is>
      </c>
    </row>
    <row r="8" ht="20" customHeight="1">
      <c r="A8" s="70" t="inlineStr">
        <is>
          <t>D&amp;A as % of Revenue</t>
        </is>
      </c>
      <c r="B8" s="72">
        <f>'P&amp;L'!B14/'P&amp;L'!B5</f>
        <v/>
      </c>
      <c r="C8" s="72">
        <f>'P&amp;L'!C14/'P&amp;L'!C5</f>
        <v/>
      </c>
      <c r="D8" s="72">
        <f>'P&amp;L'!D14/'P&amp;L'!D5</f>
        <v/>
      </c>
      <c r="E8" s="72">
        <f>'P&amp;L'!E14/'P&amp;L'!E5</f>
        <v/>
      </c>
      <c r="F8" s="72">
        <f>'P&amp;L'!F14/'P&amp;L'!F5</f>
        <v/>
      </c>
      <c r="G8" s="73">
        <f>AVERAGE(B8:F8)</f>
        <v/>
      </c>
      <c r="H8" s="73">
        <f>G8</f>
        <v/>
      </c>
      <c r="I8" s="73">
        <f>G8</f>
        <v/>
      </c>
      <c r="J8" s="73">
        <f>G8</f>
        <v/>
      </c>
      <c r="K8" s="73">
        <f>G8</f>
        <v/>
      </c>
      <c r="L8" s="74">
        <f>G8</f>
        <v/>
      </c>
      <c r="M8" s="75" t="inlineStr">
        <is>
          <t>Historical linked from P&amp;L.  Yr 1 = avg of historicals; Yrs 2-5 &amp; terminal = Yr 1.</t>
        </is>
      </c>
    </row>
    <row r="9" ht="20" customHeight="1">
      <c r="A9" s="70" t="inlineStr">
        <is>
          <t>CapEx as % of Revenue</t>
        </is>
      </c>
      <c r="B9" s="72">
        <f>-'Cash Flow'!B6/'P&amp;L'!B5</f>
        <v/>
      </c>
      <c r="C9" s="72">
        <f>-'Cash Flow'!C6/'P&amp;L'!C5</f>
        <v/>
      </c>
      <c r="D9" s="72">
        <f>-'Cash Flow'!D6/'P&amp;L'!D5</f>
        <v/>
      </c>
      <c r="E9" s="72">
        <f>-'Cash Flow'!E6/'P&amp;L'!E5</f>
        <v/>
      </c>
      <c r="F9" s="72">
        <f>-'Cash Flow'!F6/'P&amp;L'!F5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Cash Flow.  Yr 1 = avg of historicals; Yrs 2-5 &amp; terminal = Yr 1.</t>
        </is>
      </c>
    </row>
    <row r="10" ht="20" customHeight="1">
      <c r="A10" s="70" t="inlineStr">
        <is>
          <t>Change in NWC as % of Revenue</t>
        </is>
      </c>
      <c r="B10" s="71" t="inlineStr">
        <is>
          <t>—</t>
        </is>
      </c>
      <c r="C10" s="72">
        <f>(('Balance Sheet'!C9-'Balance Sheet'!C21)-('Balance Sheet'!B9-'Balance Sheet'!B21))/'P&amp;L'!C5</f>
        <v/>
      </c>
      <c r="D10" s="72">
        <f>(('Balance Sheet'!D9-'Balance Sheet'!D21)-('Balance Sheet'!C9-'Balance Sheet'!C21))/'P&amp;L'!D5</f>
        <v/>
      </c>
      <c r="E10" s="72">
        <f>(('Balance Sheet'!E9-'Balance Sheet'!E21)-('Balance Sheet'!D9-'Balance Sheet'!D21))/'P&amp;L'!E5</f>
        <v/>
      </c>
      <c r="F10" s="72">
        <f>(('Balance Sheet'!F9-'Balance Sheet'!F21)-('Balance Sheet'!E9-'Balance Sheet'!E21))/'P&amp;L'!F5</f>
        <v/>
      </c>
      <c r="G10" s="73">
        <f>MAX(-0.02,MIN(0.05,AVERAGE(C10:F10)))</f>
        <v/>
      </c>
      <c r="H10" s="73">
        <f>G10*4/5</f>
        <v/>
      </c>
      <c r="I10" s="73">
        <f>G10*3/5</f>
        <v/>
      </c>
      <c r="J10" s="73">
        <f>G10*2/5</f>
        <v/>
      </c>
      <c r="K10" s="73">
        <f>G10*1/5</f>
        <v/>
      </c>
      <c r="L10" s="74" t="n">
        <v>0</v>
      </c>
      <c r="M10" s="75" t="inlineStr">
        <is>
          <t>Yr 1 = clamped avg of historicals [-2%, +5%]. Yrs 2-5 fade linearly to 0. Terminal = 0 (steady-state: NWC tracks revenue).</t>
        </is>
      </c>
    </row>
    <row r="11" ht="20" customHeight="1">
      <c r="A11" s="70" t="inlineStr">
        <is>
          <t>Effective Tax Rate</t>
        </is>
      </c>
      <c r="B11" s="72">
        <f>IFERROR(MAX(0,MIN(0.5,'P&amp;L'!B22/'P&amp;L'!B21)),0)</f>
        <v/>
      </c>
      <c r="C11" s="72">
        <f>IFERROR(MAX(0,MIN(0.5,'P&amp;L'!C22/'P&amp;L'!C21)),0)</f>
        <v/>
      </c>
      <c r="D11" s="72">
        <f>IFERROR(MAX(0,MIN(0.5,'P&amp;L'!D22/'P&amp;L'!D21)),0)</f>
        <v/>
      </c>
      <c r="E11" s="72">
        <f>IFERROR(MAX(0,MIN(0.5,'P&amp;L'!E22/'P&amp;L'!E21)),0)</f>
        <v/>
      </c>
      <c r="F11" s="72">
        <f>IFERROR(MAX(0,MIN(0.5,'P&amp;L'!F22/'P&amp;L'!F21)),0)</f>
        <v/>
      </c>
      <c r="G11" s="73">
        <f>AVERAGE(B11:F11)</f>
        <v/>
      </c>
      <c r="H11" s="73">
        <f>G11</f>
        <v/>
      </c>
      <c r="I11" s="73">
        <f>G11</f>
        <v/>
      </c>
      <c r="J11" s="73">
        <f>G11</f>
        <v/>
      </c>
      <c r="K11" s="73">
        <f>G11</f>
        <v/>
      </c>
      <c r="L11" s="74">
        <f>G11</f>
        <v/>
      </c>
      <c r="M11" s="75" t="inlineStr">
        <is>
          <t>Historical linked from P&amp;L (tax / pretax income).  Forecast: avg of historicals, constant thereafter.</t>
        </is>
      </c>
    </row>
    <row r="12" ht="6" customHeight="1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4" t="n"/>
    </row>
    <row r="13" ht="18" customHeight="1">
      <c r="A13" s="25" t="inlineStr">
        <is>
          <t>SECTION 2 — REVENUE &amp; EBITDA  ($mm)</t>
        </is>
      </c>
    </row>
    <row r="14" ht="20" customHeight="1">
      <c r="A14" s="76" t="inlineStr">
        <is>
          <t>Revenue</t>
        </is>
      </c>
      <c r="B14" s="77">
        <f>'P&amp;L'!B5</f>
        <v/>
      </c>
      <c r="C14" s="77">
        <f>'P&amp;L'!C5</f>
        <v/>
      </c>
      <c r="D14" s="77">
        <f>'P&amp;L'!D5</f>
        <v/>
      </c>
      <c r="E14" s="77">
        <f>'P&amp;L'!E5</f>
        <v/>
      </c>
      <c r="F14" s="77">
        <f>'P&amp;L'!F5</f>
        <v/>
      </c>
      <c r="G14" s="78">
        <f>F14*(1+G6)</f>
        <v/>
      </c>
      <c r="H14" s="78">
        <f>G14*(1+H6)</f>
        <v/>
      </c>
      <c r="I14" s="78">
        <f>H14*(1+I6)</f>
        <v/>
      </c>
      <c r="J14" s="78">
        <f>I14*(1+J6)</f>
        <v/>
      </c>
      <c r="K14" s="78">
        <f>J14*(1+K6)</f>
        <v/>
      </c>
      <c r="L14" s="79">
        <f>K14*(1+L6)</f>
        <v/>
      </c>
      <c r="M14" s="80" t="inlineStr">
        <is>
          <t>FMP consensus years: analyst revenue average ($mm).  Range: Low–High shown below.  User years: prior × (1+growth).</t>
        </is>
      </c>
    </row>
    <row r="15" ht="20" customHeight="1">
      <c r="A15" s="81" t="inlineStr">
        <is>
          <t xml:space="preserve">  Analyst Range:  Low — High  ($mm)</t>
        </is>
      </c>
      <c r="G15" s="82" t="inlineStr">
        <is>
          <t>—</t>
        </is>
      </c>
      <c r="H15" s="82" t="inlineStr">
        <is>
          <t>—</t>
        </is>
      </c>
      <c r="I15" s="82" t="inlineStr">
        <is>
          <t>—</t>
        </is>
      </c>
      <c r="J15" s="82" t="inlineStr">
        <is>
          <t>—</t>
        </is>
      </c>
      <c r="K15" s="82" t="inlineStr">
        <is>
          <t>—</t>
        </is>
      </c>
      <c r="L15" s="83" t="inlineStr">
        <is>
          <t>—</t>
        </is>
      </c>
      <c r="M15" s="80" t="inlineStr">
        <is>
          <t>Sell-side analyst low / high revenue estimates for consensus years</t>
        </is>
      </c>
    </row>
    <row r="16" ht="20" customHeight="1">
      <c r="A16" s="81" t="inlineStr">
        <is>
          <t xml:space="preserve">  Number of Analysts</t>
        </is>
      </c>
      <c r="G16" s="82" t="inlineStr">
        <is>
          <t>—</t>
        </is>
      </c>
      <c r="H16" s="82" t="inlineStr">
        <is>
          <t>—</t>
        </is>
      </c>
      <c r="I16" s="82" t="inlineStr">
        <is>
          <t>—</t>
        </is>
      </c>
      <c r="J16" s="82" t="inlineStr">
        <is>
          <t>—</t>
        </is>
      </c>
      <c r="K16" s="82" t="inlineStr">
        <is>
          <t>—</t>
        </is>
      </c>
      <c r="L16" s="83" t="inlineStr">
        <is>
          <t>—</t>
        </is>
      </c>
      <c r="M16" s="80" t="inlineStr">
        <is>
          <t>Red &lt; 5 analysts — treat estimate with caution.  Orange &lt; 10.</t>
        </is>
      </c>
    </row>
    <row r="17" ht="20" customHeight="1">
      <c r="A17" s="81" t="inlineStr">
        <is>
          <t xml:space="preserve">  YoY Revenue Growth %</t>
        </is>
      </c>
      <c r="B17" s="84" t="inlineStr">
        <is>
          <t>—</t>
        </is>
      </c>
      <c r="C17" s="85">
        <f>IFERROR(C14/B14-1,"")</f>
        <v/>
      </c>
      <c r="D17" s="85">
        <f>IFERROR(D14/C14-1,"")</f>
        <v/>
      </c>
      <c r="E17" s="85">
        <f>IFERROR(E14/D14-1,"")</f>
        <v/>
      </c>
      <c r="F17" s="85">
        <f>IFERROR(F14/E14-1,"")</f>
        <v/>
      </c>
      <c r="G17" s="86">
        <f>IFERROR(G14/F14-1,"")</f>
        <v/>
      </c>
      <c r="H17" s="86">
        <f>IFERROR(H14/G14-1,"")</f>
        <v/>
      </c>
      <c r="I17" s="86">
        <f>IFERROR(I14/H14-1,"")</f>
        <v/>
      </c>
      <c r="J17" s="86">
        <f>IFERROR(J14/I14-1,"")</f>
        <v/>
      </c>
      <c r="K17" s="86">
        <f>IFERROR(K14/J14-1,"")</f>
        <v/>
      </c>
      <c r="L17" s="87">
        <f>L6</f>
        <v/>
      </c>
      <c r="M17" s="80">
        <f> this year / prior year − 1  (formula cross-check on assumptions)</f>
        <v/>
      </c>
    </row>
    <row r="18" ht="6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</row>
    <row r="19" ht="20" customHeight="1">
      <c r="A19" s="76" t="inlineStr">
        <is>
          <t>EBITDA</t>
        </is>
      </c>
      <c r="B19" s="77">
        <f>'P&amp;L'!B12</f>
        <v/>
      </c>
      <c r="C19" s="77">
        <f>'P&amp;L'!C12</f>
        <v/>
      </c>
      <c r="D19" s="77">
        <f>'P&amp;L'!D12</f>
        <v/>
      </c>
      <c r="E19" s="77">
        <f>'P&amp;L'!E12</f>
        <v/>
      </c>
      <c r="F19" s="77">
        <f>'P&amp;L'!F12</f>
        <v/>
      </c>
      <c r="G19" s="78">
        <f>G14*G7</f>
        <v/>
      </c>
      <c r="H19" s="78">
        <f>H14*H7</f>
        <v/>
      </c>
      <c r="I19" s="78">
        <f>I14*I7</f>
        <v/>
      </c>
      <c r="J19" s="78">
        <f>J14*J7</f>
        <v/>
      </c>
      <c r="K19" s="78">
        <f>K14*K7</f>
        <v/>
      </c>
      <c r="L19" s="79">
        <f>L14*L7</f>
        <v/>
      </c>
      <c r="M19" s="80" t="inlineStr">
        <is>
          <t>FMP consensus years: analyst EBITDA average.  User years: Revenue × EBITDA margin assumption.</t>
        </is>
      </c>
    </row>
    <row r="20" ht="20" customHeight="1">
      <c r="A20" s="81" t="inlineStr">
        <is>
          <t xml:space="preserve">  Analyst Range:  Low — High  ($mm)</t>
        </is>
      </c>
      <c r="G20" s="82" t="inlineStr">
        <is>
          <t>—</t>
        </is>
      </c>
      <c r="H20" s="82" t="inlineStr">
        <is>
          <t>—</t>
        </is>
      </c>
      <c r="I20" s="82" t="inlineStr">
        <is>
          <t>—</t>
        </is>
      </c>
      <c r="J20" s="82" t="inlineStr">
        <is>
          <t>—</t>
        </is>
      </c>
      <c r="K20" s="82" t="inlineStr">
        <is>
          <t>—</t>
        </is>
      </c>
      <c r="L20" s="83" t="inlineStr">
        <is>
          <t>—</t>
        </is>
      </c>
      <c r="M20" s="80" t="inlineStr">
        <is>
          <t>Sell-side analyst low / high EBITDA estimates for consensus years</t>
        </is>
      </c>
    </row>
    <row r="21" ht="20" customHeight="1">
      <c r="A21" s="81" t="inlineStr">
        <is>
          <t xml:space="preserve">  EBITDA Margin %</t>
        </is>
      </c>
      <c r="B21" s="85">
        <f>IFERROR(B19/B14,"")</f>
        <v/>
      </c>
      <c r="C21" s="85">
        <f>IFERROR(C19/C14,"")</f>
        <v/>
      </c>
      <c r="D21" s="85">
        <f>IFERROR(D19/D14,"")</f>
        <v/>
      </c>
      <c r="E21" s="85">
        <f>IFERROR(E19/E14,"")</f>
        <v/>
      </c>
      <c r="F21" s="85">
        <f>IFERROR(F19/F14,"")</f>
        <v/>
      </c>
      <c r="G21" s="86">
        <f>IFERROR(G19/G14,"")</f>
        <v/>
      </c>
      <c r="H21" s="86">
        <f>IFERROR(H19/H14,"")</f>
        <v/>
      </c>
      <c r="I21" s="86">
        <f>IFERROR(I19/I14,"")</f>
        <v/>
      </c>
      <c r="J21" s="86">
        <f>IFERROR(J19/J14,"")</f>
        <v/>
      </c>
      <c r="K21" s="86">
        <f>IFERROR(K19/K14,"")</f>
        <v/>
      </c>
      <c r="L21" s="87">
        <f>IFERROR(L19/L14,"")</f>
        <v/>
      </c>
      <c r="M21" s="80">
        <f> EBITDA / Revenue  (formula — cross-check on margin assumption)</f>
        <v/>
      </c>
    </row>
    <row r="22" ht="6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8" t="inlineStr">
        <is>
          <t xml:space="preserve">  Less: D&amp;A</t>
        </is>
      </c>
      <c r="B24" s="77">
        <f>-'P&amp;L'!B14</f>
        <v/>
      </c>
      <c r="C24" s="77">
        <f>-'P&amp;L'!C14</f>
        <v/>
      </c>
      <c r="D24" s="77">
        <f>-'P&amp;L'!D14</f>
        <v/>
      </c>
      <c r="E24" s="77">
        <f>-'P&amp;L'!E14</f>
        <v/>
      </c>
      <c r="F24" s="77">
        <f>-'P&amp;L'!F14</f>
        <v/>
      </c>
      <c r="G24" s="78">
        <f>-G14*G8</f>
        <v/>
      </c>
      <c r="H24" s="78">
        <f>-H14*H8</f>
        <v/>
      </c>
      <c r="I24" s="78">
        <f>-I14*I8</f>
        <v/>
      </c>
      <c r="J24" s="78">
        <f>-J14*J8</f>
        <v/>
      </c>
      <c r="K24" s="78">
        <f>-K14*K8</f>
        <v/>
      </c>
      <c r="L24" s="79">
        <f>-L14*L8</f>
        <v/>
      </c>
      <c r="M24" s="80">
        <f> Revenue × D&amp;A % assumption  (negative = P&amp;L charge)</f>
        <v/>
      </c>
    </row>
    <row r="25" ht="20" customHeight="1">
      <c r="A25" s="66" t="inlineStr">
        <is>
          <t>EBIT  (Operating Profit)</t>
        </is>
      </c>
      <c r="B25" s="89">
        <f>B19+B24</f>
        <v/>
      </c>
      <c r="C25" s="89">
        <f>C19+C24</f>
        <v/>
      </c>
      <c r="D25" s="89">
        <f>D19+D24</f>
        <v/>
      </c>
      <c r="E25" s="89">
        <f>E19+E24</f>
        <v/>
      </c>
      <c r="F25" s="89">
        <f>F19+F24</f>
        <v/>
      </c>
      <c r="G25" s="90">
        <f>G19+G24</f>
        <v/>
      </c>
      <c r="H25" s="90">
        <f>H19+H24</f>
        <v/>
      </c>
      <c r="I25" s="90">
        <f>I19+I24</f>
        <v/>
      </c>
      <c r="J25" s="90">
        <f>J19+J24</f>
        <v/>
      </c>
      <c r="K25" s="90">
        <f>K19+K24</f>
        <v/>
      </c>
      <c r="L25" s="90">
        <f>L19+L24</f>
        <v/>
      </c>
      <c r="M25" s="80">
        <f> EBITDA + D&amp;A  (GAAP operating income, EBIT)</f>
        <v/>
      </c>
    </row>
    <row r="26" ht="20" customHeight="1">
      <c r="A26" s="88" t="inlineStr">
        <is>
          <t xml:space="preserve">  Less: Tax on EBIT  (unlevered)</t>
        </is>
      </c>
      <c r="B26" s="91">
        <f>-B25*B11</f>
        <v/>
      </c>
      <c r="C26" s="91">
        <f>-C25*C11</f>
        <v/>
      </c>
      <c r="D26" s="91">
        <f>-D25*D11</f>
        <v/>
      </c>
      <c r="E26" s="91">
        <f>-E25*E11</f>
        <v/>
      </c>
      <c r="F26" s="91">
        <f>-F25*F11</f>
        <v/>
      </c>
      <c r="G26" s="92">
        <f>-G25*G11</f>
        <v/>
      </c>
      <c r="H26" s="92">
        <f>-H25*H11</f>
        <v/>
      </c>
      <c r="I26" s="92">
        <f>-I25*I11</f>
        <v/>
      </c>
      <c r="J26" s="92">
        <f>-J25*J11</f>
        <v/>
      </c>
      <c r="K26" s="92">
        <f>-K25*K11</f>
        <v/>
      </c>
      <c r="L26" s="92">
        <f>-L25*L11</f>
        <v/>
      </c>
      <c r="M26" s="80">
        <f> EBIT × tax rate  (no interest tax shield — UFCF is pre-debt)</f>
        <v/>
      </c>
    </row>
    <row r="27" ht="20" customHeight="1">
      <c r="A27" s="76" t="inlineStr">
        <is>
          <t>NOPAT</t>
        </is>
      </c>
      <c r="B27" s="89">
        <f>B25+B26</f>
        <v/>
      </c>
      <c r="C27" s="89">
        <f>C25+C26</f>
        <v/>
      </c>
      <c r="D27" s="89">
        <f>D25+D26</f>
        <v/>
      </c>
      <c r="E27" s="89">
        <f>E25+E26</f>
        <v/>
      </c>
      <c r="F27" s="89">
        <f>F25+F26</f>
        <v/>
      </c>
      <c r="G27" s="93">
        <f>G25+G26</f>
        <v/>
      </c>
      <c r="H27" s="93">
        <f>H25+H26</f>
        <v/>
      </c>
      <c r="I27" s="93">
        <f>I25+I26</f>
        <v/>
      </c>
      <c r="J27" s="93">
        <f>J25+J26</f>
        <v/>
      </c>
      <c r="K27" s="93">
        <f>K25+K26</f>
        <v/>
      </c>
      <c r="L27" s="93">
        <f>L25+L26</f>
        <v/>
      </c>
      <c r="M27" s="80">
        <f> EBIT × (1 − tax rate)</f>
        <v/>
      </c>
    </row>
    <row r="28" ht="20" customHeight="1">
      <c r="A28" s="88" t="inlineStr">
        <is>
          <t xml:space="preserve">  (+) D&amp;A add-back  (non-cash)</t>
        </is>
      </c>
      <c r="B28" s="91">
        <f>-B24</f>
        <v/>
      </c>
      <c r="C28" s="91">
        <f>-C24</f>
        <v/>
      </c>
      <c r="D28" s="91">
        <f>-D24</f>
        <v/>
      </c>
      <c r="E28" s="91">
        <f>-E24</f>
        <v/>
      </c>
      <c r="F28" s="91">
        <f>-F24</f>
        <v/>
      </c>
      <c r="G28" s="92">
        <f>-G24</f>
        <v/>
      </c>
      <c r="H28" s="92">
        <f>-H24</f>
        <v/>
      </c>
      <c r="I28" s="92">
        <f>-I24</f>
        <v/>
      </c>
      <c r="J28" s="92">
        <f>-J24</f>
        <v/>
      </c>
      <c r="K28" s="92">
        <f>-K24</f>
        <v/>
      </c>
      <c r="L28" s="92">
        <f>-L24</f>
        <v/>
      </c>
      <c r="M28" s="80">
        <f> D&amp;A added back (non-cash charge — converts NOPAT to cash basis)</f>
        <v/>
      </c>
    </row>
    <row r="29" ht="20" customHeight="1">
      <c r="A29" s="88" t="inlineStr">
        <is>
          <t xml:space="preserve">  (−) Capital Expenditures</t>
        </is>
      </c>
      <c r="B29" s="77">
        <f>'Cash Flow'!B6</f>
        <v/>
      </c>
      <c r="C29" s="77">
        <f>'Cash Flow'!C6</f>
        <v/>
      </c>
      <c r="D29" s="77">
        <f>'Cash Flow'!D6</f>
        <v/>
      </c>
      <c r="E29" s="77">
        <f>'Cash Flow'!E6</f>
        <v/>
      </c>
      <c r="F29" s="77">
        <f>'Cash Flow'!F6</f>
        <v/>
      </c>
      <c r="G29" s="92">
        <f>-G14*G9</f>
        <v/>
      </c>
      <c r="H29" s="92">
        <f>-H14*H9</f>
        <v/>
      </c>
      <c r="I29" s="92">
        <f>-I14*I9</f>
        <v/>
      </c>
      <c r="J29" s="92">
        <f>-J14*J9</f>
        <v/>
      </c>
      <c r="K29" s="92">
        <f>-K14*K9</f>
        <v/>
      </c>
      <c r="L29" s="92">
        <f>-L14*L9</f>
        <v/>
      </c>
      <c r="M29" s="80">
        <f> Revenue × CapEx % assumption  (negative = cash outflow)</f>
        <v/>
      </c>
    </row>
    <row r="30" ht="20" customHeight="1">
      <c r="A30" s="88" t="inlineStr">
        <is>
          <t xml:space="preserve">  (−) Increase in Net Working Capital</t>
        </is>
      </c>
      <c r="B30" s="91" t="n"/>
      <c r="C30" s="91">
        <f>-(('Balance Sheet'!C9-'Balance Sheet'!C21)-('Balance Sheet'!B9-'Balance Sheet'!B21))</f>
        <v/>
      </c>
      <c r="D30" s="91">
        <f>-(('Balance Sheet'!D9-'Balance Sheet'!D21)-('Balance Sheet'!C9-'Balance Sheet'!C21))</f>
        <v/>
      </c>
      <c r="E30" s="91">
        <f>-(('Balance Sheet'!E9-'Balance Sheet'!E21)-('Balance Sheet'!D9-'Balance Sheet'!D21))</f>
        <v/>
      </c>
      <c r="F30" s="91">
        <f>-(('Balance Sheet'!F9-'Balance Sheet'!F21)-('Balance Sheet'!E9-'Balance Sheet'!E21))</f>
        <v/>
      </c>
      <c r="G30" s="92">
        <f>-G14*G10</f>
        <v/>
      </c>
      <c r="H30" s="92">
        <f>-H14*H10</f>
        <v/>
      </c>
      <c r="I30" s="92">
        <f>-I14*I10</f>
        <v/>
      </c>
      <c r="J30" s="92">
        <f>-J14*J10</f>
        <v/>
      </c>
      <c r="K30" s="92">
        <f>-K14*K10</f>
        <v/>
      </c>
      <c r="L30" s="92">
        <f>-L14*L10</f>
        <v/>
      </c>
      <c r="M30" s="80">
        <f> −Revenue × NWC%  (positive NWC% → cash outflow, reduces UFCF)</f>
        <v/>
      </c>
    </row>
    <row r="31" ht="20" customHeight="1">
      <c r="A31" s="76" t="inlineStr">
        <is>
          <t>UNLEVERED FREE CASH FLOW  (UFCF)</t>
        </is>
      </c>
      <c r="B31" s="89">
        <f>B27+B28+B29+B30</f>
        <v/>
      </c>
      <c r="C31" s="89">
        <f>C27+C28+C29+C30</f>
        <v/>
      </c>
      <c r="D31" s="89">
        <f>D27+D28+D29+D30</f>
        <v/>
      </c>
      <c r="E31" s="89">
        <f>E27+E28+E29+E30</f>
        <v/>
      </c>
      <c r="F31" s="89">
        <f>F27+F28+F29+F30</f>
        <v/>
      </c>
      <c r="G31" s="93">
        <f>G27+G28+G29+G30</f>
        <v/>
      </c>
      <c r="H31" s="93">
        <f>H27+H28+H29+H30</f>
        <v/>
      </c>
      <c r="I31" s="93">
        <f>I27+I28+I29+I30</f>
        <v/>
      </c>
      <c r="J31" s="93">
        <f>J27+J28+J29+J30</f>
        <v/>
      </c>
      <c r="K31" s="93">
        <f>K27+K28+K29+K30</f>
        <v/>
      </c>
      <c r="L31" s="93">
        <f>L27+L28+L29+L30</f>
        <v/>
      </c>
      <c r="M31" s="80">
        <f> NOPAT + D&amp;A − CapEx − ΔNWC  (pre-debt, pre-interest free cash flow)</f>
        <v/>
      </c>
    </row>
    <row r="32" ht="20" customHeight="1">
      <c r="A32" s="81" t="inlineStr">
        <is>
          <t xml:space="preserve">  UFCF Margin %</t>
        </is>
      </c>
      <c r="B32" s="85">
        <f>B31/B14</f>
        <v/>
      </c>
      <c r="C32" s="85">
        <f>C31/C14</f>
        <v/>
      </c>
      <c r="D32" s="85">
        <f>D31/D14</f>
        <v/>
      </c>
      <c r="E32" s="85">
        <f>E31/E14</f>
        <v/>
      </c>
      <c r="F32" s="85">
        <f>F31/F14</f>
        <v/>
      </c>
      <c r="G32" s="94">
        <f>IFERROR(G31/G14,"")</f>
        <v/>
      </c>
      <c r="H32" s="94">
        <f>IFERROR(H31/H14,"")</f>
        <v/>
      </c>
      <c r="I32" s="94">
        <f>IFERROR(I31/I14,"")</f>
        <v/>
      </c>
      <c r="J32" s="94">
        <f>IFERROR(J31/J14,"")</f>
        <v/>
      </c>
      <c r="K32" s="94">
        <f>IFERROR(K31/K14,"")</f>
        <v/>
      </c>
      <c r="L32" s="94">
        <f>IFERROR(L31/L14,"")</f>
        <v/>
      </c>
      <c r="M32" s="80" t="inlineStr">
        <is>
          <t>Sense check — should approximate EBITDA margin less capex intensity</t>
        </is>
      </c>
    </row>
    <row r="33" ht="6" customHeight="1">
      <c r="A33" s="44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</row>
    <row r="34" ht="18" customHeight="1">
      <c r="A34" s="5" t="inlineStr">
        <is>
          <t>SECTION 4 — TERMINAL VALUE  ($mm)</t>
        </is>
      </c>
    </row>
    <row r="35" ht="20" customHeight="1">
      <c r="A35" s="70" t="inlineStr">
        <is>
          <t>WACC  (from WACC tab)</t>
        </is>
      </c>
      <c r="B35" s="95">
        <f>WACC!B45</f>
        <v/>
      </c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75" t="inlineStr">
        <is>
          <t>Auto-linked from WACC tab selected output.  Override manually if needed.</t>
        </is>
      </c>
    </row>
    <row r="36" ht="20" customHeight="1">
      <c r="A36" s="70" t="inlineStr">
        <is>
          <t>Terminal Growth Rate  (g)</t>
        </is>
      </c>
      <c r="B36" s="97" t="n">
        <v>0.04</v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5" t="inlineStr">
        <is>
          <t>Growth tier: HIGH (20.3% 3yr avg rev growth).  Bear 3.00% / Base 4.0% / Bull 5.00%.  Keep below WACC.</t>
        </is>
      </c>
    </row>
    <row r="37" ht="20" customHeight="1">
      <c r="A37" s="70" t="inlineStr">
        <is>
          <t>Terminal EV/EBITDA Multiple  (exit multiple method)</t>
        </is>
      </c>
      <c r="B37" s="98" t="n">
        <v>18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5" t="inlineStr">
        <is>
          <t>Growth tier: HIGH (20.3% 3yr avg rev growth).  Bear 14x / Base 18x / Bull 22x.  Override manually if needed.</t>
        </is>
      </c>
    </row>
    <row r="38" ht="6" customHeight="1">
      <c r="A38" s="44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</row>
    <row r="39" ht="20" customHeight="1">
      <c r="A39" s="99" t="inlineStr">
        <is>
          <t>Terminal Year UFCF  (grown by g)</t>
        </is>
      </c>
      <c r="B39" s="100">
        <f>L31</f>
        <v/>
      </c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80" t="inlineStr">
        <is>
          <t>Cross-ref from Section 3 — terminal year UFCF (already grown by g in assumptions)</t>
        </is>
      </c>
    </row>
    <row r="40" ht="20" customHeight="1">
      <c r="A40" s="76" t="inlineStr">
        <is>
          <t>Terminal Value  [Gordon Growth:  UFCF / (WACC − g)]</t>
        </is>
      </c>
      <c r="B40" s="93">
        <f>B39/(B35-B36)</f>
        <v/>
      </c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2" t="n"/>
      <c r="M40" s="80" t="inlineStr">
        <is>
          <t>Sensitive to g — always cross-check vs Exit Multiple below</t>
        </is>
      </c>
    </row>
    <row r="41" ht="20" customHeight="1">
      <c r="A41" s="76" t="inlineStr">
        <is>
          <t>Terminal Value  [Exit Multiple:  Terminal EBITDA × Multiple]</t>
        </is>
      </c>
      <c r="B41" s="93">
        <f>L19*B37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80" t="inlineStr">
        <is>
          <t>Anchored to observable market multiples — less model-sensitive than Gordon Growth</t>
        </is>
      </c>
    </row>
    <row r="42" ht="6" customHeight="1">
      <c r="A42" s="44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9" t="inlineStr">
        <is>
          <t>Discount Period  (mid-year convention)</t>
        </is>
      </c>
      <c r="G44" s="103" t="n">
        <v>0.5</v>
      </c>
      <c r="H44" s="103" t="n">
        <v>1.5</v>
      </c>
      <c r="I44" s="103" t="n">
        <v>2.5</v>
      </c>
      <c r="J44" s="103" t="n">
        <v>3.5</v>
      </c>
      <c r="K44" s="103" t="n">
        <v>4.5</v>
      </c>
      <c r="L44" s="104" t="n">
        <v>5</v>
      </c>
      <c r="M44" s="80" t="inlineStr">
        <is>
          <t>Mid-year: 0.5, 1.5, 2.5...  assumes FCF received evenly through each year</t>
        </is>
      </c>
    </row>
    <row r="45" ht="20" customHeight="1">
      <c r="A45" s="99" t="inlineStr">
        <is>
          <t>Discount Factor  =  1 / (1 + WACC) ^ period</t>
        </is>
      </c>
      <c r="G45" s="105">
        <f>1/(1+B35)^G44</f>
        <v/>
      </c>
      <c r="H45" s="105">
        <f>1/(1+B35)^H44</f>
        <v/>
      </c>
      <c r="I45" s="105">
        <f>1/(1+B35)^I44</f>
        <v/>
      </c>
      <c r="J45" s="105">
        <f>1/(1+B35)^J44</f>
        <v/>
      </c>
      <c r="K45" s="105">
        <f>1/(1+B35)^K44</f>
        <v/>
      </c>
      <c r="L45" s="106">
        <f>1/(1+B35)^L44</f>
        <v/>
      </c>
      <c r="M45" s="80">
        <f> 1 / (1 + WACC) ^ discount period</f>
        <v/>
      </c>
    </row>
    <row r="46" ht="20" customHeight="1">
      <c r="A46" s="76" t="inlineStr">
        <is>
          <t>PV of UFCF</t>
        </is>
      </c>
      <c r="G46" s="93">
        <f>G31*G45</f>
        <v/>
      </c>
      <c r="H46" s="93">
        <f>H31*H45</f>
        <v/>
      </c>
      <c r="I46" s="93">
        <f>I31*I45</f>
        <v/>
      </c>
      <c r="J46" s="93">
        <f>J31*J45</f>
        <v/>
      </c>
      <c r="K46" s="93">
        <f>K31*K45</f>
        <v/>
      </c>
      <c r="L46" s="102" t="n"/>
      <c r="M46" s="80">
        <f> UFCF × discount factor</f>
        <v/>
      </c>
    </row>
    <row r="47" ht="20" customHeight="1">
      <c r="A47" s="66" t="inlineStr">
        <is>
          <t>Sum of PV of FCFs  (explicit period)</t>
        </is>
      </c>
      <c r="B47" s="90">
        <f>G46+H46+I46+J46+K46</f>
        <v/>
      </c>
      <c r="C47" s="107" t="n"/>
      <c r="D47" s="107" t="n"/>
      <c r="E47" s="107" t="n"/>
      <c r="F47" s="107" t="n"/>
      <c r="G47" s="107" t="n"/>
      <c r="H47" s="107" t="n"/>
      <c r="I47" s="107" t="n"/>
      <c r="J47" s="107" t="n"/>
      <c r="K47" s="107" t="n"/>
      <c r="L47" s="107" t="n"/>
      <c r="M47" s="80" t="inlineStr">
        <is>
          <t>Sum of 5 discounted annual FCFs</t>
        </is>
      </c>
    </row>
    <row r="48" ht="20" customHeight="1">
      <c r="A48" s="66" t="inlineStr">
        <is>
          <t>PV of Terminal Value  [Gordon Growth]</t>
        </is>
      </c>
      <c r="B48" s="90">
        <f>B40*L45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80" t="inlineStr">
        <is>
          <t>Terminal value × terminal-year discount factor</t>
        </is>
      </c>
    </row>
    <row r="49" ht="20" customHeight="1">
      <c r="A49" s="66" t="inlineStr">
        <is>
          <t>PV of Terminal Value  [Exit Multiple]</t>
        </is>
      </c>
      <c r="B49" s="90">
        <f>B41*L45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80" t="inlineStr">
        <is>
          <t>Terminal value × terminal-year discount factor</t>
        </is>
      </c>
    </row>
    <row r="50" ht="6" customHeight="1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 ht="18" customHeight="1">
      <c r="A51" s="5" t="inlineStr">
        <is>
          <t>SECTION 6 — EQUITY VALUE BRIDGE  &amp;  IMPLIED SHARE PRICE</t>
        </is>
      </c>
    </row>
    <row r="52">
      <c r="A52" s="76" t="inlineStr">
        <is>
          <t>Enterprise Value  [Gordon Growth]</t>
        </is>
      </c>
      <c r="B52" s="93">
        <f>B47+B48</f>
        <v/>
      </c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</row>
    <row r="53">
      <c r="A53" s="76" t="inlineStr">
        <is>
          <t>Enterprise Value  [Exit Multiple]</t>
        </is>
      </c>
      <c r="B53" s="93">
        <f>B47+B49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 ht="20" customHeight="1">
      <c r="A54" s="88" t="inlineStr">
        <is>
          <t xml:space="preserve">  Less: Net Debt  (Debt − Cash)</t>
        </is>
      </c>
      <c r="B54" s="100">
        <f>'Balance Sheet'!F81</f>
        <v/>
      </c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80" t="inlineStr">
        <is>
          <t>Linked from Balance Sheet: Total Debt (ST+LT) − Cash &amp; Equivalents  (negative = net cash)</t>
        </is>
      </c>
    </row>
    <row r="55" ht="20" customHeight="1">
      <c r="A55" s="88" t="inlineStr">
        <is>
          <t xml:space="preserve">  Less: Minority Interest</t>
        </is>
      </c>
      <c r="B55" s="100" t="n">
        <v>0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80" t="inlineStr">
        <is>
          <t>Auto-linked from Balance Sheet: minorityInterest</t>
        </is>
      </c>
    </row>
    <row r="56" ht="20" customHeight="1">
      <c r="A56" s="88" t="inlineStr">
        <is>
          <t xml:space="preserve">  Shares Outstanding — Diluted  (mm)</t>
        </is>
      </c>
      <c r="B56" s="100" t="n">
        <v>7546.9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80" t="inlineStr">
        <is>
          <t>Auto-linked: weightedAverageShsOutDil from income statement (diluted)</t>
        </is>
      </c>
    </row>
    <row r="57" ht="6" customHeight="1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</row>
    <row r="58">
      <c r="A58" s="76" t="inlineStr">
        <is>
          <t>Implied Share Price  [Gordon Growth]  ($)</t>
        </is>
      </c>
      <c r="B58" s="108">
        <f>IFERROR((B52-B54-B55)/B56,"")</f>
        <v/>
      </c>
      <c r="C58" s="102" t="n"/>
      <c r="D58" s="102" t="n"/>
      <c r="E58" s="102" t="n"/>
      <c r="F58" s="102" t="n"/>
      <c r="G58" s="102" t="n"/>
      <c r="H58" s="102" t="n"/>
      <c r="I58" s="102" t="n"/>
      <c r="J58" s="102" t="n"/>
      <c r="K58" s="102" t="n"/>
      <c r="L58" s="102" t="n"/>
      <c r="M58" s="102" t="n"/>
    </row>
    <row r="59">
      <c r="A59" s="76" t="inlineStr">
        <is>
          <t>Implied Share Price  [Exit Multiple]  ($)</t>
        </is>
      </c>
      <c r="B59" s="108">
        <f>IFERROR((B53-B54-B55)/B56,"")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 ht="20" customHeight="1">
      <c r="A60" s="99" t="inlineStr">
        <is>
          <t>Current Market Price  ($)</t>
        </is>
      </c>
      <c r="B60" s="109" t="n">
        <v>49.77</v>
      </c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80" t="inlineStr">
        <is>
          <t>Auto-linked from FMP company profile — price</t>
        </is>
      </c>
    </row>
    <row r="61">
      <c r="A61" s="66" t="inlineStr">
        <is>
          <t>Upside / (Downside)  [Gordon Growth]</t>
        </is>
      </c>
      <c r="B61" s="110">
        <f>IFERROR(B58/B60-1,"")</f>
        <v/>
      </c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107" t="n"/>
    </row>
    <row r="62">
      <c r="A62" s="66" t="inlineStr">
        <is>
          <t>Upside / (Downside)  [Exit Multiple]</t>
        </is>
      </c>
      <c r="B62" s="110">
        <f>IFERROR(B59/B60-1,"")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1" t="inlineStr">
        <is>
          <t>JS SCORECARD — BAC  |  Master Prompt v2  |  18 May 2026  |  Sector bucket: Bank</t>
        </is>
      </c>
    </row>
    <row r="2" ht="18" customHeight="1">
      <c r="A2" s="112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3" t="inlineStr">
        <is>
          <t>⚠  SOFT FLOOR CAP 59/100 applied — D/EBITDA 9.1x → −30.7 pts  |  EBIT/Interest 0.5x → −10.1 pts  (kicks in at D/EBITDA &gt; 3.0x or EBIT/Int &lt; 3.0x; smooth, no cliffs)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14" t="inlineStr">
        <is>
          <t>CRITERION</t>
        </is>
      </c>
      <c r="B6" s="115" t="inlineStr">
        <is>
          <t>PART</t>
        </is>
      </c>
      <c r="C6" s="115" t="inlineStr">
        <is>
          <t>WEIGHT %</t>
        </is>
      </c>
      <c r="D6" s="115" t="inlineStr">
        <is>
          <t>CALCULATED VALUE</t>
        </is>
      </c>
      <c r="E6" s="115" t="inlineStr">
        <is>
          <t>TIER  ▼</t>
        </is>
      </c>
      <c r="F6" s="115" t="inlineStr">
        <is>
          <t>SCORE</t>
        </is>
      </c>
      <c r="G6" s="115" t="inlineStr">
        <is>
          <t>WTD SCORE</t>
        </is>
      </c>
      <c r="H6" s="114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6" t="inlineStr">
        <is>
          <t xml:space="preserve">  Business Clarity</t>
        </is>
      </c>
      <c r="B8" s="117" t="inlineStr">
        <is>
          <t>P1</t>
        </is>
      </c>
      <c r="C8" s="118" t="n">
        <v>0.025</v>
      </c>
      <c r="D8" s="119" t="inlineStr">
        <is>
          <t>— user input required</t>
        </is>
      </c>
      <c r="E8" s="120" t="n"/>
      <c r="F8" s="121">
        <f>IF(E8="HIGH",10,IF(E8="MOD-HIGH",7,IF(E8="MOD-LOW",3,IF(E8="LOW",0,""))))</f>
        <v/>
      </c>
      <c r="G8" s="122">
        <f>IF(F8="",0,C8*F8*10)</f>
        <v/>
      </c>
      <c r="H8" s="123" t="inlineStr"/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GM 56.1% ✓ (&gt;40%)  |  GM trend -24.2% ✗ (&gt;+1pp)  |  ROIC-WACC -3.6% ✗ (&gt;+5pp)  |  Rev consistency σ=18.4% ✗ (&lt;8%)  [1/4 indicators positive — proxy score]</t>
        </is>
      </c>
      <c r="E9" s="128" t="inlineStr">
        <is>
          <t>LOW</t>
        </is>
      </c>
      <c r="F9" s="129" t="n">
        <v>2.5</v>
      </c>
      <c r="G9" s="130">
        <f>IF(F9="",0,C9*F9*10)</f>
        <v/>
      </c>
      <c r="H9" s="131" t="inlineStr">
        <is>
          <t>GM 56.1% ✓ (&gt;40%)  |  GM trend -24.2% ✗ (&gt;+1pp)  |  ROIC-WACC -3.6% ✗ (&gt;+5pp)  |  Rev consistency σ=18.4% ✗ (&lt;8%)  [1/4 indicators positive — proxy score]</t>
        </is>
      </c>
    </row>
    <row r="10" ht="18" customHeight="1">
      <c r="A10" s="116" t="inlineStr">
        <is>
          <t xml:space="preserve">  Long-Term Potential</t>
        </is>
      </c>
      <c r="B10" s="117" t="inlineStr">
        <is>
          <t>P1</t>
        </is>
      </c>
      <c r="C10" s="118" t="n">
        <v>0.1</v>
      </c>
      <c r="D10" s="119" t="inlineStr">
        <is>
          <t>— user input required</t>
        </is>
      </c>
      <c r="E10" s="120" t="n"/>
      <c r="F10" s="121">
        <f>IF(E10="HIGH",10,IF(E10="MOD-HIGH",7,IF(E10="MOD-LOW",3,IF(E10="LOW",0,""))))</f>
        <v/>
      </c>
      <c r="G10" s="122">
        <f>IF(F10="",0,C10*F10*10)</f>
        <v/>
      </c>
      <c r="H10" s="123" t="inlineStr"/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ROIC trend +1.8% ✓ (&gt;=-2pp)  |  GM maintained -24.2% ✗  |  Op margin -7.2% ✗ (≥-2pp)  |  Capital returns HIGH ✓  |  Share count -3.5%/yr ✓ (net buyback)  |  Goodwill/Equity 23% ✓ (&lt;40%)  [4/6 indicators positive — proxy score]</t>
        </is>
      </c>
      <c r="E11" s="132" t="inlineStr">
        <is>
          <t>MOD-HIGH</t>
        </is>
      </c>
      <c r="F11" s="129" t="n">
        <v>6.67</v>
      </c>
      <c r="G11" s="130">
        <f>IF(F11="",0,C11*F11*10)</f>
        <v/>
      </c>
      <c r="H11" s="131" t="inlineStr">
        <is>
          <t>ROIC trend +1.8% ✓ (&gt;=-2pp)  |  GM maintained -24.2% ✗  |  Op margin -7.2% ✗ (≥-2pp)  |  Capital returns HIGH ✓  |  Share count -3.5%/yr ✓ (net buyback)  |  Goodwill/Equity 23% ✓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18.5%</t>
        </is>
      </c>
      <c r="E13" s="133" t="inlineStr">
        <is>
          <t>HIGH</t>
        </is>
      </c>
      <c r="F13" s="129" t="n">
        <v>12</v>
      </c>
      <c r="G13" s="130">
        <f>IF(F13="",0,C13*F13*10)</f>
        <v/>
      </c>
      <c r="H13" s="131" t="inlineStr">
        <is>
          <t>18.5%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22%  [through-cycle: 70/30 latest+5yr median, latest 41.3% → smoothed 22.2%]</t>
        </is>
      </c>
      <c r="E14" s="128" t="inlineStr">
        <is>
          <t>LOW</t>
        </is>
      </c>
      <c r="F14" s="129" t="n">
        <v>1.11</v>
      </c>
      <c r="G14" s="130">
        <f>IF(F14="",0,C14*F14*10)</f>
        <v/>
      </c>
      <c r="H14" s="131" t="inlineStr">
        <is>
          <t>22%  [through-cycle: 70/30 latest+5yr median, latest 41.3% → smoothed 22.2%]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$21,433mm latest FY — 5yr+ consistent equity-funded  [payout 170% of FCF — &gt; 100%, unsustainable]</t>
        </is>
      </c>
      <c r="E15" s="133" t="inlineStr">
        <is>
          <t>HIGH</t>
        </is>
      </c>
      <c r="F15" s="129" t="n">
        <v>7.5</v>
      </c>
      <c r="G15" s="130">
        <f>IF(F15="",0,C15*F15*10)</f>
        <v/>
      </c>
      <c r="H15" s="131" t="inlineStr">
        <is>
          <t>$21,433mm latest FY — 5yr+ consistent equity-funded  [payout 170% of FCF — &gt; 100%, unsustainable]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6.4%  [through-cycle: 70/30 latest+5yr median, latest 7.0% → smoothed 6.4%]  [QoE: CFO/NI 60% 3yr avg — cash conv weak]</t>
        </is>
      </c>
      <c r="E16" s="134" t="inlineStr">
        <is>
          <t>MOD-LOW</t>
        </is>
      </c>
      <c r="F16" s="129" t="n">
        <v>3.93</v>
      </c>
      <c r="G16" s="130">
        <f>IF(F16="",0,C16*F16*10)</f>
        <v/>
      </c>
      <c r="H16" s="131" t="inlineStr">
        <is>
          <t>6.4%  [through-cycle: 70/30 latest+5yr median, latest 7.0% → smoothed 6.4%]  [QoE: CFO/NI 60%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4" t="inlineStr">
        <is>
          <t xml:space="preserve">  Credit Risk  (D / EBITDA)</t>
        </is>
      </c>
      <c r="B18" s="125" t="inlineStr">
        <is>
          <t>P3</t>
        </is>
      </c>
      <c r="C18" s="126" t="n">
        <v>0.05</v>
      </c>
      <c r="D18" s="127" t="inlineStr">
        <is>
          <t>10.9x  [through-cycle: 70/30 latest+5yr median, latest 9.1x → smoothed 10.9x]</t>
        </is>
      </c>
      <c r="E18" s="134" t="inlineStr">
        <is>
          <t>MOD-LOW</t>
        </is>
      </c>
      <c r="F18" s="129" t="n">
        <v>4.06</v>
      </c>
      <c r="G18" s="130">
        <f>IF(F18="",0,C18*F18*10)</f>
        <v/>
      </c>
      <c r="H18" s="131" t="inlineStr">
        <is>
          <t>10.9x  [through-cycle: 70/30 latest+5yr median, latest 9.1x → smoothed 10.9x]</t>
        </is>
      </c>
    </row>
    <row r="19" ht="18" customHeight="1">
      <c r="A19" s="124" t="inlineStr">
        <is>
          <t xml:space="preserve">  Interest Cover  (EBIT / Interest)</t>
        </is>
      </c>
      <c r="B19" s="125" t="inlineStr">
        <is>
          <t>P3</t>
        </is>
      </c>
      <c r="C19" s="126" t="n">
        <v>0.075</v>
      </c>
      <c r="D19" s="127" t="inlineStr">
        <is>
          <t>0.5x</t>
        </is>
      </c>
      <c r="E19" s="128" t="inlineStr">
        <is>
          <t>LOW</t>
        </is>
      </c>
      <c r="F19" s="129" t="n">
        <v>0.72</v>
      </c>
      <c r="G19" s="130">
        <f>IF(F19="",0,C19*F19*10)</f>
        <v/>
      </c>
      <c r="H19" s="131" t="inlineStr">
        <is>
          <t>0.5x</t>
        </is>
      </c>
    </row>
    <row r="20" ht="18" customHeight="1">
      <c r="A20" s="124" t="inlineStr">
        <is>
          <t xml:space="preserve">  Execution Risk</t>
        </is>
      </c>
      <c r="B20" s="125" t="inlineStr">
        <is>
          <t>P3</t>
        </is>
      </c>
      <c r="C20" s="126" t="n">
        <v>0.05</v>
      </c>
      <c r="D20" s="127" t="inlineStr">
        <is>
          <t>Rev growth σ=18.4%  |  Op margin σ=7.8%  [proxy — lower σ = lower risk = higher score]</t>
        </is>
      </c>
      <c r="E20" s="128" t="inlineStr">
        <is>
          <t>LOW</t>
        </is>
      </c>
      <c r="F20" s="129" t="n">
        <v>1.67</v>
      </c>
      <c r="G20" s="130">
        <f>IF(F20="",0,C20*F20*10)</f>
        <v/>
      </c>
      <c r="H20" s="131" t="inlineStr">
        <is>
          <t>Rev growth σ=18.4%  |  Op margin σ=7.8%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6" t="inlineStr">
        <is>
          <t xml:space="preserve">  Valuation vs Median  (P/E)</t>
        </is>
      </c>
      <c r="B22" s="117" t="inlineStr">
        <is>
          <t>P4</t>
        </is>
      </c>
      <c r="C22" s="118" t="n">
        <v>0.1</v>
      </c>
      <c r="D22" s="119" t="inlineStr">
        <is>
          <t>— user input required</t>
        </is>
      </c>
      <c r="E22" s="120" t="n"/>
      <c r="F22" s="121">
        <f>IF(E22="HIGH",10,IF(E22="MOD-HIGH",7,IF(E22="MOD-LOW",3,IF(E22="LOW",0,""))))</f>
        <v/>
      </c>
      <c r="G22" s="122">
        <f>IF(F22="",0,C22*F22*10)</f>
        <v/>
      </c>
      <c r="H22" s="123" t="inlineStr"/>
    </row>
    <row r="23" ht="18" customHeight="1">
      <c r="A23" s="116" t="inlineStr">
        <is>
          <t xml:space="preserve">  Valuation vs Median  (P/FCF)</t>
        </is>
      </c>
      <c r="B23" s="117" t="inlineStr">
        <is>
          <t>P4</t>
        </is>
      </c>
      <c r="C23" s="118" t="n">
        <v>0.1</v>
      </c>
      <c r="D23" s="119" t="inlineStr">
        <is>
          <t>— user input required</t>
        </is>
      </c>
      <c r="E23" s="120" t="n"/>
      <c r="F23" s="121">
        <f>IF(E23="HIGH",10,IF(E23="MOD-HIGH",7,IF(E23="MOD-LOW",3,IF(E23="LOW",0,""))))</f>
        <v/>
      </c>
      <c r="G23" s="122">
        <f>IF(F23="",0,C23*F23*10)</f>
        <v/>
      </c>
      <c r="H23" s="123" t="inlineStr"/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Floor cap 59.2 applies — see gate warning above.</t>
        </is>
      </c>
    </row>
    <row r="26" ht="18" customHeight="1">
      <c r="A26" s="139" t="inlineStr">
        <is>
          <t>FLOOR-ADJUSTED SCORE  (capped at 59.2)</t>
        </is>
      </c>
      <c r="B26" s="140" t="n"/>
      <c r="C26" s="140" t="n"/>
      <c r="D26" s="140" t="n"/>
      <c r="E26" s="140" t="n"/>
      <c r="F26" s="140" t="n"/>
      <c r="G26" s="141">
        <f>MIN(G25,59.2)</f>
        <v/>
      </c>
      <c r="H26" s="140" t="n"/>
    </row>
    <row r="27">
      <c r="A27" s="44" t="n"/>
      <c r="B27" s="44" t="n"/>
      <c r="C27" s="44" t="n"/>
      <c r="D27" s="44" t="n"/>
      <c r="E27" s="44" t="n"/>
      <c r="F27" s="44" t="n"/>
      <c r="G27" s="44" t="n"/>
      <c r="H27" s="44" t="n"/>
    </row>
    <row r="28" ht="24" customHeight="1">
      <c r="A28" s="142">
        <f>IF(G26="","Score incomplete — fill qualitative tiers above",IF(G26&gt;=80,"STRONG BUY",IF(G26&gt;=65,"BUY",IF(G26&gt;=50,"HOLD",IF(G26&gt;=35,"REDUCE","SELL")))))</f>
        <v/>
      </c>
    </row>
    <row r="29">
      <c r="A29" s="44" t="n"/>
      <c r="B29" s="44" t="n"/>
      <c r="C29" s="44" t="n"/>
      <c r="D29" s="44" t="n"/>
      <c r="E29" s="44" t="n"/>
      <c r="F29" s="44" t="n"/>
      <c r="G29" s="44" t="n"/>
      <c r="H29" s="44" t="n"/>
    </row>
    <row r="30" ht="18" customHeight="1">
      <c r="A30" s="143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2026-05-17T15:39:05Z</dcterms:created>
  <dcterms:modified xmlns:dcterms="http://purl.org/dc/terms/" xmlns:xsi="http://www.w3.org/2001/XMLSchema-instance" xsi:type="dcterms:W3CDTF">2026-05-17T15:39:31Z</dcterms:modified>
</cp:coreProperties>
</file>