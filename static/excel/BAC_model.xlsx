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2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B71C1C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9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9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6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3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9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4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5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5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3" fillId="16" borderId="0" applyAlignment="1" pivotButton="0" quotePrefix="0" xfId="0">
      <alignment horizontal="left" vertical="center" wrapText="1" indent="1"/>
    </xf>
    <xf numFmtId="0" fontId="27" fillId="4" borderId="1" applyAlignment="1" pivotButton="0" quotePrefix="0" xfId="0">
      <alignment horizontal="left" vertical="center" indent="1"/>
    </xf>
    <xf numFmtId="0" fontId="27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0" fillId="5" borderId="1" applyAlignment="1" pivotButton="0" quotePrefix="0" xfId="0">
      <alignment horizontal="left" vertical="center" indent="1"/>
    </xf>
    <xf numFmtId="0" fontId="33" fillId="21" borderId="1" applyAlignment="1" pivotButton="0" quotePrefix="0" xfId="0">
      <alignment horizontal="left" vertical="center" indent="1"/>
    </xf>
    <xf numFmtId="0" fontId="0" fillId="21" borderId="1" pivotButton="0" quotePrefix="0" xfId="0"/>
    <xf numFmtId="2" fontId="33" fillId="21" borderId="1" applyAlignment="1" pivotButton="0" quotePrefix="0" xfId="0">
      <alignment horizontal="center" vertical="center"/>
    </xf>
    <xf numFmtId="0" fontId="26" fillId="3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BAC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191567</v>
      </c>
    </row>
    <row r="7">
      <c r="A7" s="4" t="inlineStr">
        <is>
          <t>Gross Profit ($mm)</t>
        </is>
      </c>
      <c r="B7" s="6" t="n">
        <v>107422</v>
      </c>
    </row>
    <row r="8">
      <c r="A8" s="4" t="inlineStr">
        <is>
          <t>EBITDA ($mm)</t>
        </is>
      </c>
      <c r="B8" s="6" t="n">
        <v>40009</v>
      </c>
    </row>
    <row r="9">
      <c r="A9" s="4" t="inlineStr">
        <is>
          <t>EBIT ($mm)</t>
        </is>
      </c>
      <c r="B9" s="6" t="n">
        <v>37695</v>
      </c>
    </row>
    <row r="10">
      <c r="A10" s="4" t="inlineStr">
        <is>
          <t>Net Income ($mm)</t>
        </is>
      </c>
      <c r="B10" s="6" t="n">
        <v>30509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93851</v>
      </c>
      <c r="C5" s="15" t="n">
        <v>115053</v>
      </c>
      <c r="D5" s="15" t="n">
        <v>171912</v>
      </c>
      <c r="E5" s="15" t="n">
        <v>192434</v>
      </c>
      <c r="F5" s="15" t="n">
        <v>191567</v>
      </c>
    </row>
    <row r="6">
      <c r="A6" s="16" t="inlineStr">
        <is>
          <t>(2)  Cost of Revenue (COGS)</t>
        </is>
      </c>
      <c r="B6" s="17" t="n">
        <v>144</v>
      </c>
      <c r="C6" s="17" t="n">
        <v>22646</v>
      </c>
      <c r="D6" s="17" t="n">
        <v>77725</v>
      </c>
      <c r="E6" s="17" t="n">
        <v>96368</v>
      </c>
      <c r="F6" s="17" t="n">
        <v>84145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45049</v>
      </c>
      <c r="C9" s="17" t="n">
        <v>45946</v>
      </c>
      <c r="D9" s="17" t="n">
        <v>47715</v>
      </c>
      <c r="E9" s="17" t="n">
        <v>49623</v>
      </c>
      <c r="F9" s="17" t="n">
        <v>52246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59731</v>
      </c>
      <c r="C11" s="17" t="n">
        <v>61438</v>
      </c>
      <c r="D11" s="17" t="n">
        <v>65845</v>
      </c>
      <c r="E11" s="17" t="n">
        <v>66812</v>
      </c>
      <c r="F11" s="17" t="n">
        <v>69727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1898</v>
      </c>
      <c r="C14" s="17" t="n">
        <v>1978</v>
      </c>
      <c r="D14" s="17" t="n">
        <v>2057</v>
      </c>
      <c r="E14" s="17" t="n">
        <v>2189</v>
      </c>
      <c r="F14" s="17" t="n">
        <v>2314</v>
      </c>
    </row>
    <row r="15">
      <c r="A15" s="18" t="inlineStr">
        <is>
          <t>(8)  EBIT (Operating Income)</t>
        </is>
      </c>
      <c r="B15" s="23" t="n">
        <v>33976</v>
      </c>
      <c r="C15" s="23" t="n">
        <v>30969</v>
      </c>
      <c r="D15" s="23" t="n">
        <v>28342</v>
      </c>
      <c r="E15" s="23" t="n">
        <v>29254</v>
      </c>
      <c r="F15" s="23" t="n">
        <v>37695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4738</v>
      </c>
      <c r="C17" s="17" t="n">
        <v>20103</v>
      </c>
      <c r="D17" s="17" t="n">
        <v>73331</v>
      </c>
      <c r="E17" s="17" t="n">
        <v>90547</v>
      </c>
      <c r="F17" s="17" t="n">
        <v>78470</v>
      </c>
    </row>
    <row r="18">
      <c r="A18" s="20" t="inlineStr">
        <is>
          <t xml:space="preserve">     Interest Income</t>
        </is>
      </c>
      <c r="B18" s="17" t="n">
        <v>47672</v>
      </c>
      <c r="C18" s="17" t="n">
        <v>72565</v>
      </c>
      <c r="D18" s="17" t="n">
        <v>130262</v>
      </c>
      <c r="E18" s="17" t="n">
        <v>146607</v>
      </c>
      <c r="F18" s="17" t="n">
        <v>138566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33976</v>
      </c>
      <c r="C21" s="23" t="n">
        <v>30969</v>
      </c>
      <c r="D21" s="23" t="n">
        <v>28342</v>
      </c>
      <c r="E21" s="23" t="n">
        <v>29254</v>
      </c>
      <c r="F21" s="23" t="n">
        <v>37695</v>
      </c>
    </row>
    <row r="22">
      <c r="A22" s="16" t="inlineStr">
        <is>
          <t>(11) Income Tax Expense</t>
        </is>
      </c>
      <c r="B22" s="17" t="n">
        <v>1998</v>
      </c>
      <c r="C22" s="17" t="n">
        <v>3441</v>
      </c>
      <c r="D22" s="17" t="n">
        <v>1827</v>
      </c>
      <c r="E22" s="17" t="n">
        <v>2122</v>
      </c>
      <c r="F22" s="17" t="n">
        <v>7186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31978</v>
      </c>
      <c r="C24" s="23" t="n">
        <v>27528</v>
      </c>
      <c r="D24" s="23" t="n">
        <v>26515</v>
      </c>
      <c r="E24" s="23" t="n">
        <v>27132</v>
      </c>
      <c r="F24" s="23" t="n">
        <v>30509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93851</v>
      </c>
      <c r="C30" s="15" t="n">
        <v>115053</v>
      </c>
      <c r="D30" s="15" t="n">
        <v>171912</v>
      </c>
      <c r="E30" s="15" t="n">
        <v>192434</v>
      </c>
      <c r="F30" s="15" t="n">
        <v>191567</v>
      </c>
    </row>
    <row r="31">
      <c r="A31" s="16" t="inlineStr">
        <is>
          <t>Cost of Revenue</t>
        </is>
      </c>
      <c r="B31" s="17" t="n">
        <v>144</v>
      </c>
      <c r="C31" s="17" t="n">
        <v>22646</v>
      </c>
      <c r="D31" s="17" t="n">
        <v>77725</v>
      </c>
      <c r="E31" s="17" t="n">
        <v>96368</v>
      </c>
      <c r="F31" s="17" t="n">
        <v>84145</v>
      </c>
    </row>
    <row r="32">
      <c r="A32" s="25" t="inlineStr">
        <is>
          <t>Gross Profit</t>
        </is>
      </c>
      <c r="B32" s="26" t="n">
        <v>93707</v>
      </c>
      <c r="C32" s="26" t="n">
        <v>92407</v>
      </c>
      <c r="D32" s="26" t="n">
        <v>94187</v>
      </c>
      <c r="E32" s="26" t="n">
        <v>96066</v>
      </c>
      <c r="F32" s="26" t="n">
        <v>107422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General &amp; Administrative</t>
        </is>
      </c>
      <c r="B35" s="17" t="n">
        <v>39229</v>
      </c>
      <c r="C35" s="17" t="n">
        <v>40468</v>
      </c>
      <c r="D35" s="17" t="n">
        <v>42180</v>
      </c>
      <c r="E35" s="17" t="n">
        <v>44173</v>
      </c>
      <c r="F35" s="17" t="n">
        <v>46118</v>
      </c>
    </row>
    <row r="36">
      <c r="A36" s="16" t="inlineStr">
        <is>
          <t>Selling &amp; Marketing</t>
        </is>
      </c>
      <c r="B36" s="17" t="n">
        <v>5820</v>
      </c>
      <c r="C36" s="17" t="n">
        <v>5478</v>
      </c>
      <c r="D36" s="17" t="n">
        <v>5535</v>
      </c>
      <c r="E36" s="17" t="n">
        <v>5450</v>
      </c>
      <c r="F36" s="17" t="n">
        <v>6128</v>
      </c>
    </row>
    <row r="37">
      <c r="A37" s="16" t="inlineStr">
        <is>
          <t>SG&amp;A (Combined)</t>
        </is>
      </c>
      <c r="B37" s="17" t="n">
        <v>45049</v>
      </c>
      <c r="C37" s="17" t="n">
        <v>45946</v>
      </c>
      <c r="D37" s="17" t="n">
        <v>47715</v>
      </c>
      <c r="E37" s="17" t="n">
        <v>49623</v>
      </c>
      <c r="F37" s="17" t="n">
        <v>52246</v>
      </c>
    </row>
    <row r="38">
      <c r="A38" s="16" t="inlineStr">
        <is>
          <t>Other Expenses</t>
        </is>
      </c>
      <c r="B38" s="17" t="n">
        <v>14682</v>
      </c>
      <c r="C38" s="17" t="n">
        <v>15492</v>
      </c>
      <c r="D38" s="17" t="n">
        <v>18130</v>
      </c>
      <c r="E38" s="17" t="n">
        <v>17189</v>
      </c>
      <c r="F38" s="17" t="n">
        <v>17481</v>
      </c>
    </row>
    <row r="39">
      <c r="A39" s="25" t="inlineStr">
        <is>
          <t>Total Operating Expenses</t>
        </is>
      </c>
      <c r="B39" s="26" t="n">
        <v>59731</v>
      </c>
      <c r="C39" s="26" t="n">
        <v>61438</v>
      </c>
      <c r="D39" s="26" t="n">
        <v>65845</v>
      </c>
      <c r="E39" s="26" t="n">
        <v>66812</v>
      </c>
      <c r="F39" s="26" t="n">
        <v>69727</v>
      </c>
    </row>
    <row r="40">
      <c r="A40" s="16" t="inlineStr">
        <is>
          <t>Cost &amp; Expenses (COGS + Opex)</t>
        </is>
      </c>
      <c r="B40" s="17" t="n">
        <v>59875</v>
      </c>
      <c r="C40" s="17" t="n">
        <v>84084</v>
      </c>
      <c r="D40" s="17" t="n">
        <v>143570</v>
      </c>
      <c r="E40" s="17" t="n">
        <v>163180</v>
      </c>
      <c r="F40" s="17" t="n">
        <v>153872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33976</v>
      </c>
      <c r="C42" s="15" t="n">
        <v>30969</v>
      </c>
      <c r="D42" s="15" t="n">
        <v>28342</v>
      </c>
      <c r="E42" s="15" t="n">
        <v>29254</v>
      </c>
      <c r="F42" s="15" t="n">
        <v>37695</v>
      </c>
    </row>
    <row r="43">
      <c r="A43" s="16" t="inlineStr">
        <is>
          <t>EBIT (FMP field)</t>
        </is>
      </c>
      <c r="B43" s="17" t="n">
        <v>33976</v>
      </c>
      <c r="C43" s="17" t="n">
        <v>30969</v>
      </c>
      <c r="D43" s="17" t="n">
        <v>28342</v>
      </c>
      <c r="E43" s="17" t="n">
        <v>29254</v>
      </c>
      <c r="F43" s="17" t="n">
        <v>37695</v>
      </c>
    </row>
    <row r="44">
      <c r="A44" s="25" t="inlineStr">
        <is>
          <t>EBITDA</t>
        </is>
      </c>
      <c r="B44" s="26" t="n">
        <v>35874</v>
      </c>
      <c r="C44" s="26" t="n">
        <v>32947</v>
      </c>
      <c r="D44" s="26" t="n">
        <v>30399</v>
      </c>
      <c r="E44" s="26" t="n">
        <v>31443</v>
      </c>
      <c r="F44" s="26" t="n">
        <v>40009</v>
      </c>
    </row>
    <row r="45">
      <c r="A45" s="16" t="inlineStr">
        <is>
          <t>Depreciation &amp; Amortisation</t>
        </is>
      </c>
      <c r="B45" s="17" t="n">
        <v>1898</v>
      </c>
      <c r="C45" s="17" t="n">
        <v>1978</v>
      </c>
      <c r="D45" s="17" t="n">
        <v>2057</v>
      </c>
      <c r="E45" s="17" t="n">
        <v>2189</v>
      </c>
      <c r="F45" s="17" t="n">
        <v>2314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47672</v>
      </c>
      <c r="C47" s="17" t="n">
        <v>72565</v>
      </c>
      <c r="D47" s="17" t="n">
        <v>130262</v>
      </c>
      <c r="E47" s="17" t="n">
        <v>146607</v>
      </c>
      <c r="F47" s="17" t="n">
        <v>138566</v>
      </c>
    </row>
    <row r="48">
      <c r="A48" s="16" t="inlineStr">
        <is>
          <t>Interest Expense</t>
        </is>
      </c>
      <c r="B48" s="17" t="n">
        <v>4738</v>
      </c>
      <c r="C48" s="17" t="n">
        <v>20103</v>
      </c>
      <c r="D48" s="17" t="n">
        <v>73331</v>
      </c>
      <c r="E48" s="17" t="n">
        <v>90547</v>
      </c>
      <c r="F48" s="17" t="n">
        <v>78470</v>
      </c>
    </row>
    <row r="49">
      <c r="A49" s="16" t="inlineStr">
        <is>
          <t>Net Interest Income</t>
        </is>
      </c>
      <c r="B49" s="17" t="n">
        <v>42934</v>
      </c>
      <c r="C49" s="17" t="n">
        <v>52462</v>
      </c>
      <c r="D49" s="17" t="n">
        <v>56931</v>
      </c>
      <c r="E49" s="17" t="n">
        <v>56060</v>
      </c>
      <c r="F49" s="17" t="n">
        <v>60096</v>
      </c>
    </row>
    <row r="50">
      <c r="A50" s="16" t="inlineStr">
        <is>
          <t>Non-Operating Income (ex-interest)</t>
        </is>
      </c>
      <c r="B50" s="17" t="n">
        <v>0</v>
      </c>
      <c r="C50" s="17" t="n">
        <v>0</v>
      </c>
      <c r="D50" s="17" t="n">
        <v>0</v>
      </c>
      <c r="E50" s="17" t="n">
        <v>0</v>
      </c>
      <c r="F50" s="17" t="n">
        <v>0</v>
      </c>
    </row>
    <row r="51">
      <c r="A51" s="16" t="inlineStr">
        <is>
          <t>Total Other Income / (Expenses)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25" t="inlineStr">
        <is>
          <t>EBT / Income Before Tax</t>
        </is>
      </c>
      <c r="B52" s="26" t="n">
        <v>33976</v>
      </c>
      <c r="C52" s="26" t="n">
        <v>30969</v>
      </c>
      <c r="D52" s="26" t="n">
        <v>28342</v>
      </c>
      <c r="E52" s="26" t="n">
        <v>29254</v>
      </c>
      <c r="F52" s="26" t="n">
        <v>37695</v>
      </c>
    </row>
    <row r="53">
      <c r="A53" s="16" t="inlineStr">
        <is>
          <t>Income Tax Expense</t>
        </is>
      </c>
      <c r="B53" s="17" t="n">
        <v>1998</v>
      </c>
      <c r="C53" s="17" t="n">
        <v>3441</v>
      </c>
      <c r="D53" s="17" t="n">
        <v>1827</v>
      </c>
      <c r="E53" s="17" t="n">
        <v>2122</v>
      </c>
      <c r="F53" s="17" t="n">
        <v>7186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31978</v>
      </c>
      <c r="C55" s="17" t="n">
        <v>27528</v>
      </c>
      <c r="D55" s="17" t="n">
        <v>26515</v>
      </c>
      <c r="E55" s="17" t="n">
        <v>27132</v>
      </c>
      <c r="F55" s="17" t="n">
        <v>30509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-1421</v>
      </c>
      <c r="C58" s="17" t="n">
        <v>-1513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31978</v>
      </c>
      <c r="C59" s="26" t="n">
        <v>27528</v>
      </c>
      <c r="D59" s="26" t="n">
        <v>26515</v>
      </c>
      <c r="E59" s="26" t="n">
        <v>27132</v>
      </c>
      <c r="F59" s="26" t="n">
        <v>30509</v>
      </c>
    </row>
    <row r="60">
      <c r="A60" s="14" t="inlineStr">
        <is>
          <t>Bottom Line Net Income</t>
        </is>
      </c>
      <c r="B60" s="15" t="n">
        <v>30557</v>
      </c>
      <c r="C60" s="15" t="n">
        <v>26015</v>
      </c>
      <c r="D60" s="15" t="n">
        <v>24866</v>
      </c>
      <c r="E60" s="15" t="n">
        <v>25503</v>
      </c>
      <c r="F60" s="15" t="n">
        <v>29055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3.6</v>
      </c>
      <c r="C62" s="17" t="n">
        <v>3.21</v>
      </c>
      <c r="D62" s="17" t="n">
        <v>3.1</v>
      </c>
      <c r="E62" s="17" t="n">
        <v>3.25</v>
      </c>
      <c r="F62" s="17" t="n">
        <v>3.88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8493.299999999999</v>
      </c>
      <c r="C64" s="17" t="n">
        <v>8113.7</v>
      </c>
      <c r="D64" s="17" t="n">
        <v>8028.6</v>
      </c>
      <c r="E64" s="17" t="n">
        <v>7738.4</v>
      </c>
      <c r="F64" s="17" t="n">
        <v>7364.9</v>
      </c>
    </row>
    <row r="65">
      <c r="A65" s="16" t="inlineStr">
        <is>
          <t>Shares Outstanding — Diluted (mm)</t>
        </is>
      </c>
      <c r="B65" s="17" t="n">
        <v>8558.4</v>
      </c>
      <c r="C65" s="17" t="n">
        <v>8167.5</v>
      </c>
      <c r="D65" s="17" t="n">
        <v>8080.5</v>
      </c>
      <c r="E65" s="17" t="n">
        <v>7843.7</v>
      </c>
      <c r="F65" s="17" t="n">
        <v>7546.9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355365</v>
      </c>
      <c r="C5" s="17" t="n">
        <v>237462</v>
      </c>
      <c r="D5" s="17" t="n">
        <v>341419</v>
      </c>
      <c r="E5" s="17" t="n">
        <v>296486</v>
      </c>
      <c r="F5" s="17" t="n">
        <v>231845</v>
      </c>
    </row>
    <row r="6">
      <c r="A6" s="16" t="inlineStr">
        <is>
          <t>(2)  Receivables</t>
        </is>
      </c>
      <c r="B6" s="17" t="n">
        <v>87020</v>
      </c>
      <c r="C6" s="17" t="n">
        <v>81135</v>
      </c>
      <c r="D6" s="17" t="n">
        <v>96697</v>
      </c>
      <c r="E6" s="17" t="n">
        <v>97919</v>
      </c>
      <c r="F6" s="17" t="n">
        <v>103351</v>
      </c>
    </row>
    <row r="7">
      <c r="A7" s="16" t="inlineStr">
        <is>
          <t>(3)  Inventory</t>
        </is>
      </c>
      <c r="B7" s="17" t="n">
        <v>0</v>
      </c>
      <c r="C7" s="17" t="n">
        <v>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741563</v>
      </c>
      <c r="C9" s="23" t="n">
        <v>539385</v>
      </c>
      <c r="D9" s="23" t="n">
        <v>704765</v>
      </c>
      <c r="E9" s="23" t="n">
        <v>740837</v>
      </c>
      <c r="F9" s="23" t="n">
        <v>1067083</v>
      </c>
    </row>
    <row r="10">
      <c r="A10" s="16" t="inlineStr">
        <is>
          <t>(6)  PP&amp;E (Net)</t>
        </is>
      </c>
      <c r="B10" s="17" t="n">
        <v>10833</v>
      </c>
      <c r="C10" s="17" t="n">
        <v>11510</v>
      </c>
      <c r="D10" s="17" t="n">
        <v>11855</v>
      </c>
      <c r="E10" s="17" t="n">
        <v>12168</v>
      </c>
      <c r="F10" s="17" t="n">
        <v>12516</v>
      </c>
    </row>
    <row r="11">
      <c r="A11" s="16" t="inlineStr">
        <is>
          <t>(7)  Goodwill</t>
        </is>
      </c>
      <c r="B11" s="17" t="n">
        <v>69022</v>
      </c>
      <c r="C11" s="17" t="n">
        <v>69022</v>
      </c>
      <c r="D11" s="17" t="n">
        <v>69021</v>
      </c>
      <c r="E11" s="17" t="n">
        <v>69021</v>
      </c>
      <c r="F11" s="17" t="n">
        <v>69021</v>
      </c>
    </row>
    <row r="12">
      <c r="A12" s="16" t="inlineStr">
        <is>
          <t>(8)  Deferred Tax Assets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2427932</v>
      </c>
      <c r="C14" s="23" t="n">
        <v>2511990</v>
      </c>
      <c r="D14" s="23" t="n">
        <v>2475386</v>
      </c>
      <c r="E14" s="23" t="n">
        <v>2520682</v>
      </c>
      <c r="F14" s="23" t="n">
        <v>2343311</v>
      </c>
    </row>
    <row r="15">
      <c r="A15" s="18" t="inlineStr">
        <is>
          <t>(11) Total Assets</t>
        </is>
      </c>
      <c r="B15" s="23" t="n">
        <v>3169495</v>
      </c>
      <c r="C15" s="23" t="n">
        <v>3051375</v>
      </c>
      <c r="D15" s="23" t="n">
        <v>3180151</v>
      </c>
      <c r="E15" s="23" t="n">
        <v>3261519</v>
      </c>
      <c r="F15" s="23" t="n">
        <v>3410394</v>
      </c>
    </row>
    <row r="16" ht="6" customHeight="1"/>
    <row r="17">
      <c r="A17" s="16" t="inlineStr">
        <is>
          <t>(12) Accounts Payable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(13) Short-Term Borrowings</t>
        </is>
      </c>
      <c r="B18" s="17" t="n">
        <v>216082</v>
      </c>
      <c r="C18" s="17" t="n">
        <v>222567</v>
      </c>
      <c r="D18" s="17" t="n">
        <v>315985</v>
      </c>
      <c r="E18" s="17" t="n">
        <v>375149</v>
      </c>
      <c r="F18" s="17" t="n">
        <v>48088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2580181</v>
      </c>
      <c r="C21" s="23" t="n">
        <v>2455840</v>
      </c>
      <c r="D21" s="23" t="n">
        <v>2335342</v>
      </c>
      <c r="E21" s="23" t="n">
        <v>2433159</v>
      </c>
      <c r="F21" s="23" t="n">
        <v>2559605</v>
      </c>
    </row>
    <row r="22">
      <c r="A22" s="16" t="inlineStr">
        <is>
          <t>(17) Long-Term Debt</t>
        </is>
      </c>
      <c r="B22" s="17" t="n">
        <v>280117</v>
      </c>
      <c r="C22" s="17" t="n">
        <v>275982</v>
      </c>
      <c r="D22" s="17" t="n">
        <v>302204</v>
      </c>
      <c r="E22" s="17" t="n">
        <v>283279</v>
      </c>
      <c r="F22" s="17" t="n">
        <v>317816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2899429</v>
      </c>
      <c r="C25" s="23" t="n">
        <v>2778178</v>
      </c>
      <c r="D25" s="23" t="n">
        <v>2888505</v>
      </c>
      <c r="E25" s="23" t="n">
        <v>2965960</v>
      </c>
      <c r="F25" s="23" t="n">
        <v>3107151</v>
      </c>
    </row>
    <row r="26" ht="6" customHeight="1"/>
    <row r="27">
      <c r="A27" s="16" t="inlineStr">
        <is>
          <t>(21) Common Stock &amp; APIC</t>
        </is>
      </c>
      <c r="B27" s="17" t="n">
        <v>62398</v>
      </c>
      <c r="C27" s="17" t="n">
        <v>58953</v>
      </c>
      <c r="D27" s="17" t="n">
        <v>56365</v>
      </c>
      <c r="E27" s="17" t="n">
        <v>45336</v>
      </c>
      <c r="F27" s="17" t="n">
        <v>26084</v>
      </c>
    </row>
    <row r="28">
      <c r="A28" s="16" t="inlineStr">
        <is>
          <t>(22) Retained Earnings</t>
        </is>
      </c>
      <c r="B28" s="17" t="n">
        <v>188064</v>
      </c>
      <c r="C28" s="17" t="n">
        <v>207003</v>
      </c>
      <c r="D28" s="17" t="n">
        <v>224672</v>
      </c>
      <c r="E28" s="17" t="n">
        <v>242349</v>
      </c>
      <c r="F28" s="17" t="n">
        <v>261693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270066</v>
      </c>
      <c r="C30" s="23" t="n">
        <v>273197</v>
      </c>
      <c r="D30" s="23" t="n">
        <v>291646</v>
      </c>
      <c r="E30" s="23" t="n">
        <v>295559</v>
      </c>
      <c r="F30" s="23" t="n">
        <v>303243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355365</v>
      </c>
      <c r="C36" s="17" t="n">
        <v>237462</v>
      </c>
      <c r="D36" s="17" t="n">
        <v>341419</v>
      </c>
      <c r="E36" s="17" t="n">
        <v>296486</v>
      </c>
      <c r="F36" s="17" t="n">
        <v>231845</v>
      </c>
    </row>
    <row r="37">
      <c r="A37" s="16" t="inlineStr">
        <is>
          <t>Short-Term Investments</t>
        </is>
      </c>
      <c r="B37" s="17" t="n">
        <v>299178</v>
      </c>
      <c r="C37" s="17" t="n">
        <v>220788</v>
      </c>
      <c r="D37" s="17" t="n">
        <v>266649</v>
      </c>
      <c r="E37" s="17" t="n">
        <v>346432</v>
      </c>
      <c r="F37" s="17" t="n">
        <v>731887</v>
      </c>
    </row>
    <row r="38">
      <c r="A38" s="27" t="inlineStr">
        <is>
          <t>Cash &amp; Short-Term Investments</t>
        </is>
      </c>
      <c r="B38" s="28" t="n">
        <v>654543</v>
      </c>
      <c r="C38" s="28" t="n">
        <v>458250</v>
      </c>
      <c r="D38" s="28" t="n">
        <v>608068</v>
      </c>
      <c r="E38" s="28" t="n">
        <v>642918</v>
      </c>
      <c r="F38" s="28" t="n">
        <v>963732</v>
      </c>
    </row>
    <row r="39">
      <c r="A39" s="16" t="inlineStr">
        <is>
          <t>Accounts Receivable (Trade)</t>
        </is>
      </c>
      <c r="B39" s="17" t="n">
        <v>72263</v>
      </c>
      <c r="C39" s="17" t="n">
        <v>67543</v>
      </c>
      <c r="D39" s="17" t="n">
        <v>81881</v>
      </c>
      <c r="E39" s="17" t="n">
        <v>82247</v>
      </c>
      <c r="F39" s="17" t="n">
        <v>98186</v>
      </c>
    </row>
    <row r="40">
      <c r="A40" s="16" t="inlineStr">
        <is>
          <t>Other Receivables</t>
        </is>
      </c>
      <c r="B40" s="17" t="n">
        <v>14757</v>
      </c>
      <c r="C40" s="17" t="n">
        <v>13592</v>
      </c>
      <c r="D40" s="17" t="n">
        <v>14816</v>
      </c>
      <c r="E40" s="17" t="n">
        <v>15672</v>
      </c>
      <c r="F40" s="17" t="n">
        <v>5165</v>
      </c>
    </row>
    <row r="41">
      <c r="A41" s="27" t="inlineStr">
        <is>
          <t>Net Receivables (Total)</t>
        </is>
      </c>
      <c r="B41" s="28" t="n">
        <v>87020</v>
      </c>
      <c r="C41" s="28" t="n">
        <v>81135</v>
      </c>
      <c r="D41" s="28" t="n">
        <v>96697</v>
      </c>
      <c r="E41" s="28" t="n">
        <v>97919</v>
      </c>
      <c r="F41" s="28" t="n">
        <v>103351</v>
      </c>
    </row>
    <row r="42">
      <c r="A42" s="16" t="inlineStr">
        <is>
          <t>Inventory</t>
        </is>
      </c>
      <c r="B42" s="17" t="n">
        <v>0</v>
      </c>
      <c r="C42" s="17" t="n">
        <v>0</v>
      </c>
      <c r="D42" s="17" t="n">
        <v>0</v>
      </c>
      <c r="E42" s="17" t="n">
        <v>0</v>
      </c>
      <c r="F42" s="17" t="n">
        <v>0</v>
      </c>
    </row>
    <row r="43">
      <c r="A43" s="16" t="inlineStr">
        <is>
          <t>Prepaids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0</v>
      </c>
      <c r="C44" s="17" t="n">
        <v>0</v>
      </c>
      <c r="D44" s="17" t="n">
        <v>0</v>
      </c>
      <c r="E44" s="17" t="n">
        <v>0</v>
      </c>
      <c r="F44" s="17" t="n">
        <v>0</v>
      </c>
    </row>
    <row r="45">
      <c r="A45" s="25" t="inlineStr">
        <is>
          <t>Total Current Assets</t>
        </is>
      </c>
      <c r="B45" s="26" t="n">
        <v>741563</v>
      </c>
      <c r="C45" s="26" t="n">
        <v>539385</v>
      </c>
      <c r="D45" s="26" t="n">
        <v>704765</v>
      </c>
      <c r="E45" s="26" t="n">
        <v>740837</v>
      </c>
      <c r="F45" s="26" t="n">
        <v>1067083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10833</v>
      </c>
      <c r="C47" s="17" t="n">
        <v>11510</v>
      </c>
      <c r="D47" s="17" t="n">
        <v>11855</v>
      </c>
      <c r="E47" s="17" t="n">
        <v>12168</v>
      </c>
      <c r="F47" s="17" t="n">
        <v>12516</v>
      </c>
    </row>
    <row r="48">
      <c r="A48" s="16" t="inlineStr">
        <is>
          <t>Goodwill</t>
        </is>
      </c>
      <c r="B48" s="17" t="n">
        <v>69022</v>
      </c>
      <c r="C48" s="17" t="n">
        <v>69022</v>
      </c>
      <c r="D48" s="17" t="n">
        <v>69021</v>
      </c>
      <c r="E48" s="17" t="n">
        <v>69021</v>
      </c>
      <c r="F48" s="17" t="n">
        <v>69021</v>
      </c>
    </row>
    <row r="49">
      <c r="A49" s="16" t="inlineStr">
        <is>
          <t>Intangible Assets</t>
        </is>
      </c>
      <c r="B49" s="17" t="n">
        <v>0</v>
      </c>
      <c r="C49" s="17" t="n">
        <v>0</v>
      </c>
      <c r="D49" s="17" t="n">
        <v>0</v>
      </c>
      <c r="E49" s="17" t="n">
        <v>0</v>
      </c>
      <c r="F49" s="17" t="n">
        <v>0</v>
      </c>
    </row>
    <row r="50">
      <c r="A50" s="16" t="inlineStr">
        <is>
          <t>Long-Term Investments</t>
        </is>
      </c>
      <c r="B50" s="17" t="n">
        <v>1686408</v>
      </c>
      <c r="C50" s="17" t="n">
        <v>1717017</v>
      </c>
      <c r="D50" s="17" t="n">
        <v>1675657</v>
      </c>
      <c r="E50" s="17" t="n">
        <v>1688268</v>
      </c>
      <c r="F50" s="17" t="n">
        <v>2098132</v>
      </c>
    </row>
    <row r="51">
      <c r="A51" s="16" t="inlineStr">
        <is>
          <t>Tax Assets (Deferred)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Total Investments</t>
        </is>
      </c>
      <c r="B52" s="17" t="n">
        <v>1985586</v>
      </c>
      <c r="C52" s="17" t="n">
        <v>1937805</v>
      </c>
      <c r="D52" s="17" t="n">
        <v>1942306</v>
      </c>
      <c r="E52" s="17" t="n">
        <v>2034700</v>
      </c>
      <c r="F52" s="17" t="n">
        <v>2830019</v>
      </c>
    </row>
    <row r="53">
      <c r="A53" s="16" t="inlineStr">
        <is>
          <t>Other Non-Current Assets</t>
        </is>
      </c>
      <c r="B53" s="17" t="n">
        <v>661669</v>
      </c>
      <c r="C53" s="17" t="n">
        <v>714441</v>
      </c>
      <c r="D53" s="17" t="n">
        <v>718853</v>
      </c>
      <c r="E53" s="17" t="n">
        <v>751225</v>
      </c>
      <c r="F53" s="17" t="n">
        <v>163642</v>
      </c>
    </row>
    <row r="54">
      <c r="A54" s="25" t="inlineStr">
        <is>
          <t>Total Non-Current Assets</t>
        </is>
      </c>
      <c r="B54" s="26" t="n">
        <v>2427932</v>
      </c>
      <c r="C54" s="26" t="n">
        <v>2511990</v>
      </c>
      <c r="D54" s="26" t="n">
        <v>2475386</v>
      </c>
      <c r="E54" s="26" t="n">
        <v>2520682</v>
      </c>
      <c r="F54" s="26" t="n">
        <v>2343311</v>
      </c>
    </row>
    <row r="55">
      <c r="A55" s="12" t="inlineStr">
        <is>
          <t>TOTAL ASSETS</t>
        </is>
      </c>
      <c r="B55" s="29" t="n">
        <v>3169495</v>
      </c>
      <c r="C55" s="29" t="n">
        <v>3051375</v>
      </c>
      <c r="D55" s="29" t="n">
        <v>3180151</v>
      </c>
      <c r="E55" s="29" t="n">
        <v>3261519</v>
      </c>
      <c r="F55" s="29" t="n">
        <v>3410394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Short-Term Debt</t>
        </is>
      </c>
      <c r="B58" s="17" t="n">
        <v>216082</v>
      </c>
      <c r="C58" s="17" t="n">
        <v>222567</v>
      </c>
      <c r="D58" s="17" t="n">
        <v>315985</v>
      </c>
      <c r="E58" s="17" t="n">
        <v>375149</v>
      </c>
      <c r="F58" s="17" t="n">
        <v>48088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0</v>
      </c>
      <c r="C60" s="17" t="n">
        <v>0</v>
      </c>
      <c r="D60" s="17" t="n">
        <v>0</v>
      </c>
      <c r="E60" s="17" t="n">
        <v>0</v>
      </c>
      <c r="F60" s="17" t="n">
        <v>0</v>
      </c>
    </row>
    <row r="61">
      <c r="A61" s="16" t="inlineStr">
        <is>
          <t>Accrued &amp; Other Current Liabilities</t>
        </is>
      </c>
      <c r="B61" s="17" t="n">
        <v>2165136</v>
      </c>
      <c r="C61" s="17" t="n">
        <v>2010740</v>
      </c>
      <c r="D61" s="17" t="n">
        <v>2019357</v>
      </c>
      <c r="E61" s="17" t="n">
        <v>2058010</v>
      </c>
      <c r="F61" s="17" t="n">
        <v>2511517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2580181</v>
      </c>
      <c r="C63" s="26" t="n">
        <v>2455840</v>
      </c>
      <c r="D63" s="26" t="n">
        <v>2335342</v>
      </c>
      <c r="E63" s="26" t="n">
        <v>2433159</v>
      </c>
      <c r="F63" s="26" t="n">
        <v>2559605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280117</v>
      </c>
      <c r="C65" s="17" t="n">
        <v>275982</v>
      </c>
      <c r="D65" s="17" t="n">
        <v>302204</v>
      </c>
      <c r="E65" s="17" t="n">
        <v>283279</v>
      </c>
      <c r="F65" s="17" t="n">
        <v>317816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0</v>
      </c>
      <c r="C68" s="17" t="n">
        <v>0</v>
      </c>
      <c r="D68" s="17" t="n">
        <v>0</v>
      </c>
      <c r="E68" s="17" t="n">
        <v>0</v>
      </c>
      <c r="F68" s="17" t="n">
        <v>0</v>
      </c>
    </row>
    <row r="69">
      <c r="A69" s="16" t="inlineStr">
        <is>
          <t>Other Non-Current Liabilities</t>
        </is>
      </c>
      <c r="B69" s="17" t="n">
        <v>39131</v>
      </c>
      <c r="C69" s="17" t="n">
        <v>46356</v>
      </c>
      <c r="D69" s="17" t="n">
        <v>250959</v>
      </c>
      <c r="E69" s="17" t="n">
        <v>249522</v>
      </c>
      <c r="F69" s="17" t="n">
        <v>229730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2899429</v>
      </c>
      <c r="C71" s="29" t="n">
        <v>2778178</v>
      </c>
      <c r="D71" s="29" t="n">
        <v>2888505</v>
      </c>
      <c r="E71" s="29" t="n">
        <v>2965960</v>
      </c>
      <c r="F71" s="29" t="n">
        <v>3107151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62398</v>
      </c>
      <c r="C73" s="17" t="n">
        <v>58953</v>
      </c>
      <c r="D73" s="17" t="n">
        <v>56365</v>
      </c>
      <c r="E73" s="17" t="n">
        <v>45336</v>
      </c>
      <c r="F73" s="17" t="n">
        <v>26084</v>
      </c>
    </row>
    <row r="74">
      <c r="A74" s="16" t="inlineStr">
        <is>
          <t>Retained Earnings</t>
        </is>
      </c>
      <c r="B74" s="17" t="n">
        <v>188064</v>
      </c>
      <c r="C74" s="17" t="n">
        <v>207003</v>
      </c>
      <c r="D74" s="17" t="n">
        <v>224672</v>
      </c>
      <c r="E74" s="17" t="n">
        <v>242349</v>
      </c>
      <c r="F74" s="17" t="n">
        <v>261693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</row>
    <row r="78">
      <c r="A78" s="25" t="inlineStr">
        <is>
          <t>Total Equity (inc. Minority)</t>
        </is>
      </c>
      <c r="B78" s="26" t="n">
        <v>270066</v>
      </c>
      <c r="C78" s="26" t="n">
        <v>273197</v>
      </c>
      <c r="D78" s="26" t="n">
        <v>291646</v>
      </c>
      <c r="E78" s="26" t="n">
        <v>295559</v>
      </c>
      <c r="F78" s="26" t="n">
        <v>303243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496199</v>
      </c>
      <c r="C80" s="15" t="n">
        <v>498549</v>
      </c>
      <c r="D80" s="15" t="n">
        <v>618189</v>
      </c>
      <c r="E80" s="15" t="n">
        <v>658428</v>
      </c>
      <c r="F80" s="15" t="n">
        <v>365904</v>
      </c>
    </row>
    <row r="81">
      <c r="A81" s="14" t="inlineStr">
        <is>
          <t>Net Debt</t>
        </is>
      </c>
      <c r="B81" s="15" t="n">
        <v>140834</v>
      </c>
      <c r="C81" s="15" t="n">
        <v>261087</v>
      </c>
      <c r="D81" s="15" t="n">
        <v>276770</v>
      </c>
      <c r="E81" s="15" t="n">
        <v>361942</v>
      </c>
      <c r="F81" s="15" t="n">
        <v>134059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-7193</v>
      </c>
      <c r="C5" s="23" t="n">
        <v>-6327</v>
      </c>
      <c r="D5" s="23" t="n">
        <v>44982</v>
      </c>
      <c r="E5" s="23" t="n">
        <v>-8805</v>
      </c>
      <c r="F5" s="23" t="n">
        <v>12613</v>
      </c>
    </row>
    <row r="6">
      <c r="A6" s="16" t="inlineStr">
        <is>
          <t>(2)  Capital Expenditures</t>
        </is>
      </c>
      <c r="B6" s="17" t="n">
        <v>0</v>
      </c>
      <c r="C6" s="17" t="n">
        <v>0</v>
      </c>
      <c r="D6" s="17" t="n">
        <v>0</v>
      </c>
      <c r="E6" s="17" t="n">
        <v>0</v>
      </c>
      <c r="F6" s="17" t="n">
        <v>0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34281</v>
      </c>
      <c r="C9" s="17" t="n">
        <v>35034</v>
      </c>
      <c r="D9" s="17" t="n">
        <v>25987</v>
      </c>
      <c r="E9" s="17" t="n">
        <v>-1154</v>
      </c>
      <c r="F9" s="17" t="n">
        <v>0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(7)  Dividends Paid</t>
        </is>
      </c>
      <c r="B12" s="17" t="n">
        <v>-8055</v>
      </c>
      <c r="C12" s="17" t="n">
        <v>-8576</v>
      </c>
      <c r="D12" s="17" t="n">
        <v>-9087</v>
      </c>
      <c r="E12" s="17" t="n">
        <v>-9503</v>
      </c>
      <c r="F12" s="17" t="n">
        <v>-9563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-7193</v>
      </c>
      <c r="C15" s="23" t="n">
        <v>-6327</v>
      </c>
      <c r="D15" s="23" t="n">
        <v>44982</v>
      </c>
      <c r="E15" s="23" t="n">
        <v>-8805</v>
      </c>
      <c r="F15" s="23" t="n">
        <v>12613</v>
      </c>
    </row>
    <row r="16">
      <c r="A16" s="14" t="inlineStr">
        <is>
          <t xml:space="preserve">     Net Change in Cash</t>
        </is>
      </c>
      <c r="B16" s="15" t="n">
        <v>-32242</v>
      </c>
      <c r="C16" s="15" t="n">
        <v>-118018</v>
      </c>
      <c r="D16" s="15" t="n">
        <v>102870</v>
      </c>
      <c r="E16" s="15" t="n">
        <v>-42959</v>
      </c>
      <c r="F16" s="15" t="n">
        <v>-58269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31978</v>
      </c>
      <c r="C21" s="17" t="n">
        <v>27528</v>
      </c>
      <c r="D21" s="17" t="n">
        <v>26515</v>
      </c>
      <c r="E21" s="17" t="n">
        <v>27132</v>
      </c>
      <c r="F21" s="17" t="n">
        <v>30509</v>
      </c>
    </row>
    <row r="22">
      <c r="A22" s="16" t="inlineStr">
        <is>
          <t>Depreciation &amp; Amortisation</t>
        </is>
      </c>
      <c r="B22" s="17" t="n">
        <v>1898</v>
      </c>
      <c r="C22" s="17" t="n">
        <v>1978</v>
      </c>
      <c r="D22" s="17" t="n">
        <v>2057</v>
      </c>
      <c r="E22" s="17" t="n">
        <v>2189</v>
      </c>
      <c r="F22" s="17" t="n">
        <v>2314</v>
      </c>
    </row>
    <row r="23">
      <c r="A23" s="16" t="inlineStr">
        <is>
          <t>Deferred Income Tax</t>
        </is>
      </c>
      <c r="B23" s="17" t="n">
        <v>-838</v>
      </c>
      <c r="C23" s="17" t="n">
        <v>739</v>
      </c>
      <c r="D23" s="17" t="n">
        <v>-2011</v>
      </c>
      <c r="E23" s="17" t="n">
        <v>-1734</v>
      </c>
      <c r="F23" s="17" t="n">
        <v>295</v>
      </c>
    </row>
    <row r="24">
      <c r="A24" s="16" t="inlineStr">
        <is>
          <t>Stock-Based Compensation</t>
        </is>
      </c>
      <c r="B24" s="17" t="n">
        <v>2768</v>
      </c>
      <c r="C24" s="17" t="n">
        <v>2862</v>
      </c>
      <c r="D24" s="17" t="n">
        <v>2942</v>
      </c>
      <c r="E24" s="17" t="n">
        <v>3433</v>
      </c>
      <c r="F24" s="17" t="n">
        <v>4001</v>
      </c>
    </row>
    <row r="25">
      <c r="A25" s="16" t="inlineStr">
        <is>
          <t>Change in Working Capital</t>
        </is>
      </c>
      <c r="B25" s="17" t="n">
        <v>-39920</v>
      </c>
      <c r="C25" s="17" t="n">
        <v>-51944</v>
      </c>
      <c r="D25" s="17" t="n">
        <v>2728</v>
      </c>
      <c r="E25" s="17" t="n">
        <v>-48546</v>
      </c>
      <c r="F25" s="17" t="n">
        <v>0</v>
      </c>
    </row>
    <row r="26">
      <c r="A26" s="20" t="inlineStr">
        <is>
          <t xml:space="preserve">  — Accounts Receivable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</row>
    <row r="27">
      <c r="A27" s="20" t="inlineStr">
        <is>
          <t xml:space="preserve">  — Inventory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</row>
    <row r="28">
      <c r="A28" s="20" t="inlineStr">
        <is>
          <t xml:space="preserve">  — Accounts Payable</t>
        </is>
      </c>
      <c r="B28" s="17" t="n">
        <v>0</v>
      </c>
      <c r="C28" s="17" t="n">
        <v>0</v>
      </c>
      <c r="D28" s="17" t="n">
        <v>0</v>
      </c>
      <c r="E28" s="17" t="n">
        <v>0</v>
      </c>
      <c r="F28" s="17" t="n">
        <v>0</v>
      </c>
    </row>
    <row r="29">
      <c r="A29" s="20" t="inlineStr">
        <is>
          <t xml:space="preserve">  — Other Working Capital</t>
        </is>
      </c>
      <c r="B29" s="17" t="n">
        <v>-39920</v>
      </c>
      <c r="C29" s="17" t="n">
        <v>-51944</v>
      </c>
      <c r="D29" s="17" t="n">
        <v>2728</v>
      </c>
      <c r="E29" s="17" t="n">
        <v>-48546</v>
      </c>
      <c r="F29" s="17" t="n">
        <v>0</v>
      </c>
    </row>
    <row r="30">
      <c r="A30" s="16" t="inlineStr">
        <is>
          <t>Other Non-Cash Items</t>
        </is>
      </c>
      <c r="B30" s="17" t="n">
        <v>-3079</v>
      </c>
      <c r="C30" s="17" t="n">
        <v>12510</v>
      </c>
      <c r="D30" s="17" t="n">
        <v>12751</v>
      </c>
      <c r="E30" s="17" t="n">
        <v>8721</v>
      </c>
      <c r="F30" s="17" t="n">
        <v>-24506</v>
      </c>
    </row>
    <row r="31">
      <c r="A31" s="25" t="inlineStr">
        <is>
          <t>Net Cash from Operations (CFO)</t>
        </is>
      </c>
      <c r="B31" s="26" t="n">
        <v>-7193</v>
      </c>
      <c r="C31" s="26" t="n">
        <v>-6327</v>
      </c>
      <c r="D31" s="26" t="n">
        <v>44982</v>
      </c>
      <c r="E31" s="26" t="n">
        <v>-8805</v>
      </c>
      <c r="F31" s="26" t="n">
        <v>12613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20" t="inlineStr">
        <is>
          <t xml:space="preserve">  (Alt: Invest. in PP&amp;E)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Acquisitions (Net)</t>
        </is>
      </c>
      <c r="B35" s="17" t="n">
        <v>0</v>
      </c>
      <c r="C35" s="17" t="n">
        <v>0</v>
      </c>
      <c r="D35" s="17" t="n">
        <v>0</v>
      </c>
      <c r="E35" s="17" t="n">
        <v>0</v>
      </c>
      <c r="F35" s="17" t="n">
        <v>0</v>
      </c>
    </row>
    <row r="36">
      <c r="A36" s="16" t="inlineStr">
        <is>
          <t>Purchases of Investments</t>
        </is>
      </c>
      <c r="B36" s="17" t="n">
        <v>-601134</v>
      </c>
      <c r="C36" s="17" t="n">
        <v>-159058</v>
      </c>
      <c r="D36" s="17" t="n">
        <v>-291057</v>
      </c>
      <c r="E36" s="17" t="n">
        <v>-390911</v>
      </c>
      <c r="F36" s="17" t="n">
        <v>0</v>
      </c>
    </row>
    <row r="37">
      <c r="A37" s="16" t="inlineStr">
        <is>
          <t>Sales / Maturities of Investments</t>
        </is>
      </c>
      <c r="B37" s="17" t="n">
        <v>291389</v>
      </c>
      <c r="C37" s="17" t="n">
        <v>243161</v>
      </c>
      <c r="D37" s="17" t="n">
        <v>286819</v>
      </c>
      <c r="E37" s="17" t="n">
        <v>342455</v>
      </c>
      <c r="F37" s="17" t="n">
        <v>9592</v>
      </c>
    </row>
    <row r="38">
      <c r="A38" s="16" t="inlineStr">
        <is>
          <t>Other Investing Activities</t>
        </is>
      </c>
      <c r="B38" s="17" t="n">
        <v>-3546</v>
      </c>
      <c r="C38" s="17" t="n">
        <v>-86632</v>
      </c>
      <c r="D38" s="17" t="n">
        <v>-31149</v>
      </c>
      <c r="E38" s="17" t="n">
        <v>-42237</v>
      </c>
      <c r="F38" s="17" t="n">
        <v>-154749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34281</v>
      </c>
      <c r="C41" s="17" t="n">
        <v>35034</v>
      </c>
      <c r="D41" s="17" t="n">
        <v>25987</v>
      </c>
      <c r="E41" s="17" t="n">
        <v>-1154</v>
      </c>
      <c r="F41" s="17" t="n">
        <v>0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Common Stock Repurchased (Buybacks)</t>
        </is>
      </c>
      <c r="B44" s="17" t="n">
        <v>-25126</v>
      </c>
      <c r="C44" s="17" t="n">
        <v>-5073</v>
      </c>
      <c r="D44" s="17" t="n">
        <v>-4576</v>
      </c>
      <c r="E44" s="17" t="n">
        <v>-13104</v>
      </c>
      <c r="F44" s="17" t="n">
        <v>-21433</v>
      </c>
    </row>
    <row r="45">
      <c r="A45" s="16" t="inlineStr">
        <is>
          <t>Dividends Paid</t>
        </is>
      </c>
      <c r="B45" s="17" t="n">
        <v>-8055</v>
      </c>
      <c r="C45" s="17" t="n">
        <v>-8576</v>
      </c>
      <c r="D45" s="17" t="n">
        <v>-9087</v>
      </c>
      <c r="E45" s="17" t="n">
        <v>-9503</v>
      </c>
      <c r="F45" s="17" t="n">
        <v>-9563</v>
      </c>
    </row>
    <row r="46">
      <c r="A46" s="16" t="inlineStr">
        <is>
          <t>Other Financing Activities</t>
        </is>
      </c>
      <c r="B46" s="17" t="n">
        <v>290550</v>
      </c>
      <c r="C46" s="17" t="n">
        <v>-131196</v>
      </c>
      <c r="D46" s="17" t="n">
        <v>81021</v>
      </c>
      <c r="E46" s="17" t="n">
        <v>89384</v>
      </c>
      <c r="F46" s="17" t="n">
        <v>100944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-3408</v>
      </c>
      <c r="C49" s="17" t="n">
        <v>-3123</v>
      </c>
      <c r="D49" s="17" t="n">
        <v>-70</v>
      </c>
      <c r="E49" s="17" t="n">
        <v>-3830</v>
      </c>
      <c r="F49" s="17" t="n">
        <v>4327</v>
      </c>
    </row>
    <row r="50">
      <c r="A50" s="14" t="inlineStr">
        <is>
          <t>Net Change in Cash</t>
        </is>
      </c>
      <c r="B50" s="15" t="n">
        <v>-32242</v>
      </c>
      <c r="C50" s="15" t="n">
        <v>-118018</v>
      </c>
      <c r="D50" s="15" t="n">
        <v>102870</v>
      </c>
      <c r="E50" s="15" t="n">
        <v>-42959</v>
      </c>
      <c r="F50" s="15" t="n">
        <v>-58269</v>
      </c>
    </row>
    <row r="51">
      <c r="A51" s="16" t="inlineStr">
        <is>
          <t>Cash at Beginning of Period</t>
        </is>
      </c>
      <c r="B51" s="17" t="n">
        <v>380463</v>
      </c>
      <c r="C51" s="17" t="n">
        <v>348221</v>
      </c>
      <c r="D51" s="17" t="n">
        <v>230203</v>
      </c>
      <c r="E51" s="17" t="n">
        <v>333073</v>
      </c>
      <c r="F51" s="17" t="n">
        <v>0</v>
      </c>
    </row>
    <row r="52">
      <c r="A52" s="25" t="inlineStr">
        <is>
          <t>Cash at End of Period</t>
        </is>
      </c>
      <c r="B52" s="26" t="n">
        <v>348221</v>
      </c>
      <c r="C52" s="26" t="n">
        <v>230203</v>
      </c>
      <c r="D52" s="26" t="n">
        <v>333073</v>
      </c>
      <c r="E52" s="26" t="n">
        <v>290114</v>
      </c>
      <c r="F52" s="26" t="n">
        <v>-58269</v>
      </c>
    </row>
    <row r="53">
      <c r="A53" s="25" t="inlineStr">
        <is>
          <t>Free Cash Flow</t>
        </is>
      </c>
      <c r="B53" s="26" t="n">
        <v>-7193</v>
      </c>
      <c r="C53" s="26" t="n">
        <v>-6327</v>
      </c>
      <c r="D53" s="26" t="n">
        <v>44982</v>
      </c>
      <c r="E53" s="26" t="n">
        <v>-8805</v>
      </c>
      <c r="F53" s="26" t="n">
        <v>12613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8558.4</v>
      </c>
      <c r="C61" s="17" t="n">
        <v>8167.5</v>
      </c>
      <c r="D61" s="17" t="n">
        <v>8080.5</v>
      </c>
      <c r="E61" s="17" t="n">
        <v>7843.7</v>
      </c>
      <c r="F61" s="17" t="n">
        <v>7546.9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BAC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2024</t>
        </is>
      </c>
      <c r="C4" s="13" t="inlineStr">
        <is>
          <t>2023</t>
        </is>
      </c>
      <c r="D4" s="13" t="inlineStr">
        <is>
          <t>2022</t>
        </is>
      </c>
      <c r="E4" s="13" t="inlineStr">
        <is>
          <t>2021</t>
        </is>
      </c>
      <c r="F4" s="13" t="inlineStr">
        <is>
          <t>2020</t>
        </is>
      </c>
    </row>
    <row r="5">
      <c r="A5" s="16" t="inlineStr">
        <is>
          <t>data</t>
        </is>
      </c>
      <c r="B5" s="17" t="n">
        <v>12967</v>
      </c>
      <c r="C5" s="17" t="n">
        <v>12732</v>
      </c>
      <c r="D5" s="17" t="n">
        <v>12075</v>
      </c>
      <c r="E5" s="17" t="n">
        <v>8691</v>
      </c>
      <c r="F5" s="17" t="n">
        <v>8355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BAC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386894.8188</v>
      </c>
      <c r="C5" s="43" t="inlineStr">
        <is>
          <t>FMP marketCap  |  price $53.91</t>
        </is>
      </c>
    </row>
    <row r="6">
      <c r="A6" s="16" t="inlineStr">
        <is>
          <t>Debt  (gross book value, $mm)</t>
        </is>
      </c>
      <c r="B6" s="42" t="n">
        <v>365904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1.237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1.159</v>
      </c>
      <c r="C17" s="43" t="inlineStr">
        <is>
          <t>Mean-reversion toward market beta of 1.0</t>
        </is>
      </c>
    </row>
    <row r="18">
      <c r="A18" s="16" t="inlineStr">
        <is>
          <t>Damodaran industry unlevered  (Banks - Diversified)</t>
        </is>
      </c>
      <c r="B18" s="49" t="n">
        <v>1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0.95x,  t = 19.1%)</t>
        </is>
      </c>
      <c r="B19" s="49" t="n">
        <v>1.765</v>
      </c>
      <c r="C19" s="43">
        <f> unlevered × (1 + (1 − t) × D/E)</f>
        <v/>
      </c>
    </row>
    <row r="20">
      <c r="A20" s="46" t="inlineStr">
        <is>
          <t>► Selected beta  (user override)</t>
        </is>
      </c>
      <c r="B20" s="50" t="n">
        <v>1.387</v>
      </c>
      <c r="C20" s="48" t="inlineStr">
        <is>
          <t>Default = average of 3 source(s) above — override freely</t>
        </is>
      </c>
    </row>
    <row r="21">
      <c r="A21" s="41" t="n"/>
      <c r="B21" s="41" t="n"/>
      <c r="C21" s="41" t="n"/>
    </row>
    <row r="22" ht="18" customHeight="1">
      <c r="A22" s="24" t="inlineStr">
        <is>
          <t>STEP 3 — EQUITY RISK PREMIUM  (ERP)</t>
        </is>
      </c>
    </row>
    <row r="23">
      <c r="A23" s="16" t="inlineStr">
        <is>
          <t>Damodaran implied ERP — US market (current)</t>
        </is>
      </c>
      <c r="B23" s="45" t="n">
        <v>0.0472</v>
      </c>
      <c r="C23" s="43" t="inlineStr">
        <is>
          <t>Damodaran.com implied ERP — Jan 2026</t>
        </is>
      </c>
    </row>
    <row r="24">
      <c r="A24" s="16" t="inlineStr">
        <is>
          <t>Damodaran historical avg — US 1928–2025</t>
        </is>
      </c>
      <c r="B24" s="45" t="n">
        <v>0.042</v>
      </c>
      <c r="C24" s="43" t="inlineStr">
        <is>
          <t>Arithmetic average excess return over T-bill</t>
        </is>
      </c>
    </row>
    <row r="25">
      <c r="A25" s="46" t="inlineStr">
        <is>
          <t>► Selected ERP  (user override)</t>
        </is>
      </c>
      <c r="B25" s="47" t="n">
        <v>0.0446</v>
      </c>
      <c r="C25" s="48" t="inlineStr">
        <is>
          <t>Default = average of Damodaran implied &amp; historical avg — override freely</t>
        </is>
      </c>
    </row>
    <row r="26">
      <c r="A26" s="41" t="n"/>
      <c r="B26" s="41" t="n"/>
      <c r="C26" s="41" t="n"/>
    </row>
    <row r="27" ht="18" customHeight="1">
      <c r="A27" s="24" t="inlineStr">
        <is>
          <t>STEP 4 — COST OF EQUITY  (CAPM:  Re = Rf + β × ERP)</t>
        </is>
      </c>
    </row>
    <row r="28">
      <c r="A28" s="18" t="inlineStr">
        <is>
          <t>Cost of equity  (Re)</t>
        </is>
      </c>
      <c r="B28" s="51">
        <f>B13+B20*B25</f>
        <v/>
      </c>
      <c r="C28" s="44" t="inlineStr">
        <is>
          <t>CAPM formula — references selected inputs above</t>
        </is>
      </c>
    </row>
    <row r="29">
      <c r="A29" s="41" t="n"/>
      <c r="B29" s="41" t="n"/>
      <c r="C29" s="41" t="n"/>
    </row>
    <row r="30" ht="18" customHeight="1">
      <c r="A30" s="24" t="inlineStr">
        <is>
          <t>STEP 5 — COST OF DEBT  (Pre-tax Rd)</t>
        </is>
      </c>
    </row>
    <row r="31">
      <c r="A31" s="16" t="inlineStr">
        <is>
          <t>Credit rating  (S&amp;P / Moody's)</t>
        </is>
      </c>
      <c r="B31" s="52" t="inlineStr">
        <is>
          <t>A-</t>
        </is>
      </c>
      <c r="C31" s="43" t="inlineStr">
        <is>
          <t>User input</t>
        </is>
      </c>
    </row>
    <row r="32">
      <c r="A32" s="16" t="inlineStr">
        <is>
          <t>FRED matched yield</t>
        </is>
      </c>
      <c r="B32" s="52" t="n"/>
      <c r="C32" s="43" t="inlineStr">
        <is>
          <t>No rating returned — FRED method not applicable</t>
        </is>
      </c>
    </row>
    <row r="33">
      <c r="A33" s="16" t="inlineStr">
        <is>
          <t>Interest Coverage Ratio  (EBIT / Gross Int Exp)</t>
        </is>
      </c>
      <c r="B33" s="49" t="n">
        <v>0.5</v>
      </c>
      <c r="C33" s="43" t="inlineStr">
        <is>
          <t>EBIT $37695mm  /  Int Exp $78470mm</t>
        </is>
      </c>
    </row>
    <row r="34">
      <c r="A34" s="16" t="inlineStr">
        <is>
          <t>Synthetic rating  (Damodaran ICR table)</t>
        </is>
      </c>
      <c r="B34" s="52" t="inlineStr">
        <is>
          <t>CC</t>
        </is>
      </c>
      <c r="C34" s="43" t="inlineStr">
        <is>
          <t>ICR 0.5x  →  CC</t>
        </is>
      </c>
    </row>
    <row r="35">
      <c r="A35" s="16" t="inlineStr">
        <is>
          <t>Synthetic Rd  (Rf + Damodaran default spread)</t>
        </is>
      </c>
      <c r="B35" s="45" t="n">
        <v>0.1632</v>
      </c>
      <c r="C35" s="43" t="inlineStr">
        <is>
          <t>Rf 4.32% + spread 12.00%</t>
        </is>
      </c>
    </row>
    <row r="36">
      <c r="A36" s="16" t="inlineStr">
        <is>
          <t>Accounting Rd  (Gross int exp / Avg gross debt)</t>
        </is>
      </c>
      <c r="B36" s="45" t="n">
        <v>0.1532120445324368</v>
      </c>
      <c r="C36" s="43" t="inlineStr">
        <is>
          <t>Cross-check only — backward-looking</t>
        </is>
      </c>
    </row>
    <row r="37">
      <c r="A37" s="16" t="inlineStr">
        <is>
          <t xml:space="preserve">  Note: net interest INCOME of $60096mm  (int inc $138566mm &gt; int exp $78470mm)</t>
        </is>
      </c>
      <c r="B37" s="52" t="n"/>
      <c r="C37" s="43" t="inlineStr">
        <is>
          <t>Gross Rd is the correct basis here — net figure is distorted</t>
        </is>
      </c>
    </row>
    <row r="38">
      <c r="A38" s="46" t="inlineStr">
        <is>
          <t>► Selected pre-tax Rd  (user override)</t>
        </is>
      </c>
      <c r="B38" s="47" t="n">
        <v>0.1582</v>
      </c>
      <c r="C38" s="48" t="inlineStr">
        <is>
          <t>Default = average of 2 source(s) above — override freely</t>
        </is>
      </c>
    </row>
    <row r="39">
      <c r="A39" s="41" t="n"/>
      <c r="B39" s="41" t="n"/>
      <c r="C39" s="41" t="n"/>
    </row>
    <row r="40" ht="18" customHeight="1">
      <c r="A40" s="24" t="inlineStr">
        <is>
          <t>STEP 6 — TAX RATE</t>
        </is>
      </c>
    </row>
    <row r="41">
      <c r="A41" s="16" t="inlineStr">
        <is>
          <t>Effective tax rate  (tax expense / pre-tax income)</t>
        </is>
      </c>
      <c r="B41" s="45" t="n">
        <v>0.1906</v>
      </c>
      <c r="C41" s="43" t="inlineStr">
        <is>
          <t>FMP: $7186mm  /  $37695mm</t>
        </is>
      </c>
    </row>
    <row r="42">
      <c r="A42" s="46" t="inlineStr">
        <is>
          <t>► Selected tax rate  (user override)</t>
        </is>
      </c>
      <c r="B42" s="47" t="n">
        <v>0.1906</v>
      </c>
      <c r="C42" s="48" t="inlineStr">
        <is>
          <t>Adjust to normalised / marginal rate if preferred</t>
        </is>
      </c>
    </row>
    <row r="43">
      <c r="A43" s="41" t="n"/>
      <c r="B43" s="41" t="n"/>
      <c r="C43" s="41" t="n"/>
    </row>
    <row r="44" ht="18" customHeight="1">
      <c r="A44" s="3" t="inlineStr">
        <is>
          <t>WACC OUTPUT</t>
        </is>
      </c>
    </row>
    <row r="45" ht="22" customHeight="1">
      <c r="A45" s="53" t="inlineStr">
        <is>
          <t>WACC  =  (E/V × Re)  +  (D/V × Rd × (1 − t))</t>
        </is>
      </c>
      <c r="B45" s="54">
        <f>B8*B28+B9*B38*(1-B42)</f>
        <v/>
      </c>
      <c r="C45" s="55" t="inlineStr">
        <is>
          <t>Used as discount rate in DCF tab</t>
        </is>
      </c>
    </row>
    <row r="46">
      <c r="A46" s="41" t="n"/>
      <c r="B46" s="41" t="n"/>
      <c r="C46" s="41" t="n"/>
    </row>
    <row r="47" ht="18" customHeight="1">
      <c r="A47" s="9" t="inlineStr">
        <is>
          <t>SENSITIVITY — WACC (%)  by Beta offset × ERP offset</t>
        </is>
      </c>
    </row>
    <row r="48">
      <c r="A48" s="56" t="inlineStr">
        <is>
          <t>Beta offset  \  ERP offset →</t>
        </is>
      </c>
      <c r="B48" s="56" t="inlineStr">
        <is>
          <t>-1.0%</t>
        </is>
      </c>
      <c r="C48" s="56" t="inlineStr">
        <is>
          <t>-0.5%</t>
        </is>
      </c>
      <c r="D48" s="56" t="inlineStr">
        <is>
          <t>Base ERP</t>
        </is>
      </c>
      <c r="E48" s="56" t="inlineStr">
        <is>
          <t>+0.5%</t>
        </is>
      </c>
      <c r="F48" s="56" t="inlineStr">
        <is>
          <t>+1.0%</t>
        </is>
      </c>
    </row>
    <row r="49">
      <c r="A49" s="57" t="inlineStr">
        <is>
          <t>-1.0</t>
        </is>
      </c>
      <c r="B49" s="58">
        <f>B8*(B13+(B20+(-1.0))*(B25+(-0.01)))+B9*B38*(1-B42)</f>
        <v/>
      </c>
      <c r="C49" s="58">
        <f>B8*(B13+(B20+(-1.0))*(B25+(-0.005)))+B9*B38*(1-B42)</f>
        <v/>
      </c>
      <c r="D49" s="58">
        <f>B8*(B13+(B20+(-1.0))*(B25+(0.0)))+B9*B38*(1-B42)</f>
        <v/>
      </c>
      <c r="E49" s="58">
        <f>B8*(B13+(B20+(-1.0))*(B25+(0.005)))+B9*B38*(1-B42)</f>
        <v/>
      </c>
      <c r="F49" s="58">
        <f>B8*(B13+(B20+(-1.0))*(B25+(0.01)))+B9*B38*(1-B42)</f>
        <v/>
      </c>
    </row>
    <row r="50">
      <c r="A50" s="57" t="inlineStr">
        <is>
          <t>-0.5</t>
        </is>
      </c>
      <c r="B50" s="58">
        <f>B8*(B13+(B20+(-0.5))*(B25+(-0.01)))+B9*B38*(1-B42)</f>
        <v/>
      </c>
      <c r="C50" s="58">
        <f>B8*(B13+(B20+(-0.5))*(B25+(-0.005)))+B9*B38*(1-B42)</f>
        <v/>
      </c>
      <c r="D50" s="58">
        <f>B8*(B13+(B20+(-0.5))*(B25+(0.0)))+B9*B38*(1-B42)</f>
        <v/>
      </c>
      <c r="E50" s="58">
        <f>B8*(B13+(B20+(-0.5))*(B25+(0.005)))+B9*B38*(1-B42)</f>
        <v/>
      </c>
      <c r="F50" s="58">
        <f>B8*(B13+(B20+(-0.5))*(B25+(0.01)))+B9*B38*(1-B42)</f>
        <v/>
      </c>
    </row>
    <row r="51">
      <c r="A51" s="59" t="inlineStr">
        <is>
          <t>Base β</t>
        </is>
      </c>
      <c r="B51" s="60">
        <f>B8*(B13+(B20+(0.0))*(B25+(-0.01)))+B9*B38*(1-B42)</f>
        <v/>
      </c>
      <c r="C51" s="60">
        <f>B8*(B13+(B20+(0.0))*(B25+(-0.005)))+B9*B38*(1-B42)</f>
        <v/>
      </c>
      <c r="D51" s="61">
        <f>B8*(B13+(B20+(0.0))*(B25+(0.0)))+B9*B38*(1-B42)</f>
        <v/>
      </c>
      <c r="E51" s="60">
        <f>B8*(B13+(B20+(0.0))*(B25+(0.005)))+B9*B38*(1-B42)</f>
        <v/>
      </c>
      <c r="F51" s="60">
        <f>B8*(B13+(B20+(0.0))*(B25+(0.01)))+B9*B38*(1-B42)</f>
        <v/>
      </c>
    </row>
    <row r="52">
      <c r="A52" s="57" t="inlineStr">
        <is>
          <t>+0.5</t>
        </is>
      </c>
      <c r="B52" s="58">
        <f>B8*(B13+(B20+(0.5))*(B25+(-0.01)))+B9*B38*(1-B42)</f>
        <v/>
      </c>
      <c r="C52" s="58">
        <f>B8*(B13+(B20+(0.5))*(B25+(-0.005)))+B9*B38*(1-B42)</f>
        <v/>
      </c>
      <c r="D52" s="58">
        <f>B8*(B13+(B20+(0.5))*(B25+(0.0)))+B9*B38*(1-B42)</f>
        <v/>
      </c>
      <c r="E52" s="58">
        <f>B8*(B13+(B20+(0.5))*(B25+(0.005)))+B9*B38*(1-B42)</f>
        <v/>
      </c>
      <c r="F52" s="58">
        <f>B8*(B13+(B20+(0.5))*(B25+(0.01)))+B9*B38*(1-B42)</f>
        <v/>
      </c>
    </row>
    <row r="53">
      <c r="A53" s="57" t="inlineStr">
        <is>
          <t>+1.0</t>
        </is>
      </c>
      <c r="B53" s="58">
        <f>B8*(B13+(B20+(1.0))*(B25+(-0.01)))+B9*B38*(1-B42)</f>
        <v/>
      </c>
      <c r="C53" s="58">
        <f>B8*(B13+(B20+(1.0))*(B25+(-0.005)))+B9*B38*(1-B42)</f>
        <v/>
      </c>
      <c r="D53" s="58">
        <f>B8*(B13+(B20+(1.0))*(B25+(0.0)))+B9*B38*(1-B42)</f>
        <v/>
      </c>
      <c r="E53" s="58">
        <f>B8*(B13+(B20+(1.0))*(B25+(0.005)))+B9*B38*(1-B42)</f>
        <v/>
      </c>
      <c r="F53" s="58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BAC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2" t="inlineStr">
        <is>
          <t>Source / Notes</t>
        </is>
      </c>
    </row>
    <row r="4" ht="16" customHeight="1">
      <c r="A4" s="67" t="inlineStr">
        <is>
          <t>FMP analyst consensus: 2026E – 2029E  (4 years)   |   User estimates required from: 2030E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 t="n">
        <v>0.2259</v>
      </c>
      <c r="D7" s="70" t="n">
        <v>0.4942</v>
      </c>
      <c r="E7" s="70" t="n">
        <v>0.1194</v>
      </c>
      <c r="F7" s="70" t="n">
        <v>-0.0045</v>
      </c>
      <c r="G7" s="71" t="n">
        <v>-0.3705</v>
      </c>
      <c r="H7" s="71" t="n">
        <v>0.0509</v>
      </c>
      <c r="I7" s="71" t="n">
        <v>0.0487</v>
      </c>
      <c r="J7" s="71" t="n">
        <v>0.0038</v>
      </c>
      <c r="K7" s="72" t="n">
        <v>0.08</v>
      </c>
      <c r="L7" s="73" t="n">
        <v>0.03</v>
      </c>
      <c r="M7" s="74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8" t="inlineStr">
        <is>
          <t>EBITDA Margin %</t>
        </is>
      </c>
      <c r="B8" s="70" t="n">
        <v>0.3822</v>
      </c>
      <c r="C8" s="70" t="n">
        <v>0.2864</v>
      </c>
      <c r="D8" s="70" t="n">
        <v>0.1768</v>
      </c>
      <c r="E8" s="70" t="n">
        <v>0.1634</v>
      </c>
      <c r="F8" s="70" t="n">
        <v>0.2089</v>
      </c>
      <c r="G8" s="71" t="n">
        <v>0.2435</v>
      </c>
      <c r="H8" s="71" t="n">
        <v>0.2435</v>
      </c>
      <c r="I8" s="71" t="n">
        <v>0.2435</v>
      </c>
      <c r="J8" s="71" t="n">
        <v>0.2435</v>
      </c>
      <c r="K8" s="72" t="n">
        <v>0.2435</v>
      </c>
      <c r="L8" s="73" t="n">
        <v>0.2089</v>
      </c>
      <c r="M8" s="74" t="inlineStr">
        <is>
          <t>FMP consensus years: margin back-calculated from analyst EBITDA / Revenue.  Terminal: enter your long-run normalised EBITDA margin.</t>
        </is>
      </c>
    </row>
    <row r="9" ht="20" customHeight="1">
      <c r="A9" s="68" t="inlineStr">
        <is>
          <t>D&amp;A as % of Revenue  (user input — FMP does not estimate)</t>
        </is>
      </c>
      <c r="B9" s="70" t="n">
        <v>0.0202</v>
      </c>
      <c r="C9" s="70" t="n">
        <v>0.0172</v>
      </c>
      <c r="D9" s="70" t="n">
        <v>0.012</v>
      </c>
      <c r="E9" s="70" t="n">
        <v>0.0114</v>
      </c>
      <c r="F9" s="70" t="n">
        <v>0.0121</v>
      </c>
      <c r="G9" s="72" t="n">
        <v>0.0121</v>
      </c>
      <c r="H9" s="72" t="n">
        <v>0.0121</v>
      </c>
      <c r="I9" s="72" t="n">
        <v>0.0121</v>
      </c>
      <c r="J9" s="72" t="n">
        <v>0.0121</v>
      </c>
      <c r="K9" s="72" t="n">
        <v>0.0121</v>
      </c>
      <c r="L9" s="73" t="n">
        <v>0.0121</v>
      </c>
      <c r="M9" s="74" t="inlineStr">
        <is>
          <t>Historical from 3-statement model.  FMP provides no forward D&amp;A estimate — enter your own.</t>
        </is>
      </c>
    </row>
    <row r="10" ht="20" customHeight="1">
      <c r="A10" s="68" t="inlineStr">
        <is>
          <t>CapEx as % of Revenue  (user input)</t>
        </is>
      </c>
      <c r="B10" s="70" t="n">
        <v>0</v>
      </c>
      <c r="C10" s="70" t="n">
        <v>0</v>
      </c>
      <c r="D10" s="70" t="n">
        <v>0</v>
      </c>
      <c r="E10" s="70" t="n">
        <v>0</v>
      </c>
      <c r="F10" s="70" t="n">
        <v>0</v>
      </c>
      <c r="G10" s="72" t="n">
        <v>0.02</v>
      </c>
      <c r="H10" s="72" t="n">
        <v>0.02</v>
      </c>
      <c r="I10" s="72" t="n">
        <v>0.02</v>
      </c>
      <c r="J10" s="72" t="n">
        <v>0.02</v>
      </c>
      <c r="K10" s="72" t="n">
        <v>0.02</v>
      </c>
      <c r="L10" s="73" t="n">
        <v>0.02</v>
      </c>
      <c r="M10" s="74" t="inlineStr">
        <is>
          <t>Historical from cash flow statement.  Adjust for known capex programmes.</t>
        </is>
      </c>
    </row>
    <row r="11" ht="20" customHeight="1">
      <c r="A11" s="68" t="inlineStr">
        <is>
          <t>Change in NWC as % of Revenue  (user input)</t>
        </is>
      </c>
      <c r="B11" s="70" t="n">
        <v>0.01</v>
      </c>
      <c r="C11" s="70" t="n">
        <v>0.01</v>
      </c>
      <c r="D11" s="70" t="n">
        <v>0.01</v>
      </c>
      <c r="E11" s="70" t="n">
        <v>0.01</v>
      </c>
      <c r="F11" s="70" t="n">
        <v>0.01</v>
      </c>
      <c r="G11" s="72" t="n">
        <v>0.01</v>
      </c>
      <c r="H11" s="72" t="n">
        <v>0.01</v>
      </c>
      <c r="I11" s="72" t="n">
        <v>0.01</v>
      </c>
      <c r="J11" s="72" t="n">
        <v>0.01</v>
      </c>
      <c r="K11" s="72" t="n">
        <v>0.01</v>
      </c>
      <c r="L11" s="73" t="n">
        <v>0.01</v>
      </c>
      <c r="M11" s="74" t="inlineStr">
        <is>
          <t>Cross-ref historical NWC change from Ratios &amp; FCF tab.</t>
        </is>
      </c>
    </row>
    <row r="12" ht="20" customHeight="1">
      <c r="A12" s="68" t="inlineStr">
        <is>
          <t>Effective Tax Rate  (user input — adjust to normalised if needed)</t>
        </is>
      </c>
      <c r="B12" s="70" t="n">
        <v>0.0588</v>
      </c>
      <c r="C12" s="70" t="n">
        <v>0.1111</v>
      </c>
      <c r="D12" s="70" t="n">
        <v>0.0645</v>
      </c>
      <c r="E12" s="70" t="n">
        <v>0.0725</v>
      </c>
      <c r="F12" s="70" t="n">
        <v>0.1906</v>
      </c>
      <c r="G12" s="72" t="n">
        <v>0.1906</v>
      </c>
      <c r="H12" s="72" t="n">
        <v>0.1906</v>
      </c>
      <c r="I12" s="72" t="n">
        <v>0.1906</v>
      </c>
      <c r="J12" s="72" t="n">
        <v>0.1906</v>
      </c>
      <c r="K12" s="72" t="n">
        <v>0.1906</v>
      </c>
      <c r="L12" s="73" t="n">
        <v>0.1906</v>
      </c>
      <c r="M12" s="74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 t="n">
        <v>93851</v>
      </c>
      <c r="C15" s="76" t="n">
        <v>115053</v>
      </c>
      <c r="D15" s="76" t="n">
        <v>171912</v>
      </c>
      <c r="E15" s="76" t="n">
        <v>192434</v>
      </c>
      <c r="F15" s="76" t="n">
        <v>191567</v>
      </c>
      <c r="G15" s="77" t="n">
        <v>120582.4</v>
      </c>
      <c r="H15" s="77" t="n">
        <v>126722.8</v>
      </c>
      <c r="I15" s="77" t="n">
        <v>132897.6</v>
      </c>
      <c r="J15" s="77" t="n">
        <v>133400</v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117,420 — 122,053</t>
        </is>
      </c>
      <c r="H16" s="82" t="inlineStr">
        <is>
          <t>122,372 — 128,913</t>
        </is>
      </c>
      <c r="I16" s="82" t="inlineStr">
        <is>
          <t>132,237 — 133,558</t>
        </is>
      </c>
      <c r="J16" s="82" t="inlineStr">
        <is>
          <t>130,789 — 135,779</t>
        </is>
      </c>
      <c r="K16" s="83" t="inlineStr">
        <is>
          <t>—</t>
        </is>
      </c>
      <c r="L16" s="84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5" t="n">
        <v>7</v>
      </c>
      <c r="H17" s="86" t="n">
        <v>10</v>
      </c>
      <c r="I17" s="87" t="n">
        <v>3</v>
      </c>
      <c r="J17" s="87" t="n">
        <v>2</v>
      </c>
      <c r="K17" s="83" t="inlineStr">
        <is>
          <t>—</t>
        </is>
      </c>
      <c r="L17" s="84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8" t="inlineStr">
        <is>
          <t>—</t>
        </is>
      </c>
      <c r="C18" s="89">
        <f>IFERROR(C15/B15-1,"")</f>
        <v/>
      </c>
      <c r="D18" s="89">
        <f>IFERROR(D15/C15-1,"")</f>
        <v/>
      </c>
      <c r="E18" s="89">
        <f>IFERROR(E15/D15-1,"")</f>
        <v/>
      </c>
      <c r="F18" s="89">
        <f>IFERROR(F15/E15-1,"")</f>
        <v/>
      </c>
      <c r="G18" s="90">
        <f>IFERROR(G15/F15-1,"")</f>
        <v/>
      </c>
      <c r="H18" s="90">
        <f>IFERROR(H15/G15-1,"")</f>
        <v/>
      </c>
      <c r="I18" s="90">
        <f>IFERROR(I15/H15-1,"")</f>
        <v/>
      </c>
      <c r="J18" s="90">
        <f>IFERROR(J15/I15-1,"")</f>
        <v/>
      </c>
      <c r="K18" s="91">
        <f>IFERROR(K15/J15-1,"")</f>
        <v/>
      </c>
      <c r="L18" s="92">
        <f>L7</f>
        <v/>
      </c>
      <c r="M18" s="80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5" t="inlineStr">
        <is>
          <t>EBITDA</t>
        </is>
      </c>
      <c r="B20" s="76" t="n">
        <v>35874</v>
      </c>
      <c r="C20" s="76" t="n">
        <v>32947</v>
      </c>
      <c r="D20" s="76" t="n">
        <v>30399</v>
      </c>
      <c r="E20" s="76" t="n">
        <v>31443</v>
      </c>
      <c r="F20" s="76" t="n">
        <v>40009</v>
      </c>
      <c r="G20" s="77" t="n">
        <v>29366.3</v>
      </c>
      <c r="H20" s="77" t="n">
        <v>30861.7</v>
      </c>
      <c r="I20" s="77" t="n">
        <v>32365.5</v>
      </c>
      <c r="J20" s="77" t="n">
        <v>32487.8</v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28,596 — 29,724</t>
        </is>
      </c>
      <c r="H21" s="82" t="inlineStr">
        <is>
          <t>29,802 — 31,395</t>
        </is>
      </c>
      <c r="I21" s="82" t="inlineStr">
        <is>
          <t>32,205 — 32,526</t>
        </is>
      </c>
      <c r="J21" s="82" t="inlineStr">
        <is>
          <t>31,852 — 33,067</t>
        </is>
      </c>
      <c r="K21" s="83" t="inlineStr">
        <is>
          <t>—</t>
        </is>
      </c>
      <c r="L21" s="84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9">
        <f>IFERROR(B20/B15,"")</f>
        <v/>
      </c>
      <c r="C22" s="89">
        <f>IFERROR(C20/C15,"")</f>
        <v/>
      </c>
      <c r="D22" s="89">
        <f>IFERROR(D20/D15,"")</f>
        <v/>
      </c>
      <c r="E22" s="89">
        <f>IFERROR(E20/E15,"")</f>
        <v/>
      </c>
      <c r="F22" s="89">
        <f>IFERROR(F20/F15,"")</f>
        <v/>
      </c>
      <c r="G22" s="90">
        <f>IFERROR(G20/G15,"")</f>
        <v/>
      </c>
      <c r="H22" s="90">
        <f>IFERROR(H20/H15,"")</f>
        <v/>
      </c>
      <c r="I22" s="90">
        <f>IFERROR(I20/I15,"")</f>
        <v/>
      </c>
      <c r="J22" s="90">
        <f>IFERROR(J20/J15,"")</f>
        <v/>
      </c>
      <c r="K22" s="91">
        <f>IFERROR(K20/K15,"")</f>
        <v/>
      </c>
      <c r="L22" s="92">
        <f>IFERROR(L20/L15,"")</f>
        <v/>
      </c>
      <c r="M22" s="80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93" t="inlineStr">
        <is>
          <t xml:space="preserve">  Less: D&amp;A</t>
        </is>
      </c>
      <c r="B25" s="76" t="n">
        <v>-1898</v>
      </c>
      <c r="C25" s="76" t="n">
        <v>-1978</v>
      </c>
      <c r="D25" s="76" t="n">
        <v>-2057</v>
      </c>
      <c r="E25" s="76" t="n">
        <v>-2189</v>
      </c>
      <c r="F25" s="76" t="n">
        <v>-2314</v>
      </c>
      <c r="G25" s="94">
        <f>-G15*G9</f>
        <v/>
      </c>
      <c r="H25" s="94">
        <f>-H15*H9</f>
        <v/>
      </c>
      <c r="I25" s="94">
        <f>-I15*I9</f>
        <v/>
      </c>
      <c r="J25" s="94">
        <f>-J15*J9</f>
        <v/>
      </c>
      <c r="K25" s="78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95" t="n">
        <v>33976</v>
      </c>
      <c r="C26" s="95" t="n">
        <v>30969</v>
      </c>
      <c r="D26" s="95" t="n">
        <v>28342</v>
      </c>
      <c r="E26" s="95" t="n">
        <v>29254</v>
      </c>
      <c r="F26" s="95" t="n">
        <v>37695</v>
      </c>
      <c r="G26" s="96">
        <f>G20+G25</f>
        <v/>
      </c>
      <c r="H26" s="96">
        <f>H20+H25</f>
        <v/>
      </c>
      <c r="I26" s="96">
        <f>I20+I25</f>
        <v/>
      </c>
      <c r="J26" s="96">
        <f>J20+J25</f>
        <v/>
      </c>
      <c r="K26" s="96">
        <f>K20+K25</f>
        <v/>
      </c>
      <c r="L26" s="96">
        <f>L20+L25</f>
        <v/>
      </c>
      <c r="M26" s="80">
        <f> EBITDA + D&amp;A  (GAAP operating income, EBIT)</f>
        <v/>
      </c>
    </row>
    <row r="27" ht="20" customHeight="1">
      <c r="A27" s="93" t="inlineStr">
        <is>
          <t xml:space="preserve">  Less: Tax on EBIT  (unlevered)</t>
        </is>
      </c>
      <c r="B27" s="97" t="n">
        <v>-1998</v>
      </c>
      <c r="C27" s="97" t="n">
        <v>-3441</v>
      </c>
      <c r="D27" s="97" t="n">
        <v>-1827</v>
      </c>
      <c r="E27" s="97" t="n">
        <v>-2122</v>
      </c>
      <c r="F27" s="97" t="n">
        <v>-7186</v>
      </c>
      <c r="G27" s="98">
        <f>-G26*G12</f>
        <v/>
      </c>
      <c r="H27" s="98">
        <f>-H26*H12</f>
        <v/>
      </c>
      <c r="I27" s="98">
        <f>-I26*I12</f>
        <v/>
      </c>
      <c r="J27" s="98">
        <f>-J26*J12</f>
        <v/>
      </c>
      <c r="K27" s="98">
        <f>-K26*K12</f>
        <v/>
      </c>
      <c r="L27" s="98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5" t="n">
        <v>31978</v>
      </c>
      <c r="C28" s="95" t="n">
        <v>27528</v>
      </c>
      <c r="D28" s="95" t="n">
        <v>26515</v>
      </c>
      <c r="E28" s="95" t="n">
        <v>27132</v>
      </c>
      <c r="F28" s="95" t="n">
        <v>30509</v>
      </c>
      <c r="G28" s="99">
        <f>G26+G27</f>
        <v/>
      </c>
      <c r="H28" s="99">
        <f>H26+H27</f>
        <v/>
      </c>
      <c r="I28" s="99">
        <f>I26+I27</f>
        <v/>
      </c>
      <c r="J28" s="99">
        <f>J26+J27</f>
        <v/>
      </c>
      <c r="K28" s="99">
        <f>K26+K27</f>
        <v/>
      </c>
      <c r="L28" s="99">
        <f>L26+L27</f>
        <v/>
      </c>
      <c r="M28" s="80">
        <f> EBIT × (1 − tax rate)</f>
        <v/>
      </c>
    </row>
    <row r="29" ht="20" customHeight="1">
      <c r="A29" s="93" t="inlineStr">
        <is>
          <t xml:space="preserve">  (+) D&amp;A add-back  (non-cash)</t>
        </is>
      </c>
      <c r="B29" s="97" t="n">
        <v>1898</v>
      </c>
      <c r="C29" s="97" t="n">
        <v>1978</v>
      </c>
      <c r="D29" s="97" t="n">
        <v>2057</v>
      </c>
      <c r="E29" s="97" t="n">
        <v>2189</v>
      </c>
      <c r="F29" s="97" t="n">
        <v>2314</v>
      </c>
      <c r="G29" s="98">
        <f>-G25</f>
        <v/>
      </c>
      <c r="H29" s="98">
        <f>-H25</f>
        <v/>
      </c>
      <c r="I29" s="98">
        <f>-I25</f>
        <v/>
      </c>
      <c r="J29" s="98">
        <f>-J25</f>
        <v/>
      </c>
      <c r="K29" s="98">
        <f>-K25</f>
        <v/>
      </c>
      <c r="L29" s="98">
        <f>-L25</f>
        <v/>
      </c>
      <c r="M29" s="80">
        <f> D&amp;A added back (non-cash charge — converts NOPAT to cash basis)</f>
        <v/>
      </c>
    </row>
    <row r="30" ht="20" customHeight="1">
      <c r="A30" s="93" t="inlineStr">
        <is>
          <t xml:space="preserve">  (−) Capital Expenditures</t>
        </is>
      </c>
      <c r="B30" s="76" t="n"/>
      <c r="C30" s="76" t="n"/>
      <c r="D30" s="76" t="n"/>
      <c r="E30" s="76" t="n"/>
      <c r="F30" s="76" t="n"/>
      <c r="G30" s="98">
        <f>-G15*G10</f>
        <v/>
      </c>
      <c r="H30" s="98">
        <f>-H15*H10</f>
        <v/>
      </c>
      <c r="I30" s="98">
        <f>-I15*I10</f>
        <v/>
      </c>
      <c r="J30" s="98">
        <f>-J15*J10</f>
        <v/>
      </c>
      <c r="K30" s="98">
        <f>-K15*K10</f>
        <v/>
      </c>
      <c r="L30" s="98">
        <f>-L15*L10</f>
        <v/>
      </c>
      <c r="M30" s="80">
        <f> Revenue × CapEx % assumption  (negative = cash outflow)</f>
        <v/>
      </c>
    </row>
    <row r="31" ht="20" customHeight="1">
      <c r="A31" s="93" t="inlineStr">
        <is>
          <t xml:space="preserve">  (−) Increase in Net Working Capital</t>
        </is>
      </c>
      <c r="B31" s="97" t="n"/>
      <c r="C31" s="97" t="n"/>
      <c r="D31" s="97" t="n"/>
      <c r="E31" s="97" t="n"/>
      <c r="F31" s="97" t="n"/>
      <c r="G31" s="98">
        <f>-G15*G11</f>
        <v/>
      </c>
      <c r="H31" s="98">
        <f>-H15*H11</f>
        <v/>
      </c>
      <c r="I31" s="98">
        <f>-I15*I11</f>
        <v/>
      </c>
      <c r="J31" s="98">
        <f>-J15*J11</f>
        <v/>
      </c>
      <c r="K31" s="98">
        <f>-K15*K11</f>
        <v/>
      </c>
      <c r="L31" s="98">
        <f>-L15*L11</f>
        <v/>
      </c>
      <c r="M31" s="80">
        <f> Revenue × NWC % (positive revenue growth ties up cash in working capital)</f>
        <v/>
      </c>
    </row>
    <row r="32" ht="20" customHeight="1">
      <c r="A32" s="75" t="inlineStr">
        <is>
          <t>UNLEVERED FREE CASH FLOW  (UFCF)</t>
        </is>
      </c>
      <c r="B32" s="95" t="n">
        <v>33876</v>
      </c>
      <c r="C32" s="95" t="n">
        <v>29506</v>
      </c>
      <c r="D32" s="95" t="n">
        <v>28572</v>
      </c>
      <c r="E32" s="95" t="n">
        <v>29321</v>
      </c>
      <c r="F32" s="95" t="n">
        <v>32823</v>
      </c>
      <c r="G32" s="99">
        <f>G28+G29+G30+G31</f>
        <v/>
      </c>
      <c r="H32" s="99">
        <f>H28+H29+H30+H31</f>
        <v/>
      </c>
      <c r="I32" s="99">
        <f>I28+I29+I30+I31</f>
        <v/>
      </c>
      <c r="J32" s="99">
        <f>J28+J29+J30+J31</f>
        <v/>
      </c>
      <c r="K32" s="99">
        <f>K28+K29+K30+K31</f>
        <v/>
      </c>
      <c r="L32" s="99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9" t="n">
        <v>0.361</v>
      </c>
      <c r="C33" s="89" t="n">
        <v>0.2565</v>
      </c>
      <c r="D33" s="89" t="n">
        <v>0.1662</v>
      </c>
      <c r="E33" s="89" t="n">
        <v>0.1524</v>
      </c>
      <c r="F33" s="89" t="n">
        <v>0.1713</v>
      </c>
      <c r="G33" s="100">
        <f>IFERROR(G32/G15,"")</f>
        <v/>
      </c>
      <c r="H33" s="100">
        <f>IFERROR(H32/H15,"")</f>
        <v/>
      </c>
      <c r="I33" s="100">
        <f>IFERROR(I32/I15,"")</f>
        <v/>
      </c>
      <c r="J33" s="100">
        <f>IFERROR(J32/J15,"")</f>
        <v/>
      </c>
      <c r="K33" s="100">
        <f>IFERROR(K32/K15,"")</f>
        <v/>
      </c>
      <c r="L33" s="100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101">
        <f>WACC!B45</f>
        <v/>
      </c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3" t="n">
        <v>0.03</v>
      </c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74" t="inlineStr">
        <is>
          <t>Long-run nominal GDP growth rate — typically 2-4% for US.  Keep below WACC.</t>
        </is>
      </c>
    </row>
    <row r="38" ht="20" customHeight="1">
      <c r="A38" s="68" t="inlineStr">
        <is>
          <t>Terminal EV/EBITDA Multiple  (exit multiple method)</t>
        </is>
      </c>
      <c r="B38" s="104" t="n">
        <v>20</v>
      </c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74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5" t="inlineStr">
        <is>
          <t>Terminal Year UFCF  (grown by g)</t>
        </is>
      </c>
      <c r="B40" s="106">
        <f>L32</f>
        <v/>
      </c>
      <c r="C40" s="107" t="n"/>
      <c r="D40" s="107" t="n"/>
      <c r="E40" s="107" t="n"/>
      <c r="F40" s="107" t="n"/>
      <c r="G40" s="107" t="n"/>
      <c r="H40" s="107" t="n"/>
      <c r="I40" s="107" t="n"/>
      <c r="J40" s="107" t="n"/>
      <c r="K40" s="107" t="n"/>
      <c r="L40" s="107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9">
        <f>B40/(B36-B37)</f>
        <v/>
      </c>
      <c r="C41" s="108" t="n"/>
      <c r="D41" s="108" t="n"/>
      <c r="E41" s="108" t="n"/>
      <c r="F41" s="108" t="n"/>
      <c r="G41" s="108" t="n"/>
      <c r="H41" s="108" t="n"/>
      <c r="I41" s="108" t="n"/>
      <c r="J41" s="108" t="n"/>
      <c r="K41" s="108" t="n"/>
      <c r="L41" s="108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9">
        <f>L20*B38</f>
        <v/>
      </c>
      <c r="C42" s="108" t="n"/>
      <c r="D42" s="108" t="n"/>
      <c r="E42" s="108" t="n"/>
      <c r="F42" s="108" t="n"/>
      <c r="G42" s="108" t="n"/>
      <c r="H42" s="108" t="n"/>
      <c r="I42" s="108" t="n"/>
      <c r="J42" s="108" t="n"/>
      <c r="K42" s="108" t="n"/>
      <c r="L42" s="108" t="n"/>
      <c r="M42" s="80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5" t="inlineStr">
        <is>
          <t>Discount Period  (mid-year convention)</t>
        </is>
      </c>
      <c r="G45" s="109" t="n">
        <v>0.5</v>
      </c>
      <c r="H45" s="109" t="n">
        <v>1.5</v>
      </c>
      <c r="I45" s="109" t="n">
        <v>2.5</v>
      </c>
      <c r="J45" s="109" t="n">
        <v>3.5</v>
      </c>
      <c r="K45" s="109" t="n">
        <v>4.5</v>
      </c>
      <c r="L45" s="110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5" t="inlineStr">
        <is>
          <t>Discount Factor  =  1 / (1 + WACC) ^ period</t>
        </is>
      </c>
      <c r="G46" s="111">
        <f>1/(1+B36)^G45</f>
        <v/>
      </c>
      <c r="H46" s="111">
        <f>1/(1+B36)^H45</f>
        <v/>
      </c>
      <c r="I46" s="111">
        <f>1/(1+B36)^I45</f>
        <v/>
      </c>
      <c r="J46" s="111">
        <f>1/(1+B36)^J45</f>
        <v/>
      </c>
      <c r="K46" s="111">
        <f>1/(1+B36)^K45</f>
        <v/>
      </c>
      <c r="L46" s="112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9">
        <f>G32*G46</f>
        <v/>
      </c>
      <c r="H47" s="99">
        <f>H32*H46</f>
        <v/>
      </c>
      <c r="I47" s="99">
        <f>I32*I46</f>
        <v/>
      </c>
      <c r="J47" s="99">
        <f>J32*J46</f>
        <v/>
      </c>
      <c r="K47" s="99">
        <f>K32*K46</f>
        <v/>
      </c>
      <c r="L47" s="108" t="n"/>
      <c r="M47" s="80">
        <f> UFCF × discount factor</f>
        <v/>
      </c>
    </row>
    <row r="48" ht="20" customHeight="1">
      <c r="A48" s="62" t="inlineStr">
        <is>
          <t>Sum of PV of FCFs  (explicit period)</t>
        </is>
      </c>
      <c r="B48" s="96">
        <f>G47+H47+I47+J47+K47</f>
        <v/>
      </c>
      <c r="C48" s="113" t="n"/>
      <c r="D48" s="113" t="n"/>
      <c r="E48" s="113" t="n"/>
      <c r="F48" s="113" t="n"/>
      <c r="G48" s="113" t="n"/>
      <c r="H48" s="113" t="n"/>
      <c r="I48" s="113" t="n"/>
      <c r="J48" s="113" t="n"/>
      <c r="K48" s="113" t="n"/>
      <c r="L48" s="113" t="n"/>
      <c r="M48" s="80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6">
        <f>B41*L46</f>
        <v/>
      </c>
      <c r="C49" s="113" t="n"/>
      <c r="D49" s="113" t="n"/>
      <c r="E49" s="113" t="n"/>
      <c r="F49" s="113" t="n"/>
      <c r="G49" s="113" t="n"/>
      <c r="H49" s="113" t="n"/>
      <c r="I49" s="113" t="n"/>
      <c r="J49" s="113" t="n"/>
      <c r="K49" s="113" t="n"/>
      <c r="L49" s="113" t="n"/>
      <c r="M49" s="80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6">
        <f>B42*L46</f>
        <v/>
      </c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80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9">
        <f>B48+B49</f>
        <v/>
      </c>
      <c r="C53" s="108" t="n"/>
      <c r="D53" s="108" t="n"/>
      <c r="E53" s="108" t="n"/>
      <c r="F53" s="108" t="n"/>
      <c r="G53" s="108" t="n"/>
      <c r="H53" s="108" t="n"/>
      <c r="I53" s="108" t="n"/>
      <c r="J53" s="108" t="n"/>
      <c r="K53" s="108" t="n"/>
      <c r="L53" s="108" t="n"/>
      <c r="M53" s="108" t="n"/>
    </row>
    <row r="54">
      <c r="A54" s="75" t="inlineStr">
        <is>
          <t>Enterprise Value  [Exit Multiple]</t>
        </is>
      </c>
      <c r="B54" s="99">
        <f>B48+B50</f>
        <v/>
      </c>
      <c r="C54" s="108" t="n"/>
      <c r="D54" s="108" t="n"/>
      <c r="E54" s="108" t="n"/>
      <c r="F54" s="108" t="n"/>
      <c r="G54" s="108" t="n"/>
      <c r="H54" s="108" t="n"/>
      <c r="I54" s="108" t="n"/>
      <c r="J54" s="108" t="n"/>
      <c r="K54" s="108" t="n"/>
      <c r="L54" s="108" t="n"/>
      <c r="M54" s="108" t="n"/>
    </row>
    <row r="55" ht="20" customHeight="1">
      <c r="A55" s="93" t="inlineStr">
        <is>
          <t xml:space="preserve">  Less: Net Debt  (Debt − Cash)</t>
        </is>
      </c>
      <c r="B55" s="106" t="n">
        <v>134059</v>
      </c>
      <c r="C55" s="107" t="n"/>
      <c r="D55" s="107" t="n"/>
      <c r="E55" s="107" t="n"/>
      <c r="F55" s="107" t="n"/>
      <c r="G55" s="107" t="n"/>
      <c r="H55" s="107" t="n"/>
      <c r="I55" s="107" t="n"/>
      <c r="J55" s="107" t="n"/>
      <c r="K55" s="107" t="n"/>
      <c r="L55" s="107" t="n"/>
      <c r="M55" s="80" t="inlineStr">
        <is>
          <t>Auto-linked from Balance Sheet: Debt $365,904mm − Cash $231,845mm = $134,059mm  (negative = net cash)</t>
        </is>
      </c>
    </row>
    <row r="56" ht="20" customHeight="1">
      <c r="A56" s="93" t="inlineStr">
        <is>
          <t xml:space="preserve">  Less: Minority Interest</t>
        </is>
      </c>
      <c r="B56" s="106" t="n">
        <v>0</v>
      </c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  <c r="M56" s="80" t="inlineStr">
        <is>
          <t>Auto-linked from Balance Sheet: minorityInterest</t>
        </is>
      </c>
    </row>
    <row r="57" ht="20" customHeight="1">
      <c r="A57" s="93" t="inlineStr">
        <is>
          <t xml:space="preserve">  Shares Outstanding — Diluted  (mm)</t>
        </is>
      </c>
      <c r="B57" s="106" t="n">
        <v>7546.9</v>
      </c>
      <c r="C57" s="107" t="n"/>
      <c r="D57" s="107" t="n"/>
      <c r="E57" s="107" t="n"/>
      <c r="F57" s="107" t="n"/>
      <c r="G57" s="107" t="n"/>
      <c r="H57" s="107" t="n"/>
      <c r="I57" s="107" t="n"/>
      <c r="J57" s="107" t="n"/>
      <c r="K57" s="107" t="n"/>
      <c r="L57" s="107" t="n"/>
      <c r="M57" s="80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5" t="inlineStr">
        <is>
          <t>Implied Share Price  [Gordon Growth]  ($)</t>
        </is>
      </c>
      <c r="B59" s="114">
        <f>IFERROR((B53-B55-B56)/B57,"")</f>
        <v/>
      </c>
      <c r="C59" s="108" t="n"/>
      <c r="D59" s="108" t="n"/>
      <c r="E59" s="108" t="n"/>
      <c r="F59" s="108" t="n"/>
      <c r="G59" s="108" t="n"/>
      <c r="H59" s="108" t="n"/>
      <c r="I59" s="108" t="n"/>
      <c r="J59" s="108" t="n"/>
      <c r="K59" s="108" t="n"/>
      <c r="L59" s="108" t="n"/>
      <c r="M59" s="108" t="n"/>
    </row>
    <row r="60">
      <c r="A60" s="75" t="inlineStr">
        <is>
          <t>Implied Share Price  [Exit Multiple]  ($)</t>
        </is>
      </c>
      <c r="B60" s="114">
        <f>IFERROR((B54-B55-B56)/B57,"")</f>
        <v/>
      </c>
      <c r="C60" s="108" t="n"/>
      <c r="D60" s="108" t="n"/>
      <c r="E60" s="108" t="n"/>
      <c r="F60" s="108" t="n"/>
      <c r="G60" s="108" t="n"/>
      <c r="H60" s="108" t="n"/>
      <c r="I60" s="108" t="n"/>
      <c r="J60" s="108" t="n"/>
      <c r="K60" s="108" t="n"/>
      <c r="L60" s="108" t="n"/>
      <c r="M60" s="108" t="n"/>
    </row>
    <row r="61" ht="20" customHeight="1">
      <c r="A61" s="105" t="inlineStr">
        <is>
          <t>Current Market Price  ($)</t>
        </is>
      </c>
      <c r="B61" s="115" t="n">
        <v>53.91</v>
      </c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80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6">
        <f>IFERROR(B59/B61-1,"")</f>
        <v/>
      </c>
      <c r="C62" s="113" t="n"/>
      <c r="D62" s="113" t="n"/>
      <c r="E62" s="113" t="n"/>
      <c r="F62" s="113" t="n"/>
      <c r="G62" s="113" t="n"/>
      <c r="H62" s="113" t="n"/>
      <c r="I62" s="113" t="n"/>
      <c r="J62" s="113" t="n"/>
      <c r="K62" s="113" t="n"/>
      <c r="L62" s="113" t="n"/>
      <c r="M62" s="113" t="n"/>
    </row>
    <row r="63">
      <c r="A63" s="62" t="inlineStr">
        <is>
          <t>Upside / (Downside)  [Exit Multiple]</t>
        </is>
      </c>
      <c r="B63" s="116">
        <f>IFERROR(B60/B61-1,"")</f>
        <v/>
      </c>
      <c r="C63" s="113" t="n"/>
      <c r="D63" s="113" t="n"/>
      <c r="E63" s="113" t="n"/>
      <c r="F63" s="113" t="n"/>
      <c r="G63" s="113" t="n"/>
      <c r="H63" s="113" t="n"/>
      <c r="I63" s="113" t="n"/>
      <c r="J63" s="113" t="n"/>
      <c r="K63" s="113" t="n"/>
      <c r="L63" s="113" t="n"/>
      <c r="M63" s="113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7" t="inlineStr">
        <is>
          <t>JS SCORECARD — BAC  |  Master Prompt v2  |  18 Apr 2026</t>
        </is>
      </c>
    </row>
    <row r="2" ht="18" customHeight="1">
      <c r="A2" s="118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9" t="inlineStr">
        <is>
          <t>⚠  HARD FLOOR GATE(S) TRIGGERED — LEVERAGE GATE: D/EBITDA 9.1x &gt; 4.0x  |  COVERAGE GATE: EBIT/Interest 0.5x &lt; 2.0x  →  Overall score capped at 59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20" t="inlineStr">
        <is>
          <t>CRITERION</t>
        </is>
      </c>
      <c r="B6" s="121" t="inlineStr">
        <is>
          <t>PART</t>
        </is>
      </c>
      <c r="C6" s="121" t="inlineStr">
        <is>
          <t>WEIGHT %</t>
        </is>
      </c>
      <c r="D6" s="121" t="inlineStr">
        <is>
          <t>CALCULATED VALUE</t>
        </is>
      </c>
      <c r="E6" s="121" t="inlineStr">
        <is>
          <t>TIER  ▼</t>
        </is>
      </c>
      <c r="F6" s="121" t="inlineStr">
        <is>
          <t>SCORE</t>
        </is>
      </c>
      <c r="G6" s="121" t="inlineStr">
        <is>
          <t>WTD SCORE</t>
        </is>
      </c>
      <c r="H6" s="120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22" t="inlineStr">
        <is>
          <t xml:space="preserve">  Business Clarity</t>
        </is>
      </c>
      <c r="B8" s="123" t="inlineStr">
        <is>
          <t>P1</t>
        </is>
      </c>
      <c r="C8" s="124" t="n">
        <v>0.025</v>
      </c>
      <c r="D8" s="125" t="inlineStr">
        <is>
          <t>— user input required</t>
        </is>
      </c>
      <c r="E8" s="126" t="n"/>
      <c r="F8" s="127">
        <f>IF(E8="HIGH",10,IF(E8="MOD-HIGH",7,IF(E8="MOD-LOW",3,IF(E8="LOW",0,""))))</f>
        <v/>
      </c>
      <c r="G8" s="128">
        <f>IF(F8="","",C8*F8)</f>
        <v/>
      </c>
      <c r="H8" s="129" t="inlineStr"/>
    </row>
    <row r="9" ht="18" customHeight="1">
      <c r="A9" s="130" t="inlineStr">
        <is>
          <t xml:space="preserve">  Moat Profile</t>
        </is>
      </c>
      <c r="B9" s="131" t="inlineStr">
        <is>
          <t>P1</t>
        </is>
      </c>
      <c r="C9" s="132" t="n">
        <v>0.1</v>
      </c>
      <c r="D9" s="133" t="inlineStr">
        <is>
          <t>GM 56.1% ✓ (&gt;40%)  |  GM trend -24.2% ✗ (&gt;+1pp)  |  ROIC-WACC -5.4% ✗ (&gt;+5pp)  |  Rev consistency σ=18.4% ✗ (&lt;8%)  [1/4 indicators positive — proxy score]</t>
        </is>
      </c>
      <c r="E9" s="134" t="inlineStr">
        <is>
          <t>LOW</t>
        </is>
      </c>
      <c r="F9" s="135">
        <f>IF(E9="HIGH",10,IF(E9="MOD-HIGH",7,IF(E9="MOD-LOW",3,IF(E9="LOW",0,""))))</f>
        <v/>
      </c>
      <c r="G9" s="136">
        <f>IF(F9="","",C9*F9)</f>
        <v/>
      </c>
      <c r="H9" s="137" t="inlineStr">
        <is>
          <t>GM 56.1% ✓ (&gt;40%)  |  GM trend -24.2% ✗ (&gt;+1pp)  |  ROIC-WACC -5.4% ✗ (&gt;+5pp)  |  Rev consistency σ=18.4% ✗ (&lt;8%)  [1/4 indicators positive — proxy score]</t>
        </is>
      </c>
    </row>
    <row r="10" ht="18" customHeight="1">
      <c r="A10" s="122" t="inlineStr">
        <is>
          <t xml:space="preserve">  Long-Term Potential</t>
        </is>
      </c>
      <c r="B10" s="123" t="inlineStr">
        <is>
          <t>P1</t>
        </is>
      </c>
      <c r="C10" s="124" t="n">
        <v>0.1</v>
      </c>
      <c r="D10" s="125" t="inlineStr">
        <is>
          <t>— user input required</t>
        </is>
      </c>
      <c r="E10" s="126" t="n"/>
      <c r="F10" s="127">
        <f>IF(E10="HIGH",10,IF(E10="MOD-HIGH",7,IF(E10="MOD-LOW",3,IF(E10="LOW",0,""))))</f>
        <v/>
      </c>
      <c r="G10" s="128">
        <f>IF(F10="","",C10*F10)</f>
        <v/>
      </c>
      <c r="H10" s="129" t="inlineStr"/>
    </row>
    <row r="11" ht="18" customHeight="1">
      <c r="A11" s="130" t="inlineStr">
        <is>
          <t xml:space="preserve">  Management</t>
        </is>
      </c>
      <c r="B11" s="131" t="inlineStr">
        <is>
          <t>P1</t>
        </is>
      </c>
      <c r="C11" s="132" t="n">
        <v>0.075</v>
      </c>
      <c r="D11" s="133" t="inlineStr">
        <is>
          <t>ROIC trend +1.8% ✓ (≥-2pp)  |  GM maintained -24.2% ✗  |  Op margin -7.2% ✗ (≥-2pp)  |  Capital returns HIGH ✓  [2/4 indicators positive — proxy score]</t>
        </is>
      </c>
      <c r="E11" s="138" t="inlineStr">
        <is>
          <t>MOD-LOW</t>
        </is>
      </c>
      <c r="F11" s="135">
        <f>IF(E11="HIGH",10,IF(E11="MOD-HIGH",7,IF(E11="MOD-LOW",3,IF(E11="LOW",0,""))))</f>
        <v/>
      </c>
      <c r="G11" s="136">
        <f>IF(F11="","",C11*F11)</f>
        <v/>
      </c>
      <c r="H11" s="137" t="inlineStr">
        <is>
          <t>ROIC trend +1.8% ✓ (≥-2pp)  |  GM maintained -24.2% ✗  |  Op margin -7.2% ✗ (≥-2pp)  |  Capital returns HIGH ✓  [2/4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30" t="inlineStr">
        <is>
          <t xml:space="preserve">  Revenue 3yr CAGR</t>
        </is>
      </c>
      <c r="B13" s="131" t="inlineStr">
        <is>
          <t>P2</t>
        </is>
      </c>
      <c r="C13" s="132" t="n">
        <v>0.1</v>
      </c>
      <c r="D13" s="133" t="inlineStr">
        <is>
          <t>18.5%</t>
        </is>
      </c>
      <c r="E13" s="139" t="inlineStr">
        <is>
          <t>HIGH</t>
        </is>
      </c>
      <c r="F13" s="135">
        <f>IF(E13="HIGH",10,IF(E13="MOD-HIGH",7,IF(E13="MOD-LOW",3,IF(E13="LOW",0,""))))</f>
        <v/>
      </c>
      <c r="G13" s="136">
        <f>IF(F13="","",C13*F13)</f>
        <v/>
      </c>
      <c r="H13" s="137" t="inlineStr">
        <is>
          <t>18.5%</t>
        </is>
      </c>
    </row>
    <row r="14" ht="18" customHeight="1">
      <c r="A14" s="130" t="inlineStr">
        <is>
          <t xml:space="preserve">  Cash Quality  (FCF / Net Income)</t>
        </is>
      </c>
      <c r="B14" s="131" t="inlineStr">
        <is>
          <t>P2</t>
        </is>
      </c>
      <c r="C14" s="132" t="n">
        <v>0.1</v>
      </c>
      <c r="D14" s="133" t="inlineStr">
        <is>
          <t>41%</t>
        </is>
      </c>
      <c r="E14" s="134" t="inlineStr">
        <is>
          <t>LOW</t>
        </is>
      </c>
      <c r="F14" s="135">
        <f>IF(E14="HIGH",10,IF(E14="MOD-HIGH",7,IF(E14="MOD-LOW",3,IF(E14="LOW",0,""))))</f>
        <v/>
      </c>
      <c r="G14" s="136">
        <f>IF(F14="","",C14*F14)</f>
        <v/>
      </c>
      <c r="H14" s="137" t="inlineStr">
        <is>
          <t>41%</t>
        </is>
      </c>
    </row>
    <row r="15" ht="18" customHeight="1">
      <c r="A15" s="130" t="inlineStr">
        <is>
          <t xml:space="preserve">  Capital Returns</t>
        </is>
      </c>
      <c r="B15" s="131" t="inlineStr">
        <is>
          <t>P2</t>
        </is>
      </c>
      <c r="C15" s="132" t="n">
        <v>0.05</v>
      </c>
      <c r="D15" s="133" t="inlineStr">
        <is>
          <t>$21,433mm latest FY — 5yr+ consistent equity-funded</t>
        </is>
      </c>
      <c r="E15" s="139" t="inlineStr">
        <is>
          <t>HIGH</t>
        </is>
      </c>
      <c r="F15" s="135">
        <f>IF(E15="HIGH",10,IF(E15="MOD-HIGH",7,IF(E15="MOD-LOW",3,IF(E15="LOW",0,""))))</f>
        <v/>
      </c>
      <c r="G15" s="136">
        <f>IF(F15="","",C15*F15)</f>
        <v/>
      </c>
      <c r="H15" s="137" t="inlineStr">
        <is>
          <t>$21,433mm latest FY — 5yr+ consistent equity-funded</t>
        </is>
      </c>
    </row>
    <row r="16" ht="18" customHeight="1">
      <c r="A16" s="130" t="inlineStr">
        <is>
          <t xml:space="preserve">  ROIC</t>
        </is>
      </c>
      <c r="B16" s="131" t="inlineStr">
        <is>
          <t>P2</t>
        </is>
      </c>
      <c r="C16" s="132" t="n">
        <v>0.075</v>
      </c>
      <c r="D16" s="133" t="inlineStr">
        <is>
          <t>7.0%</t>
        </is>
      </c>
      <c r="E16" s="134" t="inlineStr">
        <is>
          <t>LOW</t>
        </is>
      </c>
      <c r="F16" s="135">
        <f>IF(E16="HIGH",10,IF(E16="MOD-HIGH",7,IF(E16="MOD-LOW",3,IF(E16="LOW",0,""))))</f>
        <v/>
      </c>
      <c r="G16" s="136">
        <f>IF(F16="","",C16*F16)</f>
        <v/>
      </c>
      <c r="H16" s="137" t="inlineStr">
        <is>
          <t>7.0%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30" t="inlineStr">
        <is>
          <t xml:space="preserve">  Credit Risk  (D / EBITDA)</t>
        </is>
      </c>
      <c r="B18" s="131" t="inlineStr">
        <is>
          <t>P3</t>
        </is>
      </c>
      <c r="C18" s="132" t="n">
        <v>0.05</v>
      </c>
      <c r="D18" s="133" t="inlineStr">
        <is>
          <t>9.1x</t>
        </is>
      </c>
      <c r="E18" s="134" t="inlineStr">
        <is>
          <t>LOW</t>
        </is>
      </c>
      <c r="F18" s="135">
        <f>IF(E18="HIGH",10,IF(E18="MOD-HIGH",7,IF(E18="MOD-LOW",3,IF(E18="LOW",0,""))))</f>
        <v/>
      </c>
      <c r="G18" s="136">
        <f>IF(F18="","",C18*F18)</f>
        <v/>
      </c>
      <c r="H18" s="137" t="inlineStr">
        <is>
          <t>9.1x</t>
        </is>
      </c>
    </row>
    <row r="19" ht="18" customHeight="1">
      <c r="A19" s="130" t="inlineStr">
        <is>
          <t xml:space="preserve">  Interest Cover  (EBIT / Interest)</t>
        </is>
      </c>
      <c r="B19" s="131" t="inlineStr">
        <is>
          <t>P3</t>
        </is>
      </c>
      <c r="C19" s="132" t="n">
        <v>0.075</v>
      </c>
      <c r="D19" s="133" t="inlineStr">
        <is>
          <t>0.5x</t>
        </is>
      </c>
      <c r="E19" s="134" t="inlineStr">
        <is>
          <t>LOW</t>
        </is>
      </c>
      <c r="F19" s="135">
        <f>IF(E19="HIGH",10,IF(E19="MOD-HIGH",7,IF(E19="MOD-LOW",3,IF(E19="LOW",0,""))))</f>
        <v/>
      </c>
      <c r="G19" s="136">
        <f>IF(F19="","",C19*F19)</f>
        <v/>
      </c>
      <c r="H19" s="137" t="inlineStr">
        <is>
          <t>0.5x</t>
        </is>
      </c>
    </row>
    <row r="20" ht="18" customHeight="1">
      <c r="A20" s="130" t="inlineStr">
        <is>
          <t xml:space="preserve">  Execution Risk</t>
        </is>
      </c>
      <c r="B20" s="131" t="inlineStr">
        <is>
          <t>P3</t>
        </is>
      </c>
      <c r="C20" s="132" t="n">
        <v>0.05</v>
      </c>
      <c r="D20" s="133" t="inlineStr">
        <is>
          <t>Rev growth σ=18.4%  |  Op margin σ=7.8%  [proxy — lower σ = lower risk = higher score]</t>
        </is>
      </c>
      <c r="E20" s="134" t="inlineStr">
        <is>
          <t>LOW</t>
        </is>
      </c>
      <c r="F20" s="135">
        <f>IF(E20="HIGH",10,IF(E20="MOD-HIGH",7,IF(E20="MOD-LOW",3,IF(E20="LOW",0,""))))</f>
        <v/>
      </c>
      <c r="G20" s="136">
        <f>IF(F20="","",C20*F20)</f>
        <v/>
      </c>
      <c r="H20" s="137" t="inlineStr">
        <is>
          <t>Rev growth σ=18.4%  |  Op margin σ=7.8%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30" t="inlineStr">
        <is>
          <t xml:space="preserve">  Valuation vs Median  (P/E)</t>
        </is>
      </c>
      <c r="B22" s="131" t="inlineStr">
        <is>
          <t>P4</t>
        </is>
      </c>
      <c r="C22" s="132" t="n">
        <v>0.1</v>
      </c>
      <c r="D22" s="133" t="inlineStr">
        <is>
          <t>Current 13.3x  |  5yr avg 11.5x  [+16% vs benchmark]</t>
        </is>
      </c>
      <c r="E22" s="138" t="inlineStr">
        <is>
          <t>MOD-LOW</t>
        </is>
      </c>
      <c r="F22" s="135">
        <f>IF(E22="HIGH",10,IF(E22="MOD-HIGH",7,IF(E22="MOD-LOW",3,IF(E22="LOW",0,""))))</f>
        <v/>
      </c>
      <c r="G22" s="136">
        <f>IF(F22="","",C22*F22)</f>
        <v/>
      </c>
      <c r="H22" s="137" t="inlineStr">
        <is>
          <t>Current 13.3x  |  5yr avg 11.5x  [+16% vs benchmark]</t>
        </is>
      </c>
    </row>
    <row r="23" ht="18" customHeight="1">
      <c r="A23" s="130" t="inlineStr">
        <is>
          <t xml:space="preserve">  Valuation vs Median  (P/FCF)</t>
        </is>
      </c>
      <c r="B23" s="131" t="inlineStr">
        <is>
          <t>P4</t>
        </is>
      </c>
      <c r="C23" s="132" t="n">
        <v>0.1</v>
      </c>
      <c r="D23" s="133" t="inlineStr">
        <is>
          <t>Current 32.1x  |  5yr avg 19.1x  [+68% vs benchmark]</t>
        </is>
      </c>
      <c r="E23" s="134" t="inlineStr">
        <is>
          <t>LOW</t>
        </is>
      </c>
      <c r="F23" s="135">
        <f>IF(E23="HIGH",10,IF(E23="MOD-HIGH",7,IF(E23="MOD-LOW",3,IF(E23="LOW",0,""))))</f>
        <v/>
      </c>
      <c r="G23" s="136">
        <f>IF(F23="","",C23*F23)</f>
        <v/>
      </c>
      <c r="H23" s="137" t="inlineStr">
        <is>
          <t>Current 32.1x  |  5yr avg 19.1x  [+68%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40" t="inlineStr">
        <is>
          <t>TOTAL SCORE  (max = 100.0)</t>
        </is>
      </c>
      <c r="B25" s="141" t="n"/>
      <c r="C25" s="141" t="n"/>
      <c r="D25" s="141" t="n"/>
      <c r="E25" s="141" t="n"/>
      <c r="F25" s="141" t="n"/>
      <c r="G25" s="142">
        <f>G8+G9+G10+G11+G13+G14+G15+G16+G18+G19+G20+G22+G23</f>
        <v/>
      </c>
      <c r="H25" s="143" t="inlineStr">
        <is>
          <t>Floor cap 59 applies — see gate warning above.</t>
        </is>
      </c>
    </row>
    <row r="26" ht="18" customHeight="1">
      <c r="A26" s="144" t="inlineStr">
        <is>
          <t>FLOOR-ADJUSTED SCORE  (capped at 59)</t>
        </is>
      </c>
      <c r="B26" s="145" t="n"/>
      <c r="C26" s="145" t="n"/>
      <c r="D26" s="145" t="n"/>
      <c r="E26" s="145" t="n"/>
      <c r="F26" s="145" t="n"/>
      <c r="G26" s="146">
        <f>MIN(G25,59)</f>
        <v/>
      </c>
      <c r="H26" s="145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</row>
    <row r="28" ht="24" customHeight="1">
      <c r="A28" s="147">
        <f>IF(G26="","Score incomplete — fill qualitative tiers above",IF(G26&gt;=80,"STRONG BUY",IF(G26&gt;=65,"BUY",IF(G26&gt;=50,"HOLD",IF(G26&gt;=35,"REDUCE","SELL")))))</f>
        <v/>
      </c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</row>
    <row r="30" ht="18" customHeight="1">
      <c r="A30" s="148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2026-04-18T03:08:51Z</dcterms:created>
  <dcterms:modified xsi:type="dcterms:W3CDTF">2026-04-18T03:09:24Z</dcterms:modified>
</cp:coreProperties>
</file>