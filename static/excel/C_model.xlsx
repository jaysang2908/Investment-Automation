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9" borderId="1" applyAlignment="1" pivotButton="0" quotePrefix="0" xfId="0">
      <alignment horizontal="center" vertical="center"/>
    </xf>
    <xf numFmtId="0" fontId="29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168302</v>
      </c>
    </row>
    <row r="8">
      <c r="A8" s="3" t="inlineStr">
        <is>
          <t>Gross Profit ($mm)</t>
        </is>
      </c>
      <c r="B8" s="7" t="n">
        <v>74980</v>
      </c>
    </row>
    <row r="9">
      <c r="A9" s="3" t="inlineStr">
        <is>
          <t>EBITDA ($mm)</t>
        </is>
      </c>
      <c r="B9" s="7" t="n">
        <v>23098</v>
      </c>
    </row>
    <row r="10">
      <c r="A10" s="3" t="inlineStr">
        <is>
          <t>EBIT ($mm)</t>
        </is>
      </c>
      <c r="B10" s="7" t="n">
        <v>19828</v>
      </c>
    </row>
    <row r="11">
      <c r="A11" s="3" t="inlineStr">
        <is>
          <t>Net Income ($mm)</t>
        </is>
      </c>
      <c r="B11" s="7" t="n">
        <v>14268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79868</v>
      </c>
      <c r="C5" s="16" t="n">
        <v>100220</v>
      </c>
      <c r="D5" s="16" t="n">
        <v>155382</v>
      </c>
      <c r="E5" s="16" t="n">
        <v>170707</v>
      </c>
      <c r="F5" s="16" t="n">
        <v>168302</v>
      </c>
    </row>
    <row r="6">
      <c r="A6" s="17" t="inlineStr">
        <is>
          <t>(2)  Cost of Revenue (COGS)</t>
        </is>
      </c>
      <c r="B6" s="18" t="n">
        <v>4090</v>
      </c>
      <c r="C6" s="18" t="n">
        <v>30852</v>
      </c>
      <c r="D6" s="18" t="n">
        <v>87481</v>
      </c>
      <c r="E6" s="18" t="n">
        <v>99587</v>
      </c>
      <c r="F6" s="18" t="n">
        <v>93322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26740</v>
      </c>
      <c r="C9" s="18" t="n">
        <v>28305</v>
      </c>
      <c r="D9" s="18" t="n">
        <v>30712</v>
      </c>
      <c r="E9" s="18" t="n">
        <v>29745</v>
      </c>
      <c r="F9" s="18" t="n">
        <v>39431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48309</v>
      </c>
      <c r="C11" s="18" t="n">
        <v>50561</v>
      </c>
      <c r="D11" s="18" t="n">
        <v>54991</v>
      </c>
      <c r="E11" s="18" t="n">
        <v>54074</v>
      </c>
      <c r="F11" s="18" t="n">
        <v>55152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3964</v>
      </c>
      <c r="C14" s="18" t="n">
        <v>4262</v>
      </c>
      <c r="D14" s="18" t="n">
        <v>4560</v>
      </c>
      <c r="E14" s="18" t="n">
        <v>4311</v>
      </c>
      <c r="F14" s="18" t="n">
        <v>3270</v>
      </c>
    </row>
    <row r="15">
      <c r="A15" s="19" t="inlineStr">
        <is>
          <t>(8)  EBIT (Operating Income)</t>
        </is>
      </c>
      <c r="B15" s="24" t="n">
        <v>27469</v>
      </c>
      <c r="C15" s="24" t="n">
        <v>18807</v>
      </c>
      <c r="D15" s="24" t="n">
        <v>12910</v>
      </c>
      <c r="E15" s="24" t="n">
        <v>17046</v>
      </c>
      <c r="F15" s="24" t="n">
        <v>19828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7981</v>
      </c>
      <c r="C17" s="18" t="n">
        <v>25740</v>
      </c>
      <c r="D17" s="18" t="n">
        <v>78358</v>
      </c>
      <c r="E17" s="18" t="n">
        <v>89618</v>
      </c>
      <c r="F17" s="18" t="n">
        <v>83072</v>
      </c>
    </row>
    <row r="18">
      <c r="A18" s="21" t="inlineStr">
        <is>
          <t xml:space="preserve">     Interest Income</t>
        </is>
      </c>
      <c r="B18" s="18" t="n">
        <v>50475</v>
      </c>
      <c r="C18" s="18" t="n">
        <v>74408</v>
      </c>
      <c r="D18" s="18" t="n">
        <v>133258</v>
      </c>
      <c r="E18" s="18" t="n">
        <v>143713</v>
      </c>
      <c r="F18" s="18" t="n">
        <v>142864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27469</v>
      </c>
      <c r="C21" s="24" t="n">
        <v>18807</v>
      </c>
      <c r="D21" s="24" t="n">
        <v>12910</v>
      </c>
      <c r="E21" s="24" t="n">
        <v>17046</v>
      </c>
      <c r="F21" s="24" t="n">
        <v>19828</v>
      </c>
    </row>
    <row r="22">
      <c r="A22" s="17" t="inlineStr">
        <is>
          <t>(11) Income Tax Expense</t>
        </is>
      </c>
      <c r="B22" s="18" t="n">
        <v>5451</v>
      </c>
      <c r="C22" s="18" t="n">
        <v>3642</v>
      </c>
      <c r="D22" s="18" t="n">
        <v>3528</v>
      </c>
      <c r="E22" s="18" t="n">
        <v>4211</v>
      </c>
      <c r="F22" s="18" t="n">
        <v>5373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21952</v>
      </c>
      <c r="C24" s="24" t="n">
        <v>14845</v>
      </c>
      <c r="D24" s="24" t="n">
        <v>9228</v>
      </c>
      <c r="E24" s="24" t="n">
        <v>12682</v>
      </c>
      <c r="F24" s="24" t="n">
        <v>14268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79868</v>
      </c>
      <c r="C30" s="16" t="n">
        <v>100220</v>
      </c>
      <c r="D30" s="16" t="n">
        <v>155382</v>
      </c>
      <c r="E30" s="16" t="n">
        <v>170707</v>
      </c>
      <c r="F30" s="16" t="n">
        <v>168302</v>
      </c>
    </row>
    <row r="31">
      <c r="A31" s="17" t="inlineStr">
        <is>
          <t>Cost of Revenue</t>
        </is>
      </c>
      <c r="B31" s="18" t="n">
        <v>4090</v>
      </c>
      <c r="C31" s="18" t="n">
        <v>30852</v>
      </c>
      <c r="D31" s="18" t="n">
        <v>87481</v>
      </c>
      <c r="E31" s="18" t="n">
        <v>99587</v>
      </c>
      <c r="F31" s="18" t="n">
        <v>93322</v>
      </c>
    </row>
    <row r="32">
      <c r="A32" s="26" t="inlineStr">
        <is>
          <t>Gross Profit</t>
        </is>
      </c>
      <c r="B32" s="27" t="n">
        <v>75778</v>
      </c>
      <c r="C32" s="27" t="n">
        <v>69368</v>
      </c>
      <c r="D32" s="27" t="n">
        <v>67901</v>
      </c>
      <c r="E32" s="27" t="n">
        <v>71120</v>
      </c>
      <c r="F32" s="27" t="n">
        <v>74980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2325</v>
      </c>
    </row>
    <row r="35">
      <c r="A35" s="17" t="inlineStr">
        <is>
          <t>General &amp; Administrative</t>
        </is>
      </c>
      <c r="B35" s="18" t="n">
        <v>25250</v>
      </c>
      <c r="C35" s="18" t="n">
        <v>26749</v>
      </c>
      <c r="D35" s="18" t="n">
        <v>29319</v>
      </c>
      <c r="E35" s="18" t="n">
        <v>28632</v>
      </c>
      <c r="F35" s="18" t="n">
        <v>38334</v>
      </c>
    </row>
    <row r="36">
      <c r="A36" s="17" t="inlineStr">
        <is>
          <t>Selling &amp; Marketing</t>
        </is>
      </c>
      <c r="B36" s="18" t="n">
        <v>1490</v>
      </c>
      <c r="C36" s="18" t="n">
        <v>1556</v>
      </c>
      <c r="D36" s="18" t="n">
        <v>1393</v>
      </c>
      <c r="E36" s="18" t="n">
        <v>1113</v>
      </c>
      <c r="F36" s="18" t="n">
        <v>1097</v>
      </c>
    </row>
    <row r="37">
      <c r="A37" s="17" t="inlineStr">
        <is>
          <t>SG&amp;A (Combined)</t>
        </is>
      </c>
      <c r="B37" s="18" t="n">
        <v>26740</v>
      </c>
      <c r="C37" s="18" t="n">
        <v>28305</v>
      </c>
      <c r="D37" s="18" t="n">
        <v>30712</v>
      </c>
      <c r="E37" s="18" t="n">
        <v>29745</v>
      </c>
      <c r="F37" s="18" t="n">
        <v>39431</v>
      </c>
    </row>
    <row r="38">
      <c r="A38" s="17" t="inlineStr">
        <is>
          <t>Other Expenses</t>
        </is>
      </c>
      <c r="B38" s="18" t="n">
        <v>21569</v>
      </c>
      <c r="C38" s="18" t="n">
        <v>22256</v>
      </c>
      <c r="D38" s="18" t="n">
        <v>24279</v>
      </c>
      <c r="E38" s="18" t="n">
        <v>24329</v>
      </c>
      <c r="F38" s="18" t="n">
        <v>13396</v>
      </c>
    </row>
    <row r="39">
      <c r="A39" s="26" t="inlineStr">
        <is>
          <t>Total Operating Expenses</t>
        </is>
      </c>
      <c r="B39" s="27" t="n">
        <v>48309</v>
      </c>
      <c r="C39" s="27" t="n">
        <v>50561</v>
      </c>
      <c r="D39" s="27" t="n">
        <v>54991</v>
      </c>
      <c r="E39" s="27" t="n">
        <v>54074</v>
      </c>
      <c r="F39" s="27" t="n">
        <v>55152</v>
      </c>
    </row>
    <row r="40">
      <c r="A40" s="17" t="inlineStr">
        <is>
          <t>Cost &amp; Expenses (COGS + Opex)</t>
        </is>
      </c>
      <c r="B40" s="18" t="n">
        <v>52399</v>
      </c>
      <c r="C40" s="18" t="n">
        <v>81413</v>
      </c>
      <c r="D40" s="18" t="n">
        <v>142472</v>
      </c>
      <c r="E40" s="18" t="n">
        <v>153661</v>
      </c>
      <c r="F40" s="18" t="n">
        <v>148474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27469</v>
      </c>
      <c r="C42" s="16" t="n">
        <v>18807</v>
      </c>
      <c r="D42" s="16" t="n">
        <v>12910</v>
      </c>
      <c r="E42" s="16" t="n">
        <v>17046</v>
      </c>
      <c r="F42" s="16" t="n">
        <v>19828</v>
      </c>
    </row>
    <row r="43">
      <c r="A43" s="17" t="inlineStr">
        <is>
          <t>EBIT (FMP field)</t>
        </is>
      </c>
      <c r="B43" s="18" t="n">
        <v>27469</v>
      </c>
      <c r="C43" s="18" t="n">
        <v>18807</v>
      </c>
      <c r="D43" s="18" t="n">
        <v>12910</v>
      </c>
      <c r="E43" s="18" t="n">
        <v>17046</v>
      </c>
      <c r="F43" s="18" t="n">
        <v>19828</v>
      </c>
    </row>
    <row r="44">
      <c r="A44" s="26" t="inlineStr">
        <is>
          <t>EBITDA</t>
        </is>
      </c>
      <c r="B44" s="27" t="n">
        <v>31433</v>
      </c>
      <c r="C44" s="27" t="n">
        <v>23069</v>
      </c>
      <c r="D44" s="27" t="n">
        <v>17470</v>
      </c>
      <c r="E44" s="27" t="n">
        <v>21357</v>
      </c>
      <c r="F44" s="27" t="n">
        <v>23098</v>
      </c>
    </row>
    <row r="45">
      <c r="A45" s="17" t="inlineStr">
        <is>
          <t>Depreciation &amp; Amortisation</t>
        </is>
      </c>
      <c r="B45" s="18" t="n">
        <v>3964</v>
      </c>
      <c r="C45" s="18" t="n">
        <v>4262</v>
      </c>
      <c r="D45" s="18" t="n">
        <v>4560</v>
      </c>
      <c r="E45" s="18" t="n">
        <v>4311</v>
      </c>
      <c r="F45" s="18" t="n">
        <v>3270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50475</v>
      </c>
      <c r="C47" s="18" t="n">
        <v>74408</v>
      </c>
      <c r="D47" s="18" t="n">
        <v>133258</v>
      </c>
      <c r="E47" s="18" t="n">
        <v>143713</v>
      </c>
      <c r="F47" s="18" t="n">
        <v>142864</v>
      </c>
    </row>
    <row r="48">
      <c r="A48" s="17" t="inlineStr">
        <is>
          <t>Interest Expense</t>
        </is>
      </c>
      <c r="B48" s="18" t="n">
        <v>7981</v>
      </c>
      <c r="C48" s="18" t="n">
        <v>25740</v>
      </c>
      <c r="D48" s="18" t="n">
        <v>78358</v>
      </c>
      <c r="E48" s="18" t="n">
        <v>89618</v>
      </c>
      <c r="F48" s="18" t="n">
        <v>83072</v>
      </c>
    </row>
    <row r="49">
      <c r="A49" s="17" t="inlineStr">
        <is>
          <t>Net Interest Income</t>
        </is>
      </c>
      <c r="B49" s="18" t="n">
        <v>42494</v>
      </c>
      <c r="C49" s="18" t="n">
        <v>48668</v>
      </c>
      <c r="D49" s="18" t="n">
        <v>54900</v>
      </c>
      <c r="E49" s="18" t="n">
        <v>54095</v>
      </c>
      <c r="F49" s="18" t="n">
        <v>59792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27469</v>
      </c>
      <c r="C52" s="27" t="n">
        <v>18807</v>
      </c>
      <c r="D52" s="27" t="n">
        <v>12910</v>
      </c>
      <c r="E52" s="27" t="n">
        <v>17046</v>
      </c>
      <c r="F52" s="27" t="n">
        <v>19828</v>
      </c>
    </row>
    <row r="53">
      <c r="A53" s="17" t="inlineStr">
        <is>
          <t>Income Tax Expense</t>
        </is>
      </c>
      <c r="B53" s="18" t="n">
        <v>5451</v>
      </c>
      <c r="C53" s="18" t="n">
        <v>3642</v>
      </c>
      <c r="D53" s="18" t="n">
        <v>3528</v>
      </c>
      <c r="E53" s="18" t="n">
        <v>4211</v>
      </c>
      <c r="F53" s="18" t="n">
        <v>5373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22018</v>
      </c>
      <c r="C55" s="18" t="n">
        <v>15165</v>
      </c>
      <c r="D55" s="18" t="n">
        <v>9382</v>
      </c>
      <c r="E55" s="18" t="n">
        <v>12835</v>
      </c>
      <c r="F55" s="18" t="n">
        <v>14455</v>
      </c>
    </row>
    <row r="56">
      <c r="A56" s="17" t="inlineStr">
        <is>
          <t>Net Income from Discontinued Ops</t>
        </is>
      </c>
      <c r="B56" s="18" t="n">
        <v>7</v>
      </c>
      <c r="C56" s="18" t="n">
        <v>-231</v>
      </c>
      <c r="D56" s="18" t="n">
        <v>-1</v>
      </c>
      <c r="E56" s="18" t="n">
        <v>-2</v>
      </c>
      <c r="F56" s="18" t="n">
        <v>-3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-38</v>
      </c>
    </row>
    <row r="58">
      <c r="A58" s="17" t="inlineStr">
        <is>
          <t>Net Income Deductions</t>
        </is>
      </c>
      <c r="B58" s="18" t="n">
        <v>-31</v>
      </c>
      <c r="C58" s="18" t="n">
        <v>-41</v>
      </c>
      <c r="D58" s="18" t="n">
        <v>-57</v>
      </c>
      <c r="E58" s="18" t="n">
        <v>-74</v>
      </c>
      <c r="F58" s="18" t="n">
        <v>-36</v>
      </c>
    </row>
    <row r="59">
      <c r="A59" s="26" t="inlineStr">
        <is>
          <t>Net Income</t>
        </is>
      </c>
      <c r="B59" s="27" t="n">
        <v>21952</v>
      </c>
      <c r="C59" s="27" t="n">
        <v>14845</v>
      </c>
      <c r="D59" s="27" t="n">
        <v>9228</v>
      </c>
      <c r="E59" s="27" t="n">
        <v>12682</v>
      </c>
      <c r="F59" s="27" t="n">
        <v>14268</v>
      </c>
    </row>
    <row r="60">
      <c r="A60" s="15" t="inlineStr">
        <is>
          <t>Bottom Line Net Income</t>
        </is>
      </c>
      <c r="B60" s="16" t="n">
        <v>20789</v>
      </c>
      <c r="C60" s="16" t="n">
        <v>13741</v>
      </c>
      <c r="D60" s="16" t="n">
        <v>7907</v>
      </c>
      <c r="E60" s="16" t="n">
        <v>11532</v>
      </c>
      <c r="F60" s="16" t="n">
        <v>13097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10.21</v>
      </c>
      <c r="C62" s="18" t="n">
        <v>7.04</v>
      </c>
      <c r="D62" s="18" t="n">
        <v>4.07</v>
      </c>
      <c r="E62" s="18" t="n">
        <v>6.03</v>
      </c>
      <c r="F62" s="18" t="n">
        <v>7.23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2033</v>
      </c>
      <c r="C64" s="18" t="n">
        <v>1946.7</v>
      </c>
      <c r="D64" s="18" t="n">
        <v>1930.1</v>
      </c>
      <c r="E64" s="18" t="n">
        <v>1901.4</v>
      </c>
      <c r="F64" s="18" t="n">
        <v>1820.3</v>
      </c>
    </row>
    <row r="65">
      <c r="A65" s="17" t="inlineStr">
        <is>
          <t>Shares Outstanding — Diluted (mm)</t>
        </is>
      </c>
      <c r="B65" s="18" t="n">
        <v>2049.4</v>
      </c>
      <c r="C65" s="18" t="n">
        <v>1964.3</v>
      </c>
      <c r="D65" s="18" t="n">
        <v>1955.8</v>
      </c>
      <c r="E65" s="18" t="n">
        <v>1901.4</v>
      </c>
      <c r="F65" s="18" t="n">
        <v>1862.6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262033</v>
      </c>
      <c r="C5" s="18" t="n">
        <v>342025</v>
      </c>
      <c r="D5" s="18" t="n">
        <v>260932</v>
      </c>
      <c r="E5" s="18" t="n">
        <v>276532</v>
      </c>
      <c r="F5" s="18" t="n">
        <v>349579</v>
      </c>
    </row>
    <row r="6">
      <c r="A6" s="17" t="inlineStr">
        <is>
          <t>(2)  Receivables</t>
        </is>
      </c>
      <c r="B6" s="18" t="n">
        <v>54795</v>
      </c>
      <c r="C6" s="18" t="n">
        <v>54546</v>
      </c>
      <c r="D6" s="18" t="n">
        <v>54190</v>
      </c>
      <c r="E6" s="18" t="n">
        <v>51116</v>
      </c>
      <c r="F6" s="18" t="n">
        <v>62679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596124</v>
      </c>
      <c r="C9" s="24" t="n">
        <v>635317</v>
      </c>
      <c r="D9" s="24" t="n">
        <v>560190</v>
      </c>
      <c r="E9" s="24" t="n">
        <v>549135</v>
      </c>
      <c r="F9" s="24" t="n">
        <v>738120</v>
      </c>
    </row>
    <row r="10">
      <c r="A10" s="17" t="inlineStr">
        <is>
          <t>(6)  PP&amp;E (Net)</t>
        </is>
      </c>
      <c r="B10" s="18" t="n">
        <v>24328</v>
      </c>
      <c r="C10" s="18" t="n">
        <v>26253</v>
      </c>
      <c r="D10" s="18" t="n">
        <v>28747</v>
      </c>
      <c r="E10" s="18" t="n">
        <v>30192</v>
      </c>
      <c r="F10" s="18" t="n">
        <v>33339</v>
      </c>
    </row>
    <row r="11">
      <c r="A11" s="17" t="inlineStr">
        <is>
          <t>(7)  Goodwill</t>
        </is>
      </c>
      <c r="B11" s="18" t="n">
        <v>21299</v>
      </c>
      <c r="C11" s="18" t="n">
        <v>19691</v>
      </c>
      <c r="D11" s="18" t="n">
        <v>20098</v>
      </c>
      <c r="E11" s="18" t="n">
        <v>19300</v>
      </c>
      <c r="F11" s="18" t="n">
        <v>19098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1695289</v>
      </c>
      <c r="C14" s="24" t="n">
        <v>1781359</v>
      </c>
      <c r="D14" s="24" t="n">
        <v>1851644</v>
      </c>
      <c r="E14" s="24" t="n">
        <v>1803810</v>
      </c>
      <c r="F14" s="24" t="n">
        <v>1919082</v>
      </c>
    </row>
    <row r="15">
      <c r="A15" s="19" t="inlineStr">
        <is>
          <t>(11) Total Assets</t>
        </is>
      </c>
      <c r="B15" s="24" t="n">
        <v>2291413</v>
      </c>
      <c r="C15" s="24" t="n">
        <v>2416676</v>
      </c>
      <c r="D15" s="24" t="n">
        <v>2411834</v>
      </c>
      <c r="E15" s="24" t="n">
        <v>2352945</v>
      </c>
      <c r="F15" s="24" t="n">
        <v>2657202</v>
      </c>
    </row>
    <row r="16" ht="6" customHeight="1"/>
    <row r="17">
      <c r="A17" s="17" t="inlineStr">
        <is>
          <t>(12) Accounts Payable</t>
        </is>
      </c>
      <c r="B17" s="18" t="n">
        <v>61430</v>
      </c>
      <c r="C17" s="18" t="n">
        <v>69218</v>
      </c>
      <c r="D17" s="18" t="n">
        <v>63539</v>
      </c>
      <c r="E17" s="18" t="n">
        <v>66601</v>
      </c>
      <c r="F17" s="18" t="n">
        <v>74836</v>
      </c>
    </row>
    <row r="18">
      <c r="A18" s="17" t="inlineStr">
        <is>
          <t>(13) Short-Term Borrowings</t>
        </is>
      </c>
      <c r="B18" s="18" t="n">
        <v>219258</v>
      </c>
      <c r="C18" s="18" t="n">
        <v>249540</v>
      </c>
      <c r="D18" s="18" t="n">
        <v>315564</v>
      </c>
      <c r="E18" s="18" t="n">
        <v>303260</v>
      </c>
      <c r="F18" s="18" t="n">
        <v>399976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1759447</v>
      </c>
      <c r="C21" s="24" t="n">
        <v>1855359</v>
      </c>
      <c r="D21" s="24" t="n">
        <v>1843129</v>
      </c>
      <c r="E21" s="24" t="n">
        <v>1788165</v>
      </c>
      <c r="F21" s="24" t="n">
        <v>1530287</v>
      </c>
    </row>
    <row r="22">
      <c r="A22" s="17" t="inlineStr">
        <is>
          <t>(17) Long-Term Debt</t>
        </is>
      </c>
      <c r="B22" s="18" t="n">
        <v>254374</v>
      </c>
      <c r="C22" s="18" t="n">
        <v>271606</v>
      </c>
      <c r="D22" s="18" t="n">
        <v>286619</v>
      </c>
      <c r="E22" s="18" t="n">
        <v>287300</v>
      </c>
      <c r="F22" s="18" t="n">
        <v>315827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2088741</v>
      </c>
      <c r="C25" s="24" t="n">
        <v>2214838</v>
      </c>
      <c r="D25" s="24" t="n">
        <v>2205583</v>
      </c>
      <c r="E25" s="24" t="n">
        <v>2143579</v>
      </c>
      <c r="F25" s="24" t="n">
        <v>2443380</v>
      </c>
    </row>
    <row r="26" ht="6" customHeight="1"/>
    <row r="27">
      <c r="A27" s="17" t="inlineStr">
        <is>
          <t>(21) Common Stock &amp; APIC</t>
        </is>
      </c>
      <c r="B27" s="18" t="n">
        <v>31</v>
      </c>
      <c r="C27" s="18" t="n">
        <v>31</v>
      </c>
      <c r="D27" s="18" t="n">
        <v>31</v>
      </c>
      <c r="E27" s="18" t="n">
        <v>31</v>
      </c>
      <c r="F27" s="18" t="n">
        <v>31</v>
      </c>
    </row>
    <row r="28">
      <c r="A28" s="17" t="inlineStr">
        <is>
          <t>(22) Retained Earnings</t>
        </is>
      </c>
      <c r="B28" s="18" t="n">
        <v>184948</v>
      </c>
      <c r="C28" s="18" t="n">
        <v>194734</v>
      </c>
      <c r="D28" s="18" t="n">
        <v>198905</v>
      </c>
      <c r="E28" s="18" t="n">
        <v>206294</v>
      </c>
      <c r="F28" s="18" t="n">
        <v>215128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201972</v>
      </c>
      <c r="C30" s="24" t="n">
        <v>201189</v>
      </c>
      <c r="D30" s="24" t="n">
        <v>205453</v>
      </c>
      <c r="E30" s="24" t="n">
        <v>208598</v>
      </c>
      <c r="F30" s="24" t="n">
        <v>212291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262033</v>
      </c>
      <c r="C36" s="18" t="n">
        <v>342025</v>
      </c>
      <c r="D36" s="18" t="n">
        <v>260932</v>
      </c>
      <c r="E36" s="18" t="n">
        <v>276532</v>
      </c>
      <c r="F36" s="18" t="n">
        <v>349579</v>
      </c>
    </row>
    <row r="37">
      <c r="A37" s="17" t="inlineStr">
        <is>
          <t>Short-Term Investments</t>
        </is>
      </c>
      <c r="B37" s="18" t="n">
        <v>279296</v>
      </c>
      <c r="C37" s="18" t="n">
        <v>238746</v>
      </c>
      <c r="D37" s="18" t="n">
        <v>245068</v>
      </c>
      <c r="E37" s="18" t="n">
        <v>221487</v>
      </c>
      <c r="F37" s="18" t="n">
        <v>325862</v>
      </c>
    </row>
    <row r="38">
      <c r="A38" s="28" t="inlineStr">
        <is>
          <t>Cash &amp; Short-Term Investments</t>
        </is>
      </c>
      <c r="B38" s="29" t="n">
        <v>541329</v>
      </c>
      <c r="C38" s="29" t="n">
        <v>580771</v>
      </c>
      <c r="D38" s="29" t="n">
        <v>506000</v>
      </c>
      <c r="E38" s="29" t="n">
        <v>498019</v>
      </c>
      <c r="F38" s="29" t="n">
        <v>675441</v>
      </c>
    </row>
    <row r="39">
      <c r="A39" s="17" t="inlineStr">
        <is>
          <t>Accounts Receivable (Trade)</t>
        </is>
      </c>
      <c r="B39" s="18" t="n">
        <v>54340</v>
      </c>
      <c r="C39" s="18" t="n">
        <v>54192</v>
      </c>
      <c r="D39" s="18" t="n">
        <v>53915</v>
      </c>
      <c r="E39" s="18" t="n">
        <v>50841</v>
      </c>
      <c r="F39" s="18" t="n">
        <v>62679</v>
      </c>
    </row>
    <row r="40">
      <c r="A40" s="17" t="inlineStr">
        <is>
          <t>Other Receivables</t>
        </is>
      </c>
      <c r="B40" s="18" t="n">
        <v>455</v>
      </c>
      <c r="C40" s="18" t="n">
        <v>354</v>
      </c>
      <c r="D40" s="18" t="n">
        <v>275</v>
      </c>
      <c r="E40" s="18" t="n">
        <v>275</v>
      </c>
      <c r="F40" s="18" t="n">
        <v>0</v>
      </c>
    </row>
    <row r="41">
      <c r="A41" s="28" t="inlineStr">
        <is>
          <t>Net Receivables (Total)</t>
        </is>
      </c>
      <c r="B41" s="29" t="n">
        <v>54795</v>
      </c>
      <c r="C41" s="29" t="n">
        <v>54546</v>
      </c>
      <c r="D41" s="29" t="n">
        <v>54190</v>
      </c>
      <c r="E41" s="29" t="n">
        <v>51116</v>
      </c>
      <c r="F41" s="29" t="n">
        <v>62679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596124</v>
      </c>
      <c r="C45" s="27" t="n">
        <v>635317</v>
      </c>
      <c r="D45" s="27" t="n">
        <v>560190</v>
      </c>
      <c r="E45" s="27" t="n">
        <v>549135</v>
      </c>
      <c r="F45" s="27" t="n">
        <v>738120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24328</v>
      </c>
      <c r="C47" s="18" t="n">
        <v>26253</v>
      </c>
      <c r="D47" s="18" t="n">
        <v>28747</v>
      </c>
      <c r="E47" s="18" t="n">
        <v>30192</v>
      </c>
      <c r="F47" s="18" t="n">
        <v>33339</v>
      </c>
    </row>
    <row r="48">
      <c r="A48" s="17" t="inlineStr">
        <is>
          <t>Goodwill</t>
        </is>
      </c>
      <c r="B48" s="18" t="n">
        <v>21299</v>
      </c>
      <c r="C48" s="18" t="n">
        <v>19691</v>
      </c>
      <c r="D48" s="18" t="n">
        <v>20098</v>
      </c>
      <c r="E48" s="18" t="n">
        <v>19300</v>
      </c>
      <c r="F48" s="18" t="n">
        <v>19098</v>
      </c>
    </row>
    <row r="49">
      <c r="A49" s="17" t="inlineStr">
        <is>
          <t>Intangible Assets</t>
        </is>
      </c>
      <c r="B49" s="18" t="n">
        <v>4495</v>
      </c>
      <c r="C49" s="18" t="n">
        <v>4428</v>
      </c>
      <c r="D49" s="18" t="n">
        <v>4421</v>
      </c>
      <c r="E49" s="18" t="n">
        <v>4494</v>
      </c>
      <c r="F49" s="18" t="n">
        <v>4284</v>
      </c>
    </row>
    <row r="50">
      <c r="A50" s="17" t="inlineStr">
        <is>
          <t>Long-Term Investments</t>
        </is>
      </c>
      <c r="B50" s="18" t="n">
        <v>873697</v>
      </c>
      <c r="C50" s="18" t="n">
        <v>916796</v>
      </c>
      <c r="D50" s="18" t="n">
        <v>933184</v>
      </c>
      <c r="E50" s="18" t="n">
        <v>925420</v>
      </c>
      <c r="F50" s="18" t="n">
        <v>444229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1152993</v>
      </c>
      <c r="C52" s="18" t="n">
        <v>1155542</v>
      </c>
      <c r="D52" s="18" t="n">
        <v>1178252</v>
      </c>
      <c r="E52" s="18" t="n">
        <v>1146907</v>
      </c>
      <c r="F52" s="18" t="n">
        <v>770091</v>
      </c>
    </row>
    <row r="53">
      <c r="A53" s="17" t="inlineStr">
        <is>
          <t>Other Non-Current Assets</t>
        </is>
      </c>
      <c r="B53" s="18" t="n">
        <v>771470</v>
      </c>
      <c r="C53" s="18" t="n">
        <v>814191</v>
      </c>
      <c r="D53" s="18" t="n">
        <v>865194</v>
      </c>
      <c r="E53" s="18" t="n">
        <v>824404</v>
      </c>
      <c r="F53" s="18" t="n">
        <v>1418132</v>
      </c>
    </row>
    <row r="54">
      <c r="A54" s="26" t="inlineStr">
        <is>
          <t>Total Non-Current Assets</t>
        </is>
      </c>
      <c r="B54" s="27" t="n">
        <v>1695289</v>
      </c>
      <c r="C54" s="27" t="n">
        <v>1781359</v>
      </c>
      <c r="D54" s="27" t="n">
        <v>1851644</v>
      </c>
      <c r="E54" s="27" t="n">
        <v>1803810</v>
      </c>
      <c r="F54" s="27" t="n">
        <v>1919082</v>
      </c>
    </row>
    <row r="55">
      <c r="A55" s="13" t="inlineStr">
        <is>
          <t>TOTAL ASSETS</t>
        </is>
      </c>
      <c r="B55" s="30" t="n">
        <v>2291413</v>
      </c>
      <c r="C55" s="30" t="n">
        <v>2416676</v>
      </c>
      <c r="D55" s="30" t="n">
        <v>2411834</v>
      </c>
      <c r="E55" s="30" t="n">
        <v>2352945</v>
      </c>
      <c r="F55" s="30" t="n">
        <v>2657202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61430</v>
      </c>
      <c r="C57" s="18" t="n">
        <v>69218</v>
      </c>
      <c r="D57" s="18" t="n">
        <v>63539</v>
      </c>
      <c r="E57" s="18" t="n">
        <v>66601</v>
      </c>
      <c r="F57" s="18" t="n">
        <v>74836</v>
      </c>
    </row>
    <row r="58">
      <c r="A58" s="17" t="inlineStr">
        <is>
          <t>Short-Term Debt</t>
        </is>
      </c>
      <c r="B58" s="18" t="n">
        <v>219258</v>
      </c>
      <c r="C58" s="18" t="n">
        <v>249540</v>
      </c>
      <c r="D58" s="18" t="n">
        <v>315564</v>
      </c>
      <c r="E58" s="18" t="n">
        <v>303260</v>
      </c>
      <c r="F58" s="18" t="n">
        <v>399976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1478759</v>
      </c>
      <c r="C61" s="18" t="n">
        <v>1536601</v>
      </c>
      <c r="D61" s="18" t="n">
        <v>1464026</v>
      </c>
      <c r="E61" s="18" t="n">
        <v>1418304</v>
      </c>
      <c r="F61" s="18" t="n">
        <v>1055475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1759447</v>
      </c>
      <c r="C63" s="27" t="n">
        <v>1855359</v>
      </c>
      <c r="D63" s="27" t="n">
        <v>1843129</v>
      </c>
      <c r="E63" s="27" t="n">
        <v>1788165</v>
      </c>
      <c r="F63" s="27" t="n">
        <v>1530287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254374</v>
      </c>
      <c r="C65" s="18" t="n">
        <v>271606</v>
      </c>
      <c r="D65" s="18" t="n">
        <v>286619</v>
      </c>
      <c r="E65" s="18" t="n">
        <v>287300</v>
      </c>
      <c r="F65" s="18" t="n">
        <v>315827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74920</v>
      </c>
      <c r="C69" s="18" t="n">
        <v>87873</v>
      </c>
      <c r="D69" s="18" t="n">
        <v>75835</v>
      </c>
      <c r="E69" s="18" t="n">
        <v>68114</v>
      </c>
      <c r="F69" s="18" t="n">
        <v>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2088741</v>
      </c>
      <c r="C71" s="30" t="n">
        <v>2214838</v>
      </c>
      <c r="D71" s="30" t="n">
        <v>2205583</v>
      </c>
      <c r="E71" s="30" t="n">
        <v>2143579</v>
      </c>
      <c r="F71" s="30" t="n">
        <v>2443380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</v>
      </c>
      <c r="C73" s="18" t="n">
        <v>31</v>
      </c>
      <c r="D73" s="18" t="n">
        <v>31</v>
      </c>
      <c r="E73" s="18" t="n">
        <v>31</v>
      </c>
      <c r="F73" s="18" t="n">
        <v>31</v>
      </c>
    </row>
    <row r="74">
      <c r="A74" s="17" t="inlineStr">
        <is>
          <t>Retained Earnings</t>
        </is>
      </c>
      <c r="B74" s="18" t="n">
        <v>184948</v>
      </c>
      <c r="C74" s="18" t="n">
        <v>194734</v>
      </c>
      <c r="D74" s="18" t="n">
        <v>198905</v>
      </c>
      <c r="E74" s="18" t="n">
        <v>206294</v>
      </c>
      <c r="F74" s="18" t="n">
        <v>215128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700</v>
      </c>
      <c r="C77" s="18" t="n">
        <v>649</v>
      </c>
      <c r="D77" s="18" t="n">
        <v>798</v>
      </c>
      <c r="E77" s="18" t="n">
        <v>768</v>
      </c>
      <c r="F77" s="18" t="n">
        <v>1531</v>
      </c>
    </row>
    <row r="78">
      <c r="A78" s="26" t="inlineStr">
        <is>
          <t>Total Equity (inc. Minority)</t>
        </is>
      </c>
      <c r="B78" s="27" t="n">
        <v>202672</v>
      </c>
      <c r="C78" s="27" t="n">
        <v>201838</v>
      </c>
      <c r="D78" s="27" t="n">
        <v>206251</v>
      </c>
      <c r="E78" s="27" t="n">
        <v>209366</v>
      </c>
      <c r="F78" s="27" t="n">
        <v>213822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47090</v>
      </c>
      <c r="C5" s="24" t="n">
        <v>25069</v>
      </c>
      <c r="D5" s="24" t="n">
        <v>-73416</v>
      </c>
      <c r="E5" s="24" t="n">
        <v>-19669</v>
      </c>
      <c r="F5" s="24" t="n">
        <v>-67632</v>
      </c>
    </row>
    <row r="6">
      <c r="A6" s="17" t="inlineStr">
        <is>
          <t>(2)  Capital Expenditures</t>
        </is>
      </c>
      <c r="B6" s="18" t="n">
        <v>-4119</v>
      </c>
      <c r="C6" s="18" t="n">
        <v>-5632</v>
      </c>
      <c r="D6" s="18" t="n">
        <v>-6583</v>
      </c>
      <c r="E6" s="18" t="n">
        <v>-6500</v>
      </c>
      <c r="F6" s="18" t="n">
        <v>-6520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-5833</v>
      </c>
      <c r="C9" s="18" t="n">
        <v>66786</v>
      </c>
      <c r="D9" s="18" t="n">
        <v>-8779</v>
      </c>
      <c r="E9" s="18" t="n">
        <v>17166</v>
      </c>
      <c r="F9" s="18" t="n">
        <v>22081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3300</v>
      </c>
      <c r="C11" s="18" t="n">
        <v>0</v>
      </c>
      <c r="D11" s="18" t="n">
        <v>2739</v>
      </c>
      <c r="E11" s="18" t="n">
        <v>5282</v>
      </c>
      <c r="F11" s="18" t="n">
        <v>7186</v>
      </c>
    </row>
    <row r="12">
      <c r="A12" s="17" t="inlineStr">
        <is>
          <t>(7)  Dividends Paid</t>
        </is>
      </c>
      <c r="B12" s="18" t="n">
        <v>-5198</v>
      </c>
      <c r="C12" s="18" t="n">
        <v>-5003</v>
      </c>
      <c r="D12" s="18" t="n">
        <v>-5212</v>
      </c>
      <c r="E12" s="18" t="n">
        <v>-5199</v>
      </c>
      <c r="F12" s="18" t="n">
        <v>-5372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42971</v>
      </c>
      <c r="C15" s="24" t="n">
        <v>19437</v>
      </c>
      <c r="D15" s="24" t="n">
        <v>-79999</v>
      </c>
      <c r="E15" s="24" t="n">
        <v>-26169</v>
      </c>
      <c r="F15" s="24" t="n">
        <v>-74152</v>
      </c>
    </row>
    <row r="16">
      <c r="A16" s="15" t="inlineStr">
        <is>
          <t xml:space="preserve">     Net Change in Cash</t>
        </is>
      </c>
      <c r="B16" s="16" t="n">
        <v>-47582</v>
      </c>
      <c r="C16" s="16" t="n">
        <v>79992</v>
      </c>
      <c r="D16" s="16" t="n">
        <v>-81093</v>
      </c>
      <c r="E16" s="16" t="n">
        <v>15600</v>
      </c>
      <c r="F16" s="16" t="n">
        <v>73047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21945</v>
      </c>
      <c r="C21" s="18" t="n">
        <v>15076</v>
      </c>
      <c r="D21" s="18" t="n">
        <v>9229</v>
      </c>
      <c r="E21" s="18" t="n">
        <v>12684</v>
      </c>
      <c r="F21" s="18" t="n">
        <v>14309</v>
      </c>
    </row>
    <row r="22">
      <c r="A22" s="17" t="inlineStr">
        <is>
          <t>Depreciation &amp; Amortisation</t>
        </is>
      </c>
      <c r="B22" s="18" t="n">
        <v>3964</v>
      </c>
      <c r="C22" s="18" t="n">
        <v>4262</v>
      </c>
      <c r="D22" s="18" t="n">
        <v>4560</v>
      </c>
      <c r="E22" s="18" t="n">
        <v>4311</v>
      </c>
      <c r="F22" s="18" t="n">
        <v>4373</v>
      </c>
    </row>
    <row r="23">
      <c r="A23" s="17" t="inlineStr">
        <is>
          <t>Deferred Income Tax</t>
        </is>
      </c>
      <c r="B23" s="18" t="n">
        <v>1413</v>
      </c>
      <c r="C23" s="18" t="n">
        <v>-1141</v>
      </c>
      <c r="D23" s="18" t="n">
        <v>-2416</v>
      </c>
      <c r="E23" s="18" t="n">
        <v>-1896</v>
      </c>
      <c r="F23" s="18" t="n">
        <v>452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38864</v>
      </c>
      <c r="C25" s="18" t="n">
        <v>19553</v>
      </c>
      <c r="D25" s="18" t="n">
        <v>-99387</v>
      </c>
      <c r="E25" s="18" t="n">
        <v>-59031</v>
      </c>
      <c r="F25" s="18" t="n">
        <v>-84872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38864</v>
      </c>
      <c r="C29" s="18" t="n">
        <v>19553</v>
      </c>
      <c r="D29" s="18" t="n">
        <v>-99387</v>
      </c>
      <c r="E29" s="18" t="n">
        <v>-59031</v>
      </c>
      <c r="F29" s="18" t="n">
        <v>-84872</v>
      </c>
    </row>
    <row r="30">
      <c r="A30" s="17" t="inlineStr">
        <is>
          <t>Other Non-Cash Items</t>
        </is>
      </c>
      <c r="B30" s="18" t="n">
        <v>-19096</v>
      </c>
      <c r="C30" s="18" t="n">
        <v>-12681</v>
      </c>
      <c r="D30" s="18" t="n">
        <v>14598</v>
      </c>
      <c r="E30" s="18" t="n">
        <v>24263</v>
      </c>
      <c r="F30" s="18" t="n">
        <v>-1894</v>
      </c>
    </row>
    <row r="31">
      <c r="A31" s="26" t="inlineStr">
        <is>
          <t>Net Cash from Operations (CFO)</t>
        </is>
      </c>
      <c r="B31" s="27" t="n">
        <v>47090</v>
      </c>
      <c r="C31" s="27" t="n">
        <v>25069</v>
      </c>
      <c r="D31" s="27" t="n">
        <v>-73416</v>
      </c>
      <c r="E31" s="27" t="n">
        <v>-19669</v>
      </c>
      <c r="F31" s="27" t="n">
        <v>-67632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-4119</v>
      </c>
      <c r="C33" s="18" t="n">
        <v>-5632</v>
      </c>
      <c r="D33" s="18" t="n">
        <v>-6583</v>
      </c>
      <c r="E33" s="18" t="n">
        <v>-6500</v>
      </c>
      <c r="F33" s="18" t="n">
        <v>-6520</v>
      </c>
    </row>
    <row r="34">
      <c r="A34" s="21" t="inlineStr">
        <is>
          <t xml:space="preserve">  (Alt: Invest. in PP&amp;E)</t>
        </is>
      </c>
      <c r="B34" s="18" t="n">
        <v>-4119</v>
      </c>
      <c r="C34" s="18" t="n">
        <v>-5632</v>
      </c>
      <c r="D34" s="18" t="n">
        <v>-6583</v>
      </c>
      <c r="E34" s="18" t="n">
        <v>-6500</v>
      </c>
      <c r="F34" s="18" t="n">
        <v>-6520</v>
      </c>
    </row>
    <row r="35">
      <c r="A35" s="17" t="inlineStr">
        <is>
          <t>Acquisitions (Net)</t>
        </is>
      </c>
      <c r="B35" s="18" t="n">
        <v>190</v>
      </c>
      <c r="C35" s="18" t="n">
        <v>5741</v>
      </c>
      <c r="D35" s="18" t="n">
        <v>-1393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-391734</v>
      </c>
      <c r="C36" s="18" t="n">
        <v>-261650</v>
      </c>
      <c r="D36" s="18" t="n">
        <v>-236512</v>
      </c>
      <c r="E36" s="18" t="n">
        <v>-267424</v>
      </c>
      <c r="F36" s="18" t="n">
        <v>-281521</v>
      </c>
    </row>
    <row r="37">
      <c r="A37" s="17" t="inlineStr">
        <is>
          <t>Sales / Maturities of Investments</t>
        </is>
      </c>
      <c r="B37" s="18" t="n">
        <v>271081</v>
      </c>
      <c r="C37" s="18" t="n">
        <v>232809</v>
      </c>
      <c r="D37" s="18" t="n">
        <v>255161</v>
      </c>
      <c r="E37" s="18" t="n">
        <v>301641</v>
      </c>
      <c r="F37" s="18" t="n">
        <v>330241</v>
      </c>
    </row>
    <row r="38">
      <c r="A38" s="17" t="inlineStr">
        <is>
          <t>Other Investing Activities</t>
        </is>
      </c>
      <c r="B38" s="18" t="n">
        <v>13836</v>
      </c>
      <c r="C38" s="18" t="n">
        <v>-50723</v>
      </c>
      <c r="D38" s="18" t="n">
        <v>-19132</v>
      </c>
      <c r="E38" s="18" t="n">
        <v>58533</v>
      </c>
      <c r="F38" s="18" t="n">
        <v>-150482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-5833</v>
      </c>
      <c r="C41" s="18" t="n">
        <v>66786</v>
      </c>
      <c r="D41" s="18" t="n">
        <v>-8779</v>
      </c>
      <c r="E41" s="18" t="n">
        <v>17166</v>
      </c>
      <c r="F41" s="18" t="n">
        <v>22081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3300</v>
      </c>
      <c r="C43" s="18" t="n">
        <v>0</v>
      </c>
      <c r="D43" s="18" t="n">
        <v>2739</v>
      </c>
      <c r="E43" s="18" t="n">
        <v>5282</v>
      </c>
      <c r="F43" s="18" t="n">
        <v>7186</v>
      </c>
    </row>
    <row r="44">
      <c r="A44" s="17" t="inlineStr">
        <is>
          <t>Common Stock Repurchased (Buybacks)</t>
        </is>
      </c>
      <c r="B44" s="18" t="n">
        <v>-11386</v>
      </c>
      <c r="C44" s="18" t="n">
        <v>-3250</v>
      </c>
      <c r="D44" s="18" t="n">
        <v>-6122</v>
      </c>
      <c r="E44" s="18" t="n">
        <v>-7524</v>
      </c>
      <c r="F44" s="18" t="n">
        <v>-18250</v>
      </c>
    </row>
    <row r="45">
      <c r="A45" s="17" t="inlineStr">
        <is>
          <t>Dividends Paid</t>
        </is>
      </c>
      <c r="B45" s="18" t="n">
        <v>-5198</v>
      </c>
      <c r="C45" s="18" t="n">
        <v>-5003</v>
      </c>
      <c r="D45" s="18" t="n">
        <v>-5212</v>
      </c>
      <c r="E45" s="18" t="n">
        <v>-5199</v>
      </c>
      <c r="F45" s="18" t="n">
        <v>-5372</v>
      </c>
    </row>
    <row r="46">
      <c r="A46" s="17" t="inlineStr">
        <is>
          <t>Other Financing Activities</t>
        </is>
      </c>
      <c r="B46" s="18" t="n">
        <v>36389</v>
      </c>
      <c r="C46" s="18" t="n">
        <v>79230</v>
      </c>
      <c r="D46" s="18" t="n">
        <v>18061</v>
      </c>
      <c r="E46" s="18" t="n">
        <v>-48029</v>
      </c>
      <c r="F46" s="18" t="n">
        <v>232386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-1198</v>
      </c>
      <c r="C49" s="18" t="n">
        <v>-3385</v>
      </c>
      <c r="D49" s="18" t="n">
        <v>95</v>
      </c>
      <c r="E49" s="18" t="n">
        <v>-12677</v>
      </c>
      <c r="F49" s="18" t="n">
        <v>10930</v>
      </c>
    </row>
    <row r="50">
      <c r="A50" s="15" t="inlineStr">
        <is>
          <t>Net Change in Cash</t>
        </is>
      </c>
      <c r="B50" s="16" t="n">
        <v>-47582</v>
      </c>
      <c r="C50" s="16" t="n">
        <v>79992</v>
      </c>
      <c r="D50" s="16" t="n">
        <v>-81093</v>
      </c>
      <c r="E50" s="16" t="n">
        <v>15600</v>
      </c>
      <c r="F50" s="16" t="n">
        <v>73047</v>
      </c>
    </row>
    <row r="51">
      <c r="A51" s="17" t="inlineStr">
        <is>
          <t>Cash at Beginning of Period</t>
        </is>
      </c>
      <c r="B51" s="18" t="n">
        <v>309615</v>
      </c>
      <c r="C51" s="18" t="n">
        <v>262033</v>
      </c>
      <c r="D51" s="18" t="n">
        <v>342025</v>
      </c>
      <c r="E51" s="18" t="n">
        <v>260932</v>
      </c>
      <c r="F51" s="18" t="n">
        <v>276532</v>
      </c>
    </row>
    <row r="52">
      <c r="A52" s="26" t="inlineStr">
        <is>
          <t>Cash at End of Period</t>
        </is>
      </c>
      <c r="B52" s="27" t="n">
        <v>262033</v>
      </c>
      <c r="C52" s="27" t="n">
        <v>342025</v>
      </c>
      <c r="D52" s="27" t="n">
        <v>260932</v>
      </c>
      <c r="E52" s="27" t="n">
        <v>276532</v>
      </c>
      <c r="F52" s="27" t="n">
        <v>349579</v>
      </c>
    </row>
    <row r="53">
      <c r="A53" s="26" t="inlineStr">
        <is>
          <t>Free Cash Flow</t>
        </is>
      </c>
      <c r="B53" s="27" t="n">
        <v>42971</v>
      </c>
      <c r="C53" s="27" t="n">
        <v>19437</v>
      </c>
      <c r="D53" s="27" t="n">
        <v>-79999</v>
      </c>
      <c r="E53" s="27" t="n">
        <v>-26169</v>
      </c>
      <c r="F53" s="27" t="n">
        <v>-74152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2049.4</v>
      </c>
      <c r="C61" s="18" t="n">
        <v>1964.3</v>
      </c>
      <c r="D61" s="18" t="n">
        <v>1955.8</v>
      </c>
      <c r="E61" s="18" t="n">
        <v>1901.4</v>
      </c>
      <c r="F61" s="18" t="n">
        <v>1862.6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6.720000000000001</v>
      </c>
      <c r="C84" s="18" t="n">
        <v>5.156000000000001</v>
      </c>
      <c r="D84" s="18" t="n">
        <v>7.881</v>
      </c>
      <c r="E84" s="18" t="n">
        <v>10.694</v>
      </c>
      <c r="F84" s="18" t="n">
        <v>11.099</v>
      </c>
    </row>
    <row r="85">
      <c r="A85" s="17" t="inlineStr">
        <is>
          <t>Gross Loans ($B)</t>
        </is>
      </c>
      <c r="B85" s="18" t="n"/>
      <c r="C85" s="18" t="n">
        <v>657.221</v>
      </c>
      <c r="D85" s="18" t="n">
        <v>689.3620000000001</v>
      </c>
      <c r="E85" s="18" t="n">
        <v>694.4880000000001</v>
      </c>
      <c r="F85" s="18" t="n">
        <v>752.23</v>
      </c>
    </row>
    <row r="86">
      <c r="A86" s="17" t="inlineStr">
        <is>
          <t>NCO Rate %</t>
        </is>
      </c>
      <c r="B86" s="41" t="n"/>
      <c r="C86" s="41" t="n">
        <v>0.007845154065375269</v>
      </c>
      <c r="D86" s="41" t="n">
        <v>0.01170518267347798</v>
      </c>
      <c r="E86" s="41" t="n">
        <v>0.01545543230841493</v>
      </c>
      <c r="F86" s="41" t="n">
        <v>0.01534369517763655</v>
      </c>
    </row>
    <row r="87">
      <c r="A87" s="17" t="inlineStr">
        <is>
          <t>Allowance for Credit Losses ($B)</t>
        </is>
      </c>
      <c r="B87" s="18" t="n">
        <v>16.455</v>
      </c>
      <c r="C87" s="18" t="n">
        <v>16.974</v>
      </c>
      <c r="D87" s="18" t="n">
        <v>18.145</v>
      </c>
      <c r="E87" s="18" t="n">
        <v>18.574</v>
      </c>
      <c r="F87" s="18" t="n">
        <v>19.247</v>
      </c>
    </row>
    <row r="88">
      <c r="A88" s="17" t="inlineStr">
        <is>
          <t>Coverage Ratio (Allowance / NCO)</t>
        </is>
      </c>
      <c r="B88" s="42" t="n">
        <v>2.448660714285714</v>
      </c>
      <c r="C88" s="42" t="n">
        <v>3.292086889061288</v>
      </c>
      <c r="D88" s="42" t="n">
        <v>2.302372795330542</v>
      </c>
      <c r="E88" s="42" t="n">
        <v>1.736861791658874</v>
      </c>
      <c r="F88" s="42" t="n">
        <v>1.734120191008199</v>
      </c>
    </row>
    <row r="89">
      <c r="A89" s="17" t="inlineStr">
        <is>
          <t>Provision for Credit Losses ($B)</t>
        </is>
      </c>
      <c r="B89" s="18" t="n">
        <v>-3.103</v>
      </c>
      <c r="C89" s="18" t="n">
        <v>4.745</v>
      </c>
      <c r="D89" s="18" t="n">
        <v>7.786</v>
      </c>
      <c r="E89" s="18" t="n">
        <v>9.726000000000001</v>
      </c>
      <c r="F89" s="18" t="n">
        <v>9.497</v>
      </c>
    </row>
    <row r="90">
      <c r="A90" s="17" t="inlineStr">
        <is>
          <t>Provision / Net Interest Income %</t>
        </is>
      </c>
      <c r="B90" s="41" t="n">
        <v>-0.07302207370452299</v>
      </c>
      <c r="C90" s="41" t="n">
        <v>0.09749732884030575</v>
      </c>
      <c r="D90" s="41" t="n">
        <v>0.1418214936247723</v>
      </c>
      <c r="E90" s="41" t="n">
        <v>0.1797948054348831</v>
      </c>
      <c r="F90" s="41" t="n">
        <v>0.1588339577200963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3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3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214518.0919</v>
      </c>
      <c r="C5" s="46" t="inlineStr">
        <is>
          <t>FMP marketCap  |  price $125.09</t>
        </is>
      </c>
    </row>
    <row r="6">
      <c r="A6" s="17" t="inlineStr">
        <is>
          <t>Debt  (gross book value, $mm)</t>
        </is>
      </c>
      <c r="B6" s="45" t="n">
        <v>715803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0.0446</v>
      </c>
      <c r="C12" s="46" t="inlineStr">
        <is>
          <t>FRED series DGS10  |  latest: 2026-06-18</t>
        </is>
      </c>
    </row>
    <row r="13">
      <c r="A13" s="49" t="inlineStr">
        <is>
          <t>► Selected Rf  (override if needed)</t>
        </is>
      </c>
      <c r="B13" s="50" t="n">
        <v>0.0446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1.124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1.083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3.34x,  t = 27.1%)</t>
        </is>
      </c>
      <c r="B19" s="52" t="n">
        <v>3.433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1.88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BBB+</t>
        </is>
      </c>
      <c r="C31" s="46" t="inlineStr">
        <is>
          <t>User input</t>
        </is>
      </c>
    </row>
    <row r="32">
      <c r="A32" s="17" t="inlineStr">
        <is>
          <t>FRED matched yield  (rating-tier index)</t>
        </is>
      </c>
      <c r="B32" s="48" t="n">
        <v>0.0535</v>
      </c>
      <c r="C32" s="46" t="inlineStr">
        <is>
          <t>FRED BAMLC0A4CBBBEY — BBB</t>
        </is>
      </c>
    </row>
    <row r="33">
      <c r="A33" s="17" t="inlineStr">
        <is>
          <t>Interest Coverage Ratio  (EBIT / Gross Int Exp)</t>
        </is>
      </c>
      <c r="B33" s="52" t="n">
        <v>0.2</v>
      </c>
      <c r="C33" s="46" t="inlineStr">
        <is>
          <t>EBIT $19828mm  /  Int Exp $83072mm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0.2x  →  CC</t>
        </is>
      </c>
    </row>
    <row r="35">
      <c r="A35" s="17" t="inlineStr">
        <is>
          <t>Synthetic Rd  (Rf + Damodaran default spread)</t>
        </is>
      </c>
      <c r="B35" s="48" t="n">
        <v>0.1646</v>
      </c>
      <c r="C35" s="46" t="inlineStr">
        <is>
          <t>Rf 4.46% + spread 12.00%</t>
        </is>
      </c>
    </row>
    <row r="36">
      <c r="A36" s="17" t="inlineStr">
        <is>
          <t>Accounting Rd  (Gross int exp / Avg gross debt)</t>
        </is>
      </c>
      <c r="B36" s="48" t="n">
        <v>0.127180576914686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$59792mm  (int inc $142864mm &gt; int exp $83072mm)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0.1151</v>
      </c>
      <c r="C38" s="51" t="inlineStr">
        <is>
          <t>Default = average of 3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0.271</v>
      </c>
      <c r="C41" s="46" t="inlineStr">
        <is>
          <t>FMP: $5373mm  /  $19828mm</t>
        </is>
      </c>
    </row>
    <row r="42">
      <c r="A42" s="49" t="inlineStr">
        <is>
          <t>► Selected tax rate  (user override)</t>
        </is>
      </c>
      <c r="B42" s="50" t="n">
        <v>0.271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5" t="inlineStr">
        <is>
          <t>Source / Notes</t>
        </is>
      </c>
    </row>
    <row r="4" ht="6" customHeight="1">
      <c r="A4" s="44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4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9" t="inlineStr">
        <is>
          <t>Revenue Growth %</t>
        </is>
      </c>
      <c r="B6" s="70" t="inlineStr">
        <is>
          <t>—</t>
        </is>
      </c>
      <c r="C6" s="71">
        <f>'P&amp;L'!C5/'P&amp;L'!B5-1</f>
        <v/>
      </c>
      <c r="D6" s="71">
        <f>'P&amp;L'!D5/'P&amp;L'!C5-1</f>
        <v/>
      </c>
      <c r="E6" s="71">
        <f>'P&amp;L'!E5/'P&amp;L'!D5-1</f>
        <v/>
      </c>
      <c r="F6" s="71">
        <f>'P&amp;L'!F5/'P&amp;L'!E5-1</f>
        <v/>
      </c>
      <c r="G6" s="72" t="n">
        <v>0.08</v>
      </c>
      <c r="H6" s="72" t="n">
        <v>0.08</v>
      </c>
      <c r="I6" s="72" t="n">
        <v>0.08</v>
      </c>
      <c r="J6" s="72">
        <f>I6</f>
        <v/>
      </c>
      <c r="K6" s="72">
        <f>I6</f>
        <v/>
      </c>
      <c r="L6" s="73" t="n">
        <v>0.03</v>
      </c>
      <c r="M6" s="74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9" t="inlineStr">
        <is>
          <t>EBITDA Margin %</t>
        </is>
      </c>
      <c r="B7" s="71">
        <f>'P&amp;L'!B12/'P&amp;L'!B5</f>
        <v/>
      </c>
      <c r="C7" s="71">
        <f>'P&amp;L'!C12/'P&amp;L'!C5</f>
        <v/>
      </c>
      <c r="D7" s="71">
        <f>'P&amp;L'!D12/'P&amp;L'!D5</f>
        <v/>
      </c>
      <c r="E7" s="71">
        <f>'P&amp;L'!E12/'P&amp;L'!E5</f>
        <v/>
      </c>
      <c r="F7" s="71">
        <f>'P&amp;L'!F12/'P&amp;L'!F5</f>
        <v/>
      </c>
      <c r="G7" s="72" t="n">
        <v>0.1372</v>
      </c>
      <c r="H7" s="72" t="n">
        <v>0.1372</v>
      </c>
      <c r="I7" s="72" t="n">
        <v>0.1372</v>
      </c>
      <c r="J7" s="72">
        <f>I7</f>
        <v/>
      </c>
      <c r="K7" s="72">
        <f>I7</f>
        <v/>
      </c>
      <c r="L7" s="73" t="n">
        <v>0.1372</v>
      </c>
      <c r="M7" s="74" t="inlineStr">
        <is>
          <t>Yrs 1-3: FMP analyst consensus margin.  Yrs 4-5: = Yr 3 margin.  Terminal: long-run normalised EBITDA margin (user input).</t>
        </is>
      </c>
    </row>
    <row r="8" ht="20" customHeight="1">
      <c r="A8" s="69" t="inlineStr">
        <is>
          <t>D&amp;A as % of Revenue</t>
        </is>
      </c>
      <c r="B8" s="71">
        <f>'P&amp;L'!B14/'P&amp;L'!B5</f>
        <v/>
      </c>
      <c r="C8" s="71">
        <f>'P&amp;L'!C14/'P&amp;L'!C5</f>
        <v/>
      </c>
      <c r="D8" s="71">
        <f>'P&amp;L'!D14/'P&amp;L'!D5</f>
        <v/>
      </c>
      <c r="E8" s="71">
        <f>'P&amp;L'!E14/'P&amp;L'!E5</f>
        <v/>
      </c>
      <c r="F8" s="71">
        <f>'P&amp;L'!F14/'P&amp;L'!F5</f>
        <v/>
      </c>
      <c r="G8" s="72">
        <f>AVERAGE(B8:F8)</f>
        <v/>
      </c>
      <c r="H8" s="72">
        <f>G8</f>
        <v/>
      </c>
      <c r="I8" s="72">
        <f>G8</f>
        <v/>
      </c>
      <c r="J8" s="72">
        <f>G8</f>
        <v/>
      </c>
      <c r="K8" s="72">
        <f>G8</f>
        <v/>
      </c>
      <c r="L8" s="73">
        <f>G8</f>
        <v/>
      </c>
      <c r="M8" s="74" t="inlineStr">
        <is>
          <t>Historical linked from P&amp;L.  Yr 1 = avg of historicals; Yrs 2-5 &amp; terminal = Yr 1.</t>
        </is>
      </c>
    </row>
    <row r="9" ht="20" customHeight="1">
      <c r="A9" s="69" t="inlineStr">
        <is>
          <t>CapEx as % of Revenue</t>
        </is>
      </c>
      <c r="B9" s="71">
        <f>-'Cash Flow'!B6/'P&amp;L'!B5</f>
        <v/>
      </c>
      <c r="C9" s="71">
        <f>-'Cash Flow'!C6/'P&amp;L'!C5</f>
        <v/>
      </c>
      <c r="D9" s="71">
        <f>-'Cash Flow'!D6/'P&amp;L'!D5</f>
        <v/>
      </c>
      <c r="E9" s="71">
        <f>-'Cash Flow'!E6/'P&amp;L'!E5</f>
        <v/>
      </c>
      <c r="F9" s="71">
        <f>-'Cash Flow'!F6/'P&amp;L'!F5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Cash Flow.  Yr 1 = avg of historicals; Yrs 2-5 &amp; terminal = Yr 1.</t>
        </is>
      </c>
    </row>
    <row r="10" ht="20" customHeight="1">
      <c r="A10" s="69" t="inlineStr">
        <is>
          <t>Change in NWC as % of Revenue</t>
        </is>
      </c>
      <c r="B10" s="70" t="inlineStr">
        <is>
          <t>—</t>
        </is>
      </c>
      <c r="C10" s="71">
        <f>(('Balance Sheet'!C9-'Balance Sheet'!C21)-('Balance Sheet'!B9-'Balance Sheet'!B21))/'P&amp;L'!C5</f>
        <v/>
      </c>
      <c r="D10" s="71">
        <f>(('Balance Sheet'!D9-'Balance Sheet'!D21)-('Balance Sheet'!C9-'Balance Sheet'!C21))/'P&amp;L'!D5</f>
        <v/>
      </c>
      <c r="E10" s="71">
        <f>(('Balance Sheet'!E9-'Balance Sheet'!E21)-('Balance Sheet'!D9-'Balance Sheet'!D21))/'P&amp;L'!E5</f>
        <v/>
      </c>
      <c r="F10" s="71">
        <f>(('Balance Sheet'!F9-'Balance Sheet'!F21)-('Balance Sheet'!E9-'Balance Sheet'!E21))/'P&amp;L'!F5</f>
        <v/>
      </c>
      <c r="G10" s="72">
        <f>MAX(-0.02,MIN(0.05,AVERAGE(C10:F10)))</f>
        <v/>
      </c>
      <c r="H10" s="72">
        <f>G10*4/5</f>
        <v/>
      </c>
      <c r="I10" s="72">
        <f>G10*3/5</f>
        <v/>
      </c>
      <c r="J10" s="72">
        <f>G10*2/5</f>
        <v/>
      </c>
      <c r="K10" s="72">
        <f>G10*1/5</f>
        <v/>
      </c>
      <c r="L10" s="73" t="n">
        <v>0</v>
      </c>
      <c r="M10" s="74" t="inlineStr">
        <is>
          <t>Yr 1 = clamped avg of historicals [-2%, +5%]. Yrs 2-5 fade linearly to 0. Terminal = 0 (steady-state: NWC tracks revenue).</t>
        </is>
      </c>
    </row>
    <row r="11" ht="20" customHeight="1">
      <c r="A11" s="69" t="inlineStr">
        <is>
          <t>Effective Tax Rate</t>
        </is>
      </c>
      <c r="B11" s="71">
        <f>IFERROR(MAX(0,MIN(0.5,'P&amp;L'!B22/'P&amp;L'!B21)),0)</f>
        <v/>
      </c>
      <c r="C11" s="71">
        <f>IFERROR(MAX(0,MIN(0.5,'P&amp;L'!C22/'P&amp;L'!C21)),0)</f>
        <v/>
      </c>
      <c r="D11" s="71">
        <f>IFERROR(MAX(0,MIN(0.5,'P&amp;L'!D22/'P&amp;L'!D21)),0)</f>
        <v/>
      </c>
      <c r="E11" s="71">
        <f>IFERROR(MAX(0,MIN(0.5,'P&amp;L'!E22/'P&amp;L'!E21)),0)</f>
        <v/>
      </c>
      <c r="F11" s="71">
        <f>IFERROR(MAX(0,MIN(0.5,'P&amp;L'!F22/'P&amp;L'!F21)),0)</f>
        <v/>
      </c>
      <c r="G11" s="72">
        <f>AVERAGE(B11:F11)</f>
        <v/>
      </c>
      <c r="H11" s="72">
        <f>G11</f>
        <v/>
      </c>
      <c r="I11" s="72">
        <f>G11</f>
        <v/>
      </c>
      <c r="J11" s="72">
        <f>G11</f>
        <v/>
      </c>
      <c r="K11" s="72">
        <f>G11</f>
        <v/>
      </c>
      <c r="L11" s="73">
        <f>G11</f>
        <v/>
      </c>
      <c r="M11" s="74" t="inlineStr">
        <is>
          <t>Historical linked from P&amp;L (tax / pretax income).  Forecast: avg of historicals, constant thereafter.</t>
        </is>
      </c>
    </row>
    <row r="12" ht="6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4" t="n"/>
    </row>
    <row r="13" ht="18" customHeight="1">
      <c r="A13" s="25" t="inlineStr">
        <is>
          <t>SECTION 2 — REVENUE &amp; EBITDA  ($mm)</t>
        </is>
      </c>
    </row>
    <row r="14" ht="20" customHeight="1">
      <c r="A14" s="75" t="inlineStr">
        <is>
          <t>Revenue</t>
        </is>
      </c>
      <c r="B14" s="76">
        <f>'P&amp;L'!B5</f>
        <v/>
      </c>
      <c r="C14" s="76">
        <f>'P&amp;L'!C5</f>
        <v/>
      </c>
      <c r="D14" s="76">
        <f>'P&amp;L'!D5</f>
        <v/>
      </c>
      <c r="E14" s="76">
        <f>'P&amp;L'!E5</f>
        <v/>
      </c>
      <c r="F14" s="76">
        <f>'P&amp;L'!F5</f>
        <v/>
      </c>
      <c r="G14" s="77">
        <f>F14*(1+G6)</f>
        <v/>
      </c>
      <c r="H14" s="77">
        <f>G14*(1+H6)</f>
        <v/>
      </c>
      <c r="I14" s="77">
        <f>H14*(1+I6)</f>
        <v/>
      </c>
      <c r="J14" s="77">
        <f>I14*(1+J6)</f>
        <v/>
      </c>
      <c r="K14" s="77">
        <f>J14*(1+K6)</f>
        <v/>
      </c>
      <c r="L14" s="78">
        <f>K14*(1+L6)</f>
        <v/>
      </c>
      <c r="M14" s="79" t="inlineStr">
        <is>
          <t>FMP consensus years: analyst revenue average ($mm).  Range: Low–High shown below.  User years: prior × (1+growth).</t>
        </is>
      </c>
    </row>
    <row r="15" ht="20" customHeight="1">
      <c r="A15" s="80" t="inlineStr">
        <is>
          <t xml:space="preserve">  Analyst Range:  Low — High  ($mm)</t>
        </is>
      </c>
      <c r="G15" s="81" t="inlineStr">
        <is>
          <t>—</t>
        </is>
      </c>
      <c r="H15" s="81" t="inlineStr">
        <is>
          <t>—</t>
        </is>
      </c>
      <c r="I15" s="81" t="inlineStr">
        <is>
          <t>—</t>
        </is>
      </c>
      <c r="J15" s="81" t="inlineStr">
        <is>
          <t>—</t>
        </is>
      </c>
      <c r="K15" s="81" t="inlineStr">
        <is>
          <t>—</t>
        </is>
      </c>
      <c r="L15" s="82" t="inlineStr">
        <is>
          <t>—</t>
        </is>
      </c>
      <c r="M15" s="79" t="inlineStr">
        <is>
          <t>Sell-side analyst low / high revenue estimates for consensus years</t>
        </is>
      </c>
    </row>
    <row r="16" ht="20" customHeight="1">
      <c r="A16" s="80" t="inlineStr">
        <is>
          <t xml:space="preserve">  Number of Analysts</t>
        </is>
      </c>
      <c r="G16" s="81" t="inlineStr">
        <is>
          <t>—</t>
        </is>
      </c>
      <c r="H16" s="81" t="inlineStr">
        <is>
          <t>—</t>
        </is>
      </c>
      <c r="I16" s="81" t="inlineStr">
        <is>
          <t>—</t>
        </is>
      </c>
      <c r="J16" s="81" t="inlineStr">
        <is>
          <t>—</t>
        </is>
      </c>
      <c r="K16" s="81" t="inlineStr">
        <is>
          <t>—</t>
        </is>
      </c>
      <c r="L16" s="82" t="inlineStr">
        <is>
          <t>—</t>
        </is>
      </c>
      <c r="M16" s="79" t="inlineStr">
        <is>
          <t>Red &lt; 5 analysts — treat estimate with caution.  Orange &lt; 10.</t>
        </is>
      </c>
    </row>
    <row r="17" ht="20" customHeight="1">
      <c r="A17" s="80" t="inlineStr">
        <is>
          <t xml:space="preserve">  YoY Revenue Growth %</t>
        </is>
      </c>
      <c r="B17" s="83" t="inlineStr">
        <is>
          <t>—</t>
        </is>
      </c>
      <c r="C17" s="84">
        <f>IFERROR(C14/B14-1,"")</f>
        <v/>
      </c>
      <c r="D17" s="84">
        <f>IFERROR(D14/C14-1,"")</f>
        <v/>
      </c>
      <c r="E17" s="84">
        <f>IFERROR(E14/D14-1,"")</f>
        <v/>
      </c>
      <c r="F17" s="84">
        <f>IFERROR(F14/E14-1,"")</f>
        <v/>
      </c>
      <c r="G17" s="85">
        <f>IFERROR(G14/F14-1,"")</f>
        <v/>
      </c>
      <c r="H17" s="85">
        <f>IFERROR(H14/G14-1,"")</f>
        <v/>
      </c>
      <c r="I17" s="85">
        <f>IFERROR(I14/H14-1,"")</f>
        <v/>
      </c>
      <c r="J17" s="85">
        <f>IFERROR(J14/I14-1,"")</f>
        <v/>
      </c>
      <c r="K17" s="85">
        <f>IFERROR(K14/J14-1,"")</f>
        <v/>
      </c>
      <c r="L17" s="86">
        <f>L6</f>
        <v/>
      </c>
      <c r="M17" s="79">
        <f> this year / prior year − 1  (formula cross-check on assumptions)</f>
        <v/>
      </c>
    </row>
    <row r="18" ht="6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</row>
    <row r="19" ht="20" customHeight="1">
      <c r="A19" s="75" t="inlineStr">
        <is>
          <t>EBITDA</t>
        </is>
      </c>
      <c r="B19" s="76">
        <f>'P&amp;L'!B12</f>
        <v/>
      </c>
      <c r="C19" s="76">
        <f>'P&amp;L'!C12</f>
        <v/>
      </c>
      <c r="D19" s="76">
        <f>'P&amp;L'!D12</f>
        <v/>
      </c>
      <c r="E19" s="76">
        <f>'P&amp;L'!E12</f>
        <v/>
      </c>
      <c r="F19" s="76">
        <f>'P&amp;L'!F12</f>
        <v/>
      </c>
      <c r="G19" s="77">
        <f>G14*G7</f>
        <v/>
      </c>
      <c r="H19" s="77">
        <f>H14*H7</f>
        <v/>
      </c>
      <c r="I19" s="77">
        <f>I14*I7</f>
        <v/>
      </c>
      <c r="J19" s="77">
        <f>J14*J7</f>
        <v/>
      </c>
      <c r="K19" s="77">
        <f>K14*K7</f>
        <v/>
      </c>
      <c r="L19" s="78">
        <f>L14*L7</f>
        <v/>
      </c>
      <c r="M19" s="79" t="inlineStr">
        <is>
          <t>FMP consensus years: analyst EBITDA average.  User years: Revenue × EBITDA margin assumption.</t>
        </is>
      </c>
    </row>
    <row r="20" ht="20" customHeight="1">
      <c r="A20" s="80" t="inlineStr">
        <is>
          <t xml:space="preserve">  Analyst Range:  Low — High  ($mm)</t>
        </is>
      </c>
      <c r="G20" s="81" t="inlineStr">
        <is>
          <t>—</t>
        </is>
      </c>
      <c r="H20" s="81" t="inlineStr">
        <is>
          <t>—</t>
        </is>
      </c>
      <c r="I20" s="81" t="inlineStr">
        <is>
          <t>—</t>
        </is>
      </c>
      <c r="J20" s="81" t="inlineStr">
        <is>
          <t>—</t>
        </is>
      </c>
      <c r="K20" s="81" t="inlineStr">
        <is>
          <t>—</t>
        </is>
      </c>
      <c r="L20" s="82" t="inlineStr">
        <is>
          <t>—</t>
        </is>
      </c>
      <c r="M20" s="79" t="inlineStr">
        <is>
          <t>Sell-side analyst low / high EBITDA estimates for consensus years</t>
        </is>
      </c>
    </row>
    <row r="21" ht="20" customHeight="1">
      <c r="A21" s="80" t="inlineStr">
        <is>
          <t xml:space="preserve">  EBITDA Margin %</t>
        </is>
      </c>
      <c r="B21" s="84">
        <f>IFERROR(B19/B14,"")</f>
        <v/>
      </c>
      <c r="C21" s="84">
        <f>IFERROR(C19/C14,"")</f>
        <v/>
      </c>
      <c r="D21" s="84">
        <f>IFERROR(D19/D14,"")</f>
        <v/>
      </c>
      <c r="E21" s="84">
        <f>IFERROR(E19/E14,"")</f>
        <v/>
      </c>
      <c r="F21" s="84">
        <f>IFERROR(F19/F14,"")</f>
        <v/>
      </c>
      <c r="G21" s="85">
        <f>IFERROR(G19/G14,"")</f>
        <v/>
      </c>
      <c r="H21" s="85">
        <f>IFERROR(H19/H14,"")</f>
        <v/>
      </c>
      <c r="I21" s="85">
        <f>IFERROR(I19/I14,"")</f>
        <v/>
      </c>
      <c r="J21" s="85">
        <f>IFERROR(J19/J14,"")</f>
        <v/>
      </c>
      <c r="K21" s="85">
        <f>IFERROR(K19/K14,"")</f>
        <v/>
      </c>
      <c r="L21" s="86">
        <f>IFERROR(L19/L14,"")</f>
        <v/>
      </c>
      <c r="M21" s="79">
        <f> EBITDA / Revenue  (formula — cross-check on margin assumption)</f>
        <v/>
      </c>
    </row>
    <row r="22" ht="6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7" t="inlineStr">
        <is>
          <t xml:space="preserve">  Less: D&amp;A</t>
        </is>
      </c>
      <c r="B24" s="76">
        <f>-'P&amp;L'!B14</f>
        <v/>
      </c>
      <c r="C24" s="76">
        <f>-'P&amp;L'!C14</f>
        <v/>
      </c>
      <c r="D24" s="76">
        <f>-'P&amp;L'!D14</f>
        <v/>
      </c>
      <c r="E24" s="76">
        <f>-'P&amp;L'!E14</f>
        <v/>
      </c>
      <c r="F24" s="76">
        <f>-'P&amp;L'!F14</f>
        <v/>
      </c>
      <c r="G24" s="77">
        <f>-G14*G8</f>
        <v/>
      </c>
      <c r="H24" s="77">
        <f>-H14*H8</f>
        <v/>
      </c>
      <c r="I24" s="77">
        <f>-I14*I8</f>
        <v/>
      </c>
      <c r="J24" s="77">
        <f>-J14*J8</f>
        <v/>
      </c>
      <c r="K24" s="77">
        <f>-K14*K8</f>
        <v/>
      </c>
      <c r="L24" s="78">
        <f>-L14*L8</f>
        <v/>
      </c>
      <c r="M24" s="79">
        <f> Revenue × D&amp;A % assumption  (negative = P&amp;L charge)</f>
        <v/>
      </c>
    </row>
    <row r="25" ht="20" customHeight="1">
      <c r="A25" s="65" t="inlineStr">
        <is>
          <t>EBIT  (Operating Profit)</t>
        </is>
      </c>
      <c r="B25" s="88">
        <f>B19+B24</f>
        <v/>
      </c>
      <c r="C25" s="88">
        <f>C19+C24</f>
        <v/>
      </c>
      <c r="D25" s="88">
        <f>D19+D24</f>
        <v/>
      </c>
      <c r="E25" s="88">
        <f>E19+E24</f>
        <v/>
      </c>
      <c r="F25" s="88">
        <f>F19+F24</f>
        <v/>
      </c>
      <c r="G25" s="89">
        <f>G19+G24</f>
        <v/>
      </c>
      <c r="H25" s="89">
        <f>H19+H24</f>
        <v/>
      </c>
      <c r="I25" s="89">
        <f>I19+I24</f>
        <v/>
      </c>
      <c r="J25" s="89">
        <f>J19+J24</f>
        <v/>
      </c>
      <c r="K25" s="89">
        <f>K19+K24</f>
        <v/>
      </c>
      <c r="L25" s="89">
        <f>L19+L24</f>
        <v/>
      </c>
      <c r="M25" s="79">
        <f> EBITDA + D&amp;A  (GAAP operating income, EBIT)</f>
        <v/>
      </c>
    </row>
    <row r="26" ht="20" customHeight="1">
      <c r="A26" s="87" t="inlineStr">
        <is>
          <t xml:space="preserve">  Less: Tax on EBIT  (unlevered)</t>
        </is>
      </c>
      <c r="B26" s="90">
        <f>-B25*B11</f>
        <v/>
      </c>
      <c r="C26" s="90">
        <f>-C25*C11</f>
        <v/>
      </c>
      <c r="D26" s="90">
        <f>-D25*D11</f>
        <v/>
      </c>
      <c r="E26" s="90">
        <f>-E25*E11</f>
        <v/>
      </c>
      <c r="F26" s="90">
        <f>-F25*F11</f>
        <v/>
      </c>
      <c r="G26" s="91">
        <f>-G25*G11</f>
        <v/>
      </c>
      <c r="H26" s="91">
        <f>-H25*H11</f>
        <v/>
      </c>
      <c r="I26" s="91">
        <f>-I25*I11</f>
        <v/>
      </c>
      <c r="J26" s="91">
        <f>-J25*J11</f>
        <v/>
      </c>
      <c r="K26" s="91">
        <f>-K25*K11</f>
        <v/>
      </c>
      <c r="L26" s="91">
        <f>-L25*L11</f>
        <v/>
      </c>
      <c r="M26" s="79">
        <f> EBIT × tax rate  (no interest tax shield — UFCF is pre-debt)</f>
        <v/>
      </c>
    </row>
    <row r="27" ht="20" customHeight="1">
      <c r="A27" s="75" t="inlineStr">
        <is>
          <t>NOPAT</t>
        </is>
      </c>
      <c r="B27" s="88">
        <f>B25+B26</f>
        <v/>
      </c>
      <c r="C27" s="88">
        <f>C25+C26</f>
        <v/>
      </c>
      <c r="D27" s="88">
        <f>D25+D26</f>
        <v/>
      </c>
      <c r="E27" s="88">
        <f>E25+E26</f>
        <v/>
      </c>
      <c r="F27" s="88">
        <f>F25+F26</f>
        <v/>
      </c>
      <c r="G27" s="92">
        <f>G25+G26</f>
        <v/>
      </c>
      <c r="H27" s="92">
        <f>H25+H26</f>
        <v/>
      </c>
      <c r="I27" s="92">
        <f>I25+I26</f>
        <v/>
      </c>
      <c r="J27" s="92">
        <f>J25+J26</f>
        <v/>
      </c>
      <c r="K27" s="92">
        <f>K25+K26</f>
        <v/>
      </c>
      <c r="L27" s="92">
        <f>L25+L26</f>
        <v/>
      </c>
      <c r="M27" s="79">
        <f> EBIT × (1 − tax rate)</f>
        <v/>
      </c>
    </row>
    <row r="28" ht="20" customHeight="1">
      <c r="A28" s="87" t="inlineStr">
        <is>
          <t xml:space="preserve">  (+) D&amp;A add-back  (non-cash)</t>
        </is>
      </c>
      <c r="B28" s="90">
        <f>-B24</f>
        <v/>
      </c>
      <c r="C28" s="90">
        <f>-C24</f>
        <v/>
      </c>
      <c r="D28" s="90">
        <f>-D24</f>
        <v/>
      </c>
      <c r="E28" s="90">
        <f>-E24</f>
        <v/>
      </c>
      <c r="F28" s="90">
        <f>-F24</f>
        <v/>
      </c>
      <c r="G28" s="91">
        <f>-G24</f>
        <v/>
      </c>
      <c r="H28" s="91">
        <f>-H24</f>
        <v/>
      </c>
      <c r="I28" s="91">
        <f>-I24</f>
        <v/>
      </c>
      <c r="J28" s="91">
        <f>-J24</f>
        <v/>
      </c>
      <c r="K28" s="91">
        <f>-K24</f>
        <v/>
      </c>
      <c r="L28" s="91">
        <f>-L24</f>
        <v/>
      </c>
      <c r="M28" s="79">
        <f> D&amp;A added back (non-cash charge — converts NOPAT to cash basis)</f>
        <v/>
      </c>
    </row>
    <row r="29" ht="20" customHeight="1">
      <c r="A29" s="87" t="inlineStr">
        <is>
          <t xml:space="preserve">  (−) Capital Expenditures</t>
        </is>
      </c>
      <c r="B29" s="76">
        <f>'Cash Flow'!B6</f>
        <v/>
      </c>
      <c r="C29" s="76">
        <f>'Cash Flow'!C6</f>
        <v/>
      </c>
      <c r="D29" s="76">
        <f>'Cash Flow'!D6</f>
        <v/>
      </c>
      <c r="E29" s="76">
        <f>'Cash Flow'!E6</f>
        <v/>
      </c>
      <c r="F29" s="76">
        <f>'Cash Flow'!F6</f>
        <v/>
      </c>
      <c r="G29" s="91">
        <f>-G14*G9</f>
        <v/>
      </c>
      <c r="H29" s="91">
        <f>-H14*H9</f>
        <v/>
      </c>
      <c r="I29" s="91">
        <f>-I14*I9</f>
        <v/>
      </c>
      <c r="J29" s="91">
        <f>-J14*J9</f>
        <v/>
      </c>
      <c r="K29" s="91">
        <f>-K14*K9</f>
        <v/>
      </c>
      <c r="L29" s="91">
        <f>-L14*L9</f>
        <v/>
      </c>
      <c r="M29" s="79">
        <f> Revenue × CapEx % assumption  (negative = cash outflow)</f>
        <v/>
      </c>
    </row>
    <row r="30" ht="20" customHeight="1">
      <c r="A30" s="87" t="inlineStr">
        <is>
          <t xml:space="preserve">  (−) Increase in Net Working Capital</t>
        </is>
      </c>
      <c r="B30" s="90" t="n"/>
      <c r="C30" s="90">
        <f>-(('Balance Sheet'!C9-'Balance Sheet'!C21)-('Balance Sheet'!B9-'Balance Sheet'!B21))</f>
        <v/>
      </c>
      <c r="D30" s="90">
        <f>-(('Balance Sheet'!D9-'Balance Sheet'!D21)-('Balance Sheet'!C9-'Balance Sheet'!C21))</f>
        <v/>
      </c>
      <c r="E30" s="90">
        <f>-(('Balance Sheet'!E9-'Balance Sheet'!E21)-('Balance Sheet'!D9-'Balance Sheet'!D21))</f>
        <v/>
      </c>
      <c r="F30" s="90">
        <f>-(('Balance Sheet'!F9-'Balance Sheet'!F21)-('Balance Sheet'!E9-'Balance Sheet'!E21))</f>
        <v/>
      </c>
      <c r="G30" s="91">
        <f>-G14*G10</f>
        <v/>
      </c>
      <c r="H30" s="91">
        <f>-H14*H10</f>
        <v/>
      </c>
      <c r="I30" s="91">
        <f>-I14*I10</f>
        <v/>
      </c>
      <c r="J30" s="91">
        <f>-J14*J10</f>
        <v/>
      </c>
      <c r="K30" s="91">
        <f>-K14*K10</f>
        <v/>
      </c>
      <c r="L30" s="91">
        <f>-L14*L10</f>
        <v/>
      </c>
      <c r="M30" s="79">
        <f> −Revenue × NWC%  (positive NWC% → cash outflow, reduces UFCF)</f>
        <v/>
      </c>
    </row>
    <row r="31" ht="20" customHeight="1">
      <c r="A31" s="75" t="inlineStr">
        <is>
          <t>UNLEVERED FREE CASH FLOW  (UFCF)</t>
        </is>
      </c>
      <c r="B31" s="88">
        <f>B27+B28+B29+B30</f>
        <v/>
      </c>
      <c r="C31" s="88">
        <f>C27+C28+C29+C30</f>
        <v/>
      </c>
      <c r="D31" s="88">
        <f>D27+D28+D29+D30</f>
        <v/>
      </c>
      <c r="E31" s="88">
        <f>E27+E28+E29+E30</f>
        <v/>
      </c>
      <c r="F31" s="88">
        <f>F27+F28+F29+F30</f>
        <v/>
      </c>
      <c r="G31" s="92">
        <f>G27+G28+G29+G30</f>
        <v/>
      </c>
      <c r="H31" s="92">
        <f>H27+H28+H29+H30</f>
        <v/>
      </c>
      <c r="I31" s="92">
        <f>I27+I28+I29+I30</f>
        <v/>
      </c>
      <c r="J31" s="92">
        <f>J27+J28+J29+J30</f>
        <v/>
      </c>
      <c r="K31" s="92">
        <f>K27+K28+K29+K30</f>
        <v/>
      </c>
      <c r="L31" s="92">
        <f>L27+L28+L29+L30</f>
        <v/>
      </c>
      <c r="M31" s="79">
        <f> NOPAT + D&amp;A − CapEx − ΔNWC  (pre-debt, pre-interest free cash flow)</f>
        <v/>
      </c>
    </row>
    <row r="32" ht="20" customHeight="1">
      <c r="A32" s="80" t="inlineStr">
        <is>
          <t xml:space="preserve">  UFCF Margin %</t>
        </is>
      </c>
      <c r="B32" s="84">
        <f>B31/B14</f>
        <v/>
      </c>
      <c r="C32" s="84">
        <f>C31/C14</f>
        <v/>
      </c>
      <c r="D32" s="84">
        <f>D31/D14</f>
        <v/>
      </c>
      <c r="E32" s="84">
        <f>E31/E14</f>
        <v/>
      </c>
      <c r="F32" s="84">
        <f>F31/F14</f>
        <v/>
      </c>
      <c r="G32" s="93">
        <f>IFERROR(G31/G14,"")</f>
        <v/>
      </c>
      <c r="H32" s="93">
        <f>IFERROR(H31/H14,"")</f>
        <v/>
      </c>
      <c r="I32" s="93">
        <f>IFERROR(I31/I14,"")</f>
        <v/>
      </c>
      <c r="J32" s="93">
        <f>IFERROR(J31/J14,"")</f>
        <v/>
      </c>
      <c r="K32" s="93">
        <f>IFERROR(K31/K14,"")</f>
        <v/>
      </c>
      <c r="L32" s="93">
        <f>IFERROR(L31/L14,"")</f>
        <v/>
      </c>
      <c r="M32" s="79" t="inlineStr">
        <is>
          <t>Sense check — should approximate EBITDA margin less capex intensity</t>
        </is>
      </c>
    </row>
    <row r="33" ht="6" customHeight="1">
      <c r="A33" s="44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</row>
    <row r="34" ht="18" customHeight="1">
      <c r="A34" s="5" t="inlineStr">
        <is>
          <t>SECTION 4 — TERMINAL VALUE  ($mm)</t>
        </is>
      </c>
    </row>
    <row r="35" ht="20" customHeight="1">
      <c r="A35" s="69" t="inlineStr">
        <is>
          <t>WACC  (from WACC tab)</t>
        </is>
      </c>
      <c r="B35" s="94">
        <f>WACC!B45</f>
        <v/>
      </c>
      <c r="C35" s="95" t="n"/>
      <c r="D35" s="95" t="n"/>
      <c r="E35" s="95" t="n"/>
      <c r="F35" s="95" t="n"/>
      <c r="G35" s="95" t="n"/>
      <c r="H35" s="95" t="n"/>
      <c r="I35" s="95" t="n"/>
      <c r="J35" s="95" t="n"/>
      <c r="K35" s="95" t="n"/>
      <c r="L35" s="95" t="n"/>
      <c r="M35" s="74" t="inlineStr">
        <is>
          <t>Auto-linked from WACC tab selected output.  Override manually if needed.</t>
        </is>
      </c>
    </row>
    <row r="36" ht="20" customHeight="1">
      <c r="A36" s="69" t="inlineStr">
        <is>
          <t>Terminal Growth Rate  (g)</t>
        </is>
      </c>
      <c r="B36" s="96" t="n">
        <v>0.04</v>
      </c>
      <c r="C36" s="95" t="n"/>
      <c r="D36" s="95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74" t="inlineStr">
        <is>
          <t>Growth tier: HIGH (21.2% 3yr avg rev growth).  Bear 3.00% / Base 4.0% / Bull 5.00%.  Keep below WACC.</t>
        </is>
      </c>
    </row>
    <row r="37" ht="20" customHeight="1">
      <c r="A37" s="69" t="inlineStr">
        <is>
          <t>Terminal EV/EBITDA Multiple  (exit multiple method)</t>
        </is>
      </c>
      <c r="B37" s="97" t="n">
        <v>18</v>
      </c>
      <c r="C37" s="95" t="n"/>
      <c r="D37" s="95" t="n"/>
      <c r="E37" s="95" t="n"/>
      <c r="F37" s="95" t="n"/>
      <c r="G37" s="95" t="n"/>
      <c r="H37" s="95" t="n"/>
      <c r="I37" s="95" t="n"/>
      <c r="J37" s="95" t="n"/>
      <c r="K37" s="95" t="n"/>
      <c r="L37" s="95" t="n"/>
      <c r="M37" s="74" t="inlineStr">
        <is>
          <t>Growth tier: HIGH (21.2% 3yr avg rev growth).  Bear 14x / Base 18x / Bull 22x.  Override manually if needed.</t>
        </is>
      </c>
    </row>
    <row r="38" ht="6" customHeight="1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</row>
    <row r="39" ht="20" customHeight="1">
      <c r="A39" s="98" t="inlineStr">
        <is>
          <t>Terminal Year UFCF  (grown by g)</t>
        </is>
      </c>
      <c r="B39" s="99">
        <f>L31</f>
        <v/>
      </c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79" t="inlineStr">
        <is>
          <t>Cross-ref from Section 3 — terminal year UFCF (already grown by g in assumptions)</t>
        </is>
      </c>
    </row>
    <row r="40" ht="20" customHeight="1">
      <c r="A40" s="75" t="inlineStr">
        <is>
          <t>Terminal Value  [Gordon Growth:  UFCF / (WACC − g)]</t>
        </is>
      </c>
      <c r="B40" s="92">
        <f>B39/(B35-B36)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9" t="inlineStr">
        <is>
          <t>Sensitive to g — always cross-check vs Exit Multiple below</t>
        </is>
      </c>
    </row>
    <row r="41" ht="20" customHeight="1">
      <c r="A41" s="75" t="inlineStr">
        <is>
          <t>Terminal Value  [Exit Multiple:  Terminal EBITDA × Multiple]</t>
        </is>
      </c>
      <c r="B41" s="92">
        <f>L19*B37</f>
        <v/>
      </c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79" t="inlineStr">
        <is>
          <t>Anchored to observable market multiples — less model-sensitive than Gordon Growth</t>
        </is>
      </c>
    </row>
    <row r="42" ht="6" customHeight="1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8" t="inlineStr">
        <is>
          <t>Discount Period  (mid-year convention)</t>
        </is>
      </c>
      <c r="G44" s="102" t="n">
        <v>0.5</v>
      </c>
      <c r="H44" s="102" t="n">
        <v>1.5</v>
      </c>
      <c r="I44" s="102" t="n">
        <v>2.5</v>
      </c>
      <c r="J44" s="102" t="n">
        <v>3.5</v>
      </c>
      <c r="K44" s="102" t="n">
        <v>4.5</v>
      </c>
      <c r="L44" s="103" t="n">
        <v>5</v>
      </c>
      <c r="M44" s="79" t="inlineStr">
        <is>
          <t>Mid-year: 0.5, 1.5, 2.5...  assumes FCF received evenly through each year</t>
        </is>
      </c>
    </row>
    <row r="45" ht="20" customHeight="1">
      <c r="A45" s="98" t="inlineStr">
        <is>
          <t>Discount Factor  =  1 / (1 + WACC) ^ period</t>
        </is>
      </c>
      <c r="G45" s="104">
        <f>1/(1+B35)^G44</f>
        <v/>
      </c>
      <c r="H45" s="104">
        <f>1/(1+B35)^H44</f>
        <v/>
      </c>
      <c r="I45" s="104">
        <f>1/(1+B35)^I44</f>
        <v/>
      </c>
      <c r="J45" s="104">
        <f>1/(1+B35)^J44</f>
        <v/>
      </c>
      <c r="K45" s="104">
        <f>1/(1+B35)^K44</f>
        <v/>
      </c>
      <c r="L45" s="105">
        <f>1/(1+B35)^L44</f>
        <v/>
      </c>
      <c r="M45" s="79">
        <f> 1 / (1 + WACC) ^ discount period</f>
        <v/>
      </c>
    </row>
    <row r="46" ht="20" customHeight="1">
      <c r="A46" s="75" t="inlineStr">
        <is>
          <t>PV of UFCF</t>
        </is>
      </c>
      <c r="G46" s="92">
        <f>G31*G45</f>
        <v/>
      </c>
      <c r="H46" s="92">
        <f>H31*H45</f>
        <v/>
      </c>
      <c r="I46" s="92">
        <f>I31*I45</f>
        <v/>
      </c>
      <c r="J46" s="92">
        <f>J31*J45</f>
        <v/>
      </c>
      <c r="K46" s="92">
        <f>K31*K45</f>
        <v/>
      </c>
      <c r="L46" s="101" t="n"/>
      <c r="M46" s="79">
        <f> UFCF × discount factor</f>
        <v/>
      </c>
    </row>
    <row r="47" ht="20" customHeight="1">
      <c r="A47" s="65" t="inlineStr">
        <is>
          <t>Sum of PV of FCFs  (explicit period)</t>
        </is>
      </c>
      <c r="B47" s="89">
        <f>G46+H46+I46+J46+K46</f>
        <v/>
      </c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79" t="inlineStr">
        <is>
          <t>Sum of 5 discounted annual FCFs</t>
        </is>
      </c>
    </row>
    <row r="48" ht="20" customHeight="1">
      <c r="A48" s="65" t="inlineStr">
        <is>
          <t>PV of Terminal Value  [Gordon Growth]</t>
        </is>
      </c>
      <c r="B48" s="89">
        <f>B40*L45</f>
        <v/>
      </c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79" t="inlineStr">
        <is>
          <t>Terminal value × terminal-year discount factor</t>
        </is>
      </c>
    </row>
    <row r="49" ht="20" customHeight="1">
      <c r="A49" s="65" t="inlineStr">
        <is>
          <t>PV of Terminal Value  [Exit Multiple]</t>
        </is>
      </c>
      <c r="B49" s="89">
        <f>B41*L45</f>
        <v/>
      </c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79" t="inlineStr">
        <is>
          <t>Terminal value × terminal-year discount factor</t>
        </is>
      </c>
    </row>
    <row r="50" ht="6" customHeight="1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 ht="18" customHeight="1">
      <c r="A51" s="5" t="inlineStr">
        <is>
          <t>SECTION 6 — EQUITY VALUE BRIDGE  &amp;  IMPLIED SHARE PRICE</t>
        </is>
      </c>
    </row>
    <row r="52">
      <c r="A52" s="75" t="inlineStr">
        <is>
          <t>Enterprise Value  [Gordon Growth]</t>
        </is>
      </c>
      <c r="B52" s="92">
        <f>B47+B48</f>
        <v/>
      </c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75" t="inlineStr">
        <is>
          <t>Enterprise Value  [Exit Multiple]</t>
        </is>
      </c>
      <c r="B53" s="92">
        <f>B47+B49</f>
        <v/>
      </c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 ht="20" customHeight="1">
      <c r="A54" s="87" t="inlineStr">
        <is>
          <t xml:space="preserve">  Less: Net Debt  (Debt − Cash)</t>
        </is>
      </c>
      <c r="B54" s="99">
        <f>'Balance Sheet'!F81</f>
        <v/>
      </c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79" t="inlineStr">
        <is>
          <t>Linked from Balance Sheet: Total Debt (ST+LT) − Cash &amp; Equivalents  (negative = net cash)</t>
        </is>
      </c>
    </row>
    <row r="55" ht="20" customHeight="1">
      <c r="A55" s="87" t="inlineStr">
        <is>
          <t xml:space="preserve">  Less: Minority Interest</t>
        </is>
      </c>
      <c r="B55" s="99" t="n">
        <v>1531</v>
      </c>
      <c r="C55" s="100" t="n"/>
      <c r="D55" s="100" t="n"/>
      <c r="E55" s="100" t="n"/>
      <c r="F55" s="100" t="n"/>
      <c r="G55" s="100" t="n"/>
      <c r="H55" s="100" t="n"/>
      <c r="I55" s="100" t="n"/>
      <c r="J55" s="100" t="n"/>
      <c r="K55" s="100" t="n"/>
      <c r="L55" s="100" t="n"/>
      <c r="M55" s="79" t="inlineStr">
        <is>
          <t>Auto-linked from Balance Sheet: minorityInterest</t>
        </is>
      </c>
    </row>
    <row r="56" ht="20" customHeight="1">
      <c r="A56" s="87" t="inlineStr">
        <is>
          <t xml:space="preserve">  Shares Outstanding — Diluted  (mm)</t>
        </is>
      </c>
      <c r="B56" s="99" t="n">
        <v>1862.6</v>
      </c>
      <c r="C56" s="100" t="n"/>
      <c r="D56" s="100" t="n"/>
      <c r="E56" s="100" t="n"/>
      <c r="F56" s="100" t="n"/>
      <c r="G56" s="100" t="n"/>
      <c r="H56" s="100" t="n"/>
      <c r="I56" s="100" t="n"/>
      <c r="J56" s="100" t="n"/>
      <c r="K56" s="100" t="n"/>
      <c r="L56" s="100" t="n"/>
      <c r="M56" s="79" t="inlineStr">
        <is>
          <t>Auto-linked: weightedAverageShsOutDil from income statement (diluted)</t>
        </is>
      </c>
    </row>
    <row r="57" ht="6" customHeight="1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</row>
    <row r="58">
      <c r="A58" s="75" t="inlineStr">
        <is>
          <t>Implied Share Price  [Gordon Growth]  ($)</t>
        </is>
      </c>
      <c r="B58" s="107">
        <f>IFERROR((B52-B54-B55)/B56,"")</f>
        <v/>
      </c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75" t="inlineStr">
        <is>
          <t>Implied Share Price  [Exit Multiple]  ($)</t>
        </is>
      </c>
      <c r="B59" s="107">
        <f>IFERROR((B53-B54-B55)/B56,"")</f>
        <v/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 ht="20" customHeight="1">
      <c r="A60" s="98" t="inlineStr">
        <is>
          <t>Current Market Price  ($)</t>
        </is>
      </c>
      <c r="B60" s="108" t="n">
        <v>125.09</v>
      </c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79" t="inlineStr">
        <is>
          <t>Auto-linked from FMP company profile — price</t>
        </is>
      </c>
    </row>
    <row r="61">
      <c r="A61" s="65" t="inlineStr">
        <is>
          <t>Upside / (Downside)  [Gordon Growth]</t>
        </is>
      </c>
      <c r="B61" s="109">
        <f>IFERROR(B58/B60-1,"")</f>
        <v/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</row>
    <row r="62">
      <c r="A62" s="65" t="inlineStr">
        <is>
          <t>Upside / (Downside)  [Exit Multiple]</t>
        </is>
      </c>
      <c r="B62" s="109">
        <f>IFERROR(B59/B60-1,"")</f>
        <v/>
      </c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0" t="inlineStr">
        <is>
          <t>JS SCORECARD — C  |  Master Prompt v2  |  23 Jun 2026  |  Sector bucket: Bank</t>
        </is>
      </c>
    </row>
    <row r="2" ht="18" customHeight="1">
      <c r="A2" s="111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2" t="inlineStr">
        <is>
          <t>✓  Bank/Financial sector — D/EBITDA and EBIT/Interest gates exempt  | Capital Adequacy (Equity/Assets) used as P3 leverage criterion  |  Equity/Assets = 8.0%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13" t="inlineStr">
        <is>
          <t>CRITERION</t>
        </is>
      </c>
      <c r="B6" s="114" t="inlineStr">
        <is>
          <t>PART</t>
        </is>
      </c>
      <c r="C6" s="114" t="inlineStr">
        <is>
          <t>WEIGHT %</t>
        </is>
      </c>
      <c r="D6" s="114" t="inlineStr">
        <is>
          <t>CALCULATED VALUE</t>
        </is>
      </c>
      <c r="E6" s="114" t="inlineStr">
        <is>
          <t>TIER  ▼</t>
        </is>
      </c>
      <c r="F6" s="114" t="inlineStr">
        <is>
          <t>SCORE</t>
        </is>
      </c>
      <c r="G6" s="114" t="inlineStr">
        <is>
          <t>WTD SCORE</t>
        </is>
      </c>
      <c r="H6" s="113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5" t="inlineStr">
        <is>
          <t xml:space="preserve">  Business Clarity</t>
        </is>
      </c>
      <c r="B8" s="116" t="inlineStr">
        <is>
          <t>P1</t>
        </is>
      </c>
      <c r="C8" s="117" t="n">
        <v>0.075</v>
      </c>
      <c r="D8" s="118" t="inlineStr">
        <is>
          <t>— user input required</t>
        </is>
      </c>
      <c r="E8" s="119" t="n"/>
      <c r="F8" s="120">
        <f>IF(E8="HIGH",10,IF(E8="MOD-HIGH",7,IF(E8="MOD-LOW",3,IF(E8="LOW",0,""))))</f>
        <v/>
      </c>
      <c r="G8" s="121">
        <f>IF(F8="",0,C8*F8*10)</f>
        <v/>
      </c>
      <c r="H8" s="122" t="inlineStr"/>
    </row>
    <row r="9" ht="18" customHeight="1">
      <c r="A9" s="123" t="inlineStr">
        <is>
          <t xml:space="preserve">  Moat Profile</t>
        </is>
      </c>
      <c r="B9" s="124" t="inlineStr">
        <is>
          <t>P1</t>
        </is>
      </c>
      <c r="C9" s="125" t="n">
        <v>0.2</v>
      </c>
      <c r="D9" s="126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  <c r="E9" s="127" t="inlineStr">
        <is>
          <t>LOW</t>
        </is>
      </c>
      <c r="F9" s="128" t="n">
        <v>2</v>
      </c>
      <c r="G9" s="129">
        <f>IF(F9="",0,C9*F9*10)</f>
        <v/>
      </c>
      <c r="H9" s="130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</row>
    <row r="10" ht="18" customHeight="1">
      <c r="A10" s="115" t="inlineStr">
        <is>
          <t xml:space="preserve">  Long-Term Potential</t>
        </is>
      </c>
      <c r="B10" s="116" t="inlineStr">
        <is>
          <t>P1</t>
        </is>
      </c>
      <c r="C10" s="117" t="n">
        <v>0.25</v>
      </c>
      <c r="D10" s="118" t="inlineStr">
        <is>
          <t>— user input required</t>
        </is>
      </c>
      <c r="E10" s="119" t="n"/>
      <c r="F10" s="120">
        <f>IF(E10="HIGH",10,IF(E10="MOD-HIGH",7,IF(E10="MOD-LOW",3,IF(E10="LOW",0,""))))</f>
        <v/>
      </c>
      <c r="G10" s="121">
        <f>IF(F10="",0,C10*F10*10)</f>
        <v/>
      </c>
      <c r="H10" s="122" t="inlineStr"/>
    </row>
    <row r="11" ht="18" customHeight="1">
      <c r="A11" s="123" t="inlineStr">
        <is>
          <t xml:space="preserve">  Management</t>
        </is>
      </c>
      <c r="B11" s="124" t="inlineStr">
        <is>
          <t>P1</t>
        </is>
      </c>
      <c r="C11" s="125" t="n">
        <v>0.125</v>
      </c>
      <c r="D11" s="126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  <c r="E11" s="131" t="inlineStr">
        <is>
          <t>MOD-LOW</t>
        </is>
      </c>
      <c r="F11" s="128" t="n">
        <v>5.71</v>
      </c>
      <c r="G11" s="129">
        <f>IF(F11="",0,C11*F11*10)</f>
        <v/>
      </c>
      <c r="H11" s="130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3" t="inlineStr">
        <is>
          <t xml:space="preserve">  Revenue 3yr CAGR</t>
        </is>
      </c>
      <c r="B13" s="124" t="inlineStr">
        <is>
          <t>P2</t>
        </is>
      </c>
      <c r="C13" s="125" t="n">
        <v>0.25</v>
      </c>
      <c r="D13" s="126" t="inlineStr">
        <is>
          <t>18.9%</t>
        </is>
      </c>
      <c r="E13" s="132" t="inlineStr">
        <is>
          <t>HIGH</t>
        </is>
      </c>
      <c r="F13" s="128" t="n">
        <v>10</v>
      </c>
      <c r="G13" s="129">
        <f>IF(F13="",0,C13*F13*10)</f>
        <v/>
      </c>
      <c r="H13" s="130" t="inlineStr">
        <is>
          <t>18.9%</t>
        </is>
      </c>
    </row>
    <row r="14" ht="18" customHeight="1">
      <c r="A14" s="25" t="inlineStr">
        <is>
          <t>PART 3 — RISK PROFILE  (quantitative / qualitative)</t>
        </is>
      </c>
    </row>
    <row r="15" ht="18" customHeight="1">
      <c r="A15" s="123" t="inlineStr">
        <is>
          <t xml:space="preserve">  Capital Adequacy  (Equity / Assets)</t>
        </is>
      </c>
      <c r="B15" s="124" t="inlineStr">
        <is>
          <t>P3</t>
        </is>
      </c>
      <c r="C15" s="125" t="n">
        <v>0.125</v>
      </c>
      <c r="D15" s="126" t="inlineStr">
        <is>
          <t>8.0%  [Equity/Assets — CET1 proxy; well-capitalised &gt;10%]</t>
        </is>
      </c>
      <c r="E15" s="131" t="inlineStr">
        <is>
          <t>MOD-LOW</t>
        </is>
      </c>
      <c r="F15" s="128" t="n">
        <v>6.98</v>
      </c>
      <c r="G15" s="129">
        <f>IF(F15="",0,C15*F15*10)</f>
        <v/>
      </c>
      <c r="H15" s="130" t="inlineStr">
        <is>
          <t>8.0%  [Equity/Assets — CET1 proxy; well-capitalised &gt;10%]</t>
        </is>
      </c>
    </row>
    <row r="16" ht="18" customHeight="1">
      <c r="A16" s="123" t="inlineStr">
        <is>
          <t xml:space="preserve">  Execution Risk</t>
        </is>
      </c>
      <c r="B16" s="124" t="inlineStr">
        <is>
          <t>P3</t>
        </is>
      </c>
      <c r="C16" s="125" t="n">
        <v>0.05</v>
      </c>
      <c r="D16" s="126" t="inlineStr">
        <is>
          <t>Rev growth σ=21.2%  |  OM trend -22.6%, σ=9.6%  [quality = direction + stability]</t>
        </is>
      </c>
      <c r="E16" s="127" t="inlineStr">
        <is>
          <t>LOW</t>
        </is>
      </c>
      <c r="F16" s="128" t="n">
        <v>0</v>
      </c>
      <c r="G16" s="129">
        <f>IF(F16="",0,C16*F16*10)</f>
        <v/>
      </c>
      <c r="H16" s="130" t="inlineStr">
        <is>
          <t>Rev growth σ=21.2%  |  OM trend -22.6%, σ=9.6%  [quality = direction + stability]</t>
        </is>
      </c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</row>
    <row r="18" ht="20" customHeight="1">
      <c r="A18" s="133" t="inlineStr">
        <is>
          <t>TOTAL SCORE  (max = 100.0)</t>
        </is>
      </c>
      <c r="B18" s="134" t="n"/>
      <c r="C18" s="134" t="n"/>
      <c r="D18" s="134" t="n"/>
      <c r="E18" s="134" t="n"/>
      <c r="F18" s="134" t="n"/>
      <c r="G18" s="135">
        <f>G8+G9+G10+G11+G13+G15+G16</f>
        <v/>
      </c>
      <c r="H18" s="136" t="inlineStr">
        <is>
          <t>No floor cap.</t>
        </is>
      </c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</row>
    <row r="20" ht="24" customHeight="1">
      <c r="A20" s="137">
        <f>IF(G18="","Score incomplete — fill qualitative tiers above",IF(G18&gt;=80,"STRONG BUY",IF(G18&gt;=65,"BUY",IF(G18&gt;=50,"HOLD",IF(G18&gt;=35,"REDUCE","SELL")))))</f>
        <v/>
      </c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</row>
    <row r="22" ht="18" customHeight="1">
      <c r="A22" s="138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8">
    <mergeCell ref="A12:H12"/>
    <mergeCell ref="A4:H4"/>
    <mergeCell ref="A7:H7"/>
    <mergeCell ref="A20:H20"/>
    <mergeCell ref="A2:H2"/>
    <mergeCell ref="A14:H14"/>
    <mergeCell ref="A1:H1"/>
    <mergeCell ref="A22:H22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2026-06-23T12:53:44Z</dcterms:created>
  <dcterms:modified xmlns:dcterms="http://purl.org/dc/terms/" xmlns:xsi="http://www.w3.org/2001/XMLSchema-instance" xsi:type="dcterms:W3CDTF">2026-06-23T12:54:17Z</dcterms:modified>
</cp:coreProperties>
</file>