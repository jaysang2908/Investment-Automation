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" sheetId="2" state="visible" r:id="rId2"/>
    <sheet name="Balance Sheet" sheetId="3" state="visible" r:id="rId3"/>
    <sheet name="Cash Flow" sheetId="4" state="visible" r:id="rId4"/>
    <sheet name="Ratios &amp; FCF" sheetId="5" state="visible" r:id="rId5"/>
    <sheet name="Segments" sheetId="6" state="visible" r:id="rId6"/>
    <sheet name="WACC" sheetId="7" state="visible" r:id="rId7"/>
    <sheet name="DCF" sheetId="8" state="visible" r:id="rId8"/>
    <sheet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i val="1"/>
      <color rgb="00B71C1C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3" fontId="23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4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5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7" fillId="16" borderId="0" applyAlignment="1" pivotButton="0" quotePrefix="0" xfId="0">
      <alignment horizontal="left" vertical="center" wrapText="1" indent="1"/>
    </xf>
    <xf numFmtId="0" fontId="28" fillId="7" borderId="1" applyAlignment="1" pivotButton="0" quotePrefix="0" xfId="0">
      <alignment horizontal="left" vertical="center" indent="1"/>
    </xf>
    <xf numFmtId="0" fontId="28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9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9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left" vertical="center"/>
    </xf>
    <xf numFmtId="0" fontId="31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2" fillId="19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center" vertical="center"/>
    </xf>
    <xf numFmtId="0" fontId="34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left" vertical="center" indent="1"/>
    </xf>
    <xf numFmtId="0" fontId="26" fillId="4" borderId="0" applyAlignment="1" pivotButton="0" quotePrefix="0" xfId="0">
      <alignment horizontal="center" vertical="center"/>
    </xf>
    <xf numFmtId="0" fontId="36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C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168302</v>
      </c>
    </row>
    <row r="8">
      <c r="A8" s="3" t="inlineStr">
        <is>
          <t>Gross Profit ($mm)</t>
        </is>
      </c>
      <c r="B8" s="7" t="n">
        <v>74980</v>
      </c>
    </row>
    <row r="9">
      <c r="A9" s="3" t="inlineStr">
        <is>
          <t>EBITDA ($mm)</t>
        </is>
      </c>
      <c r="B9" s="7" t="n">
        <v>23098</v>
      </c>
    </row>
    <row r="10">
      <c r="A10" s="3" t="inlineStr">
        <is>
          <t>EBIT ($mm)</t>
        </is>
      </c>
      <c r="B10" s="7" t="n">
        <v>19828</v>
      </c>
    </row>
    <row r="11">
      <c r="A11" s="3" t="inlineStr">
        <is>
          <t>Net Income ($mm)</t>
        </is>
      </c>
      <c r="B11" s="7" t="n">
        <v>14268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79868</v>
      </c>
      <c r="C5" s="16" t="n">
        <v>100220</v>
      </c>
      <c r="D5" s="16" t="n">
        <v>155382</v>
      </c>
      <c r="E5" s="16" t="n">
        <v>170707</v>
      </c>
      <c r="F5" s="16" t="n">
        <v>168302</v>
      </c>
    </row>
    <row r="6">
      <c r="A6" s="17" t="inlineStr">
        <is>
          <t>(2)  Cost of Revenue (COGS)</t>
        </is>
      </c>
      <c r="B6" s="18" t="n">
        <v>4090</v>
      </c>
      <c r="C6" s="18" t="n">
        <v>30852</v>
      </c>
      <c r="D6" s="18" t="n">
        <v>87481</v>
      </c>
      <c r="E6" s="18" t="n">
        <v>99587</v>
      </c>
      <c r="F6" s="18" t="n">
        <v>93322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26740</v>
      </c>
      <c r="C9" s="18" t="n">
        <v>28305</v>
      </c>
      <c r="D9" s="18" t="n">
        <v>30712</v>
      </c>
      <c r="E9" s="18" t="n">
        <v>29745</v>
      </c>
      <c r="F9" s="18" t="n">
        <v>39431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48309</v>
      </c>
      <c r="C11" s="18" t="n">
        <v>50561</v>
      </c>
      <c r="D11" s="18" t="n">
        <v>54991</v>
      </c>
      <c r="E11" s="18" t="n">
        <v>54074</v>
      </c>
      <c r="F11" s="18" t="n">
        <v>55152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3964</v>
      </c>
      <c r="C14" s="18" t="n">
        <v>4262</v>
      </c>
      <c r="D14" s="18" t="n">
        <v>4560</v>
      </c>
      <c r="E14" s="18" t="n">
        <v>4311</v>
      </c>
      <c r="F14" s="18" t="n">
        <v>3270</v>
      </c>
    </row>
    <row r="15">
      <c r="A15" s="19" t="inlineStr">
        <is>
          <t>(8)  EBIT (Operating Income)</t>
        </is>
      </c>
      <c r="B15" s="24" t="n">
        <v>27469</v>
      </c>
      <c r="C15" s="24" t="n">
        <v>18807</v>
      </c>
      <c r="D15" s="24" t="n">
        <v>12910</v>
      </c>
      <c r="E15" s="24" t="n">
        <v>17046</v>
      </c>
      <c r="F15" s="24" t="n">
        <v>19828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7981</v>
      </c>
      <c r="C17" s="18" t="n">
        <v>25740</v>
      </c>
      <c r="D17" s="18" t="n">
        <v>78358</v>
      </c>
      <c r="E17" s="18" t="n">
        <v>89618</v>
      </c>
      <c r="F17" s="18" t="n">
        <v>83072</v>
      </c>
    </row>
    <row r="18">
      <c r="A18" s="21" t="inlineStr">
        <is>
          <t xml:space="preserve">     Interest Income</t>
        </is>
      </c>
      <c r="B18" s="18" t="n">
        <v>50475</v>
      </c>
      <c r="C18" s="18" t="n">
        <v>74408</v>
      </c>
      <c r="D18" s="18" t="n">
        <v>133258</v>
      </c>
      <c r="E18" s="18" t="n">
        <v>143713</v>
      </c>
      <c r="F18" s="18" t="n">
        <v>142864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27469</v>
      </c>
      <c r="C21" s="24" t="n">
        <v>18807</v>
      </c>
      <c r="D21" s="24" t="n">
        <v>12910</v>
      </c>
      <c r="E21" s="24" t="n">
        <v>17046</v>
      </c>
      <c r="F21" s="24" t="n">
        <v>19828</v>
      </c>
    </row>
    <row r="22">
      <c r="A22" s="17" t="inlineStr">
        <is>
          <t>(11) Income Tax Expense</t>
        </is>
      </c>
      <c r="B22" s="18" t="n">
        <v>5451</v>
      </c>
      <c r="C22" s="18" t="n">
        <v>3642</v>
      </c>
      <c r="D22" s="18" t="n">
        <v>3528</v>
      </c>
      <c r="E22" s="18" t="n">
        <v>4211</v>
      </c>
      <c r="F22" s="18" t="n">
        <v>5373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21952</v>
      </c>
      <c r="C24" s="24" t="n">
        <v>14845</v>
      </c>
      <c r="D24" s="24" t="n">
        <v>9228</v>
      </c>
      <c r="E24" s="24" t="n">
        <v>12682</v>
      </c>
      <c r="F24" s="24" t="n">
        <v>14268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79868</v>
      </c>
      <c r="C30" s="16" t="n">
        <v>100220</v>
      </c>
      <c r="D30" s="16" t="n">
        <v>155382</v>
      </c>
      <c r="E30" s="16" t="n">
        <v>170707</v>
      </c>
      <c r="F30" s="16" t="n">
        <v>168302</v>
      </c>
    </row>
    <row r="31">
      <c r="A31" s="17" t="inlineStr">
        <is>
          <t>Cost of Revenue</t>
        </is>
      </c>
      <c r="B31" s="18" t="n">
        <v>4090</v>
      </c>
      <c r="C31" s="18" t="n">
        <v>30852</v>
      </c>
      <c r="D31" s="18" t="n">
        <v>87481</v>
      </c>
      <c r="E31" s="18" t="n">
        <v>99587</v>
      </c>
      <c r="F31" s="18" t="n">
        <v>93322</v>
      </c>
    </row>
    <row r="32">
      <c r="A32" s="26" t="inlineStr">
        <is>
          <t>Gross Profit</t>
        </is>
      </c>
      <c r="B32" s="27" t="n">
        <v>75778</v>
      </c>
      <c r="C32" s="27" t="n">
        <v>69368</v>
      </c>
      <c r="D32" s="27" t="n">
        <v>67901</v>
      </c>
      <c r="E32" s="27" t="n">
        <v>71120</v>
      </c>
      <c r="F32" s="27" t="n">
        <v>74980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2325</v>
      </c>
    </row>
    <row r="35">
      <c r="A35" s="17" t="inlineStr">
        <is>
          <t>General &amp; Administrative</t>
        </is>
      </c>
      <c r="B35" s="18" t="n">
        <v>25250</v>
      </c>
      <c r="C35" s="18" t="n">
        <v>26749</v>
      </c>
      <c r="D35" s="18" t="n">
        <v>29319</v>
      </c>
      <c r="E35" s="18" t="n">
        <v>28632</v>
      </c>
      <c r="F35" s="18" t="n">
        <v>38334</v>
      </c>
    </row>
    <row r="36">
      <c r="A36" s="17" t="inlineStr">
        <is>
          <t>Selling &amp; Marketing</t>
        </is>
      </c>
      <c r="B36" s="18" t="n">
        <v>1490</v>
      </c>
      <c r="C36" s="18" t="n">
        <v>1556</v>
      </c>
      <c r="D36" s="18" t="n">
        <v>1393</v>
      </c>
      <c r="E36" s="18" t="n">
        <v>1113</v>
      </c>
      <c r="F36" s="18" t="n">
        <v>1097</v>
      </c>
    </row>
    <row r="37">
      <c r="A37" s="17" t="inlineStr">
        <is>
          <t>SG&amp;A (Combined)</t>
        </is>
      </c>
      <c r="B37" s="18" t="n">
        <v>26740</v>
      </c>
      <c r="C37" s="18" t="n">
        <v>28305</v>
      </c>
      <c r="D37" s="18" t="n">
        <v>30712</v>
      </c>
      <c r="E37" s="18" t="n">
        <v>29745</v>
      </c>
      <c r="F37" s="18" t="n">
        <v>39431</v>
      </c>
    </row>
    <row r="38">
      <c r="A38" s="17" t="inlineStr">
        <is>
          <t>Other Expenses</t>
        </is>
      </c>
      <c r="B38" s="18" t="n">
        <v>21569</v>
      </c>
      <c r="C38" s="18" t="n">
        <v>22256</v>
      </c>
      <c r="D38" s="18" t="n">
        <v>24279</v>
      </c>
      <c r="E38" s="18" t="n">
        <v>24329</v>
      </c>
      <c r="F38" s="18" t="n">
        <v>13396</v>
      </c>
    </row>
    <row r="39">
      <c r="A39" s="26" t="inlineStr">
        <is>
          <t>Total Operating Expenses</t>
        </is>
      </c>
      <c r="B39" s="27" t="n">
        <v>48309</v>
      </c>
      <c r="C39" s="27" t="n">
        <v>50561</v>
      </c>
      <c r="D39" s="27" t="n">
        <v>54991</v>
      </c>
      <c r="E39" s="27" t="n">
        <v>54074</v>
      </c>
      <c r="F39" s="27" t="n">
        <v>55152</v>
      </c>
    </row>
    <row r="40">
      <c r="A40" s="17" t="inlineStr">
        <is>
          <t>Cost &amp; Expenses (COGS + Opex)</t>
        </is>
      </c>
      <c r="B40" s="18" t="n">
        <v>52399</v>
      </c>
      <c r="C40" s="18" t="n">
        <v>81413</v>
      </c>
      <c r="D40" s="18" t="n">
        <v>142472</v>
      </c>
      <c r="E40" s="18" t="n">
        <v>153661</v>
      </c>
      <c r="F40" s="18" t="n">
        <v>148474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27469</v>
      </c>
      <c r="C42" s="16" t="n">
        <v>18807</v>
      </c>
      <c r="D42" s="16" t="n">
        <v>12910</v>
      </c>
      <c r="E42" s="16" t="n">
        <v>17046</v>
      </c>
      <c r="F42" s="16" t="n">
        <v>19828</v>
      </c>
    </row>
    <row r="43">
      <c r="A43" s="17" t="inlineStr">
        <is>
          <t>EBIT (FMP field)</t>
        </is>
      </c>
      <c r="B43" s="18" t="n">
        <v>27469</v>
      </c>
      <c r="C43" s="18" t="n">
        <v>18807</v>
      </c>
      <c r="D43" s="18" t="n">
        <v>12910</v>
      </c>
      <c r="E43" s="18" t="n">
        <v>17046</v>
      </c>
      <c r="F43" s="18" t="n">
        <v>19828</v>
      </c>
    </row>
    <row r="44">
      <c r="A44" s="26" t="inlineStr">
        <is>
          <t>EBITDA</t>
        </is>
      </c>
      <c r="B44" s="27" t="n">
        <v>31433</v>
      </c>
      <c r="C44" s="27" t="n">
        <v>23069</v>
      </c>
      <c r="D44" s="27" t="n">
        <v>17470</v>
      </c>
      <c r="E44" s="27" t="n">
        <v>21357</v>
      </c>
      <c r="F44" s="27" t="n">
        <v>23098</v>
      </c>
    </row>
    <row r="45">
      <c r="A45" s="17" t="inlineStr">
        <is>
          <t>Depreciation &amp; Amortisation</t>
        </is>
      </c>
      <c r="B45" s="18" t="n">
        <v>3964</v>
      </c>
      <c r="C45" s="18" t="n">
        <v>4262</v>
      </c>
      <c r="D45" s="18" t="n">
        <v>4560</v>
      </c>
      <c r="E45" s="18" t="n">
        <v>4311</v>
      </c>
      <c r="F45" s="18" t="n">
        <v>3270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50475</v>
      </c>
      <c r="C47" s="18" t="n">
        <v>74408</v>
      </c>
      <c r="D47" s="18" t="n">
        <v>133258</v>
      </c>
      <c r="E47" s="18" t="n">
        <v>143713</v>
      </c>
      <c r="F47" s="18" t="n">
        <v>142864</v>
      </c>
    </row>
    <row r="48">
      <c r="A48" s="17" t="inlineStr">
        <is>
          <t>Interest Expense</t>
        </is>
      </c>
      <c r="B48" s="18" t="n">
        <v>7981</v>
      </c>
      <c r="C48" s="18" t="n">
        <v>25740</v>
      </c>
      <c r="D48" s="18" t="n">
        <v>78358</v>
      </c>
      <c r="E48" s="18" t="n">
        <v>89618</v>
      </c>
      <c r="F48" s="18" t="n">
        <v>83072</v>
      </c>
    </row>
    <row r="49">
      <c r="A49" s="17" t="inlineStr">
        <is>
          <t>Net Interest Income</t>
        </is>
      </c>
      <c r="B49" s="18" t="n">
        <v>42494</v>
      </c>
      <c r="C49" s="18" t="n">
        <v>48668</v>
      </c>
      <c r="D49" s="18" t="n">
        <v>54900</v>
      </c>
      <c r="E49" s="18" t="n">
        <v>54095</v>
      </c>
      <c r="F49" s="18" t="n">
        <v>59792</v>
      </c>
    </row>
    <row r="50">
      <c r="A50" s="17" t="inlineStr">
        <is>
          <t>Non-Operating Income (ex-interest)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Total Other Income / (Expenses)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26" t="inlineStr">
        <is>
          <t>EBT / Income Before Tax</t>
        </is>
      </c>
      <c r="B52" s="27" t="n">
        <v>27469</v>
      </c>
      <c r="C52" s="27" t="n">
        <v>18807</v>
      </c>
      <c r="D52" s="27" t="n">
        <v>12910</v>
      </c>
      <c r="E52" s="27" t="n">
        <v>17046</v>
      </c>
      <c r="F52" s="27" t="n">
        <v>19828</v>
      </c>
    </row>
    <row r="53">
      <c r="A53" s="17" t="inlineStr">
        <is>
          <t>Income Tax Expense</t>
        </is>
      </c>
      <c r="B53" s="18" t="n">
        <v>5451</v>
      </c>
      <c r="C53" s="18" t="n">
        <v>3642</v>
      </c>
      <c r="D53" s="18" t="n">
        <v>3528</v>
      </c>
      <c r="E53" s="18" t="n">
        <v>4211</v>
      </c>
      <c r="F53" s="18" t="n">
        <v>5373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22018</v>
      </c>
      <c r="C55" s="18" t="n">
        <v>15165</v>
      </c>
      <c r="D55" s="18" t="n">
        <v>9382</v>
      </c>
      <c r="E55" s="18" t="n">
        <v>12835</v>
      </c>
      <c r="F55" s="18" t="n">
        <v>14455</v>
      </c>
    </row>
    <row r="56">
      <c r="A56" s="17" t="inlineStr">
        <is>
          <t>Net Income from Discontinued Ops</t>
        </is>
      </c>
      <c r="B56" s="18" t="n">
        <v>7</v>
      </c>
      <c r="C56" s="18" t="n">
        <v>-231</v>
      </c>
      <c r="D56" s="18" t="n">
        <v>-1</v>
      </c>
      <c r="E56" s="18" t="n">
        <v>-2</v>
      </c>
      <c r="F56" s="18" t="n">
        <v>-3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-38</v>
      </c>
    </row>
    <row r="58">
      <c r="A58" s="17" t="inlineStr">
        <is>
          <t>Net Income Deductions</t>
        </is>
      </c>
      <c r="B58" s="18" t="n">
        <v>-31</v>
      </c>
      <c r="C58" s="18" t="n">
        <v>-41</v>
      </c>
      <c r="D58" s="18" t="n">
        <v>-57</v>
      </c>
      <c r="E58" s="18" t="n">
        <v>-74</v>
      </c>
      <c r="F58" s="18" t="n">
        <v>-36</v>
      </c>
    </row>
    <row r="59">
      <c r="A59" s="26" t="inlineStr">
        <is>
          <t>Net Income</t>
        </is>
      </c>
      <c r="B59" s="27" t="n">
        <v>21952</v>
      </c>
      <c r="C59" s="27" t="n">
        <v>14845</v>
      </c>
      <c r="D59" s="27" t="n">
        <v>9228</v>
      </c>
      <c r="E59" s="27" t="n">
        <v>12682</v>
      </c>
      <c r="F59" s="27" t="n">
        <v>14268</v>
      </c>
    </row>
    <row r="60">
      <c r="A60" s="15" t="inlineStr">
        <is>
          <t>Bottom Line Net Income</t>
        </is>
      </c>
      <c r="B60" s="16" t="n">
        <v>20789</v>
      </c>
      <c r="C60" s="16" t="n">
        <v>13741</v>
      </c>
      <c r="D60" s="16" t="n">
        <v>7907</v>
      </c>
      <c r="E60" s="16" t="n">
        <v>11532</v>
      </c>
      <c r="F60" s="16" t="n">
        <v>13097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10.21</v>
      </c>
      <c r="C62" s="18" t="n">
        <v>7.04</v>
      </c>
      <c r="D62" s="18" t="n">
        <v>4.07</v>
      </c>
      <c r="E62" s="18" t="n">
        <v>6.03</v>
      </c>
      <c r="F62" s="18" t="n">
        <v>7.23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2033</v>
      </c>
      <c r="C64" s="18" t="n">
        <v>1946.7</v>
      </c>
      <c r="D64" s="18" t="n">
        <v>1930.1</v>
      </c>
      <c r="E64" s="18" t="n">
        <v>1901.4</v>
      </c>
      <c r="F64" s="18" t="n">
        <v>1820.3</v>
      </c>
    </row>
    <row r="65">
      <c r="A65" s="17" t="inlineStr">
        <is>
          <t>Shares Outstanding — Diluted (mm)</t>
        </is>
      </c>
      <c r="B65" s="18" t="n">
        <v>2049.4</v>
      </c>
      <c r="C65" s="18" t="n">
        <v>1964.3</v>
      </c>
      <c r="D65" s="18" t="n">
        <v>1955.8</v>
      </c>
      <c r="E65" s="18" t="n">
        <v>1901.4</v>
      </c>
      <c r="F65" s="18" t="n">
        <v>1862.6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262033</v>
      </c>
      <c r="C5" s="18" t="n">
        <v>342025</v>
      </c>
      <c r="D5" s="18" t="n">
        <v>260932</v>
      </c>
      <c r="E5" s="18" t="n">
        <v>276532</v>
      </c>
      <c r="F5" s="18" t="n">
        <v>349579</v>
      </c>
    </row>
    <row r="6">
      <c r="A6" s="17" t="inlineStr">
        <is>
          <t>(2)  Receivables</t>
        </is>
      </c>
      <c r="B6" s="18" t="n">
        <v>54795</v>
      </c>
      <c r="C6" s="18" t="n">
        <v>54546</v>
      </c>
      <c r="D6" s="18" t="n">
        <v>54190</v>
      </c>
      <c r="E6" s="18" t="n">
        <v>51116</v>
      </c>
      <c r="F6" s="18" t="n">
        <v>62679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596124</v>
      </c>
      <c r="C9" s="24" t="n">
        <v>635317</v>
      </c>
      <c r="D9" s="24" t="n">
        <v>560190</v>
      </c>
      <c r="E9" s="24" t="n">
        <v>549135</v>
      </c>
      <c r="F9" s="24" t="n">
        <v>738120</v>
      </c>
    </row>
    <row r="10">
      <c r="A10" s="17" t="inlineStr">
        <is>
          <t>(6)  PP&amp;E (Net)</t>
        </is>
      </c>
      <c r="B10" s="18" t="n">
        <v>24328</v>
      </c>
      <c r="C10" s="18" t="n">
        <v>26253</v>
      </c>
      <c r="D10" s="18" t="n">
        <v>28747</v>
      </c>
      <c r="E10" s="18" t="n">
        <v>30192</v>
      </c>
      <c r="F10" s="18" t="n">
        <v>33339</v>
      </c>
    </row>
    <row r="11">
      <c r="A11" s="17" t="inlineStr">
        <is>
          <t>(7)  Goodwill</t>
        </is>
      </c>
      <c r="B11" s="18" t="n">
        <v>21299</v>
      </c>
      <c r="C11" s="18" t="n">
        <v>19691</v>
      </c>
      <c r="D11" s="18" t="n">
        <v>20098</v>
      </c>
      <c r="E11" s="18" t="n">
        <v>19300</v>
      </c>
      <c r="F11" s="18" t="n">
        <v>19098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1695289</v>
      </c>
      <c r="C14" s="24" t="n">
        <v>1781359</v>
      </c>
      <c r="D14" s="24" t="n">
        <v>1851644</v>
      </c>
      <c r="E14" s="24" t="n">
        <v>1803810</v>
      </c>
      <c r="F14" s="24" t="n">
        <v>1919082</v>
      </c>
    </row>
    <row r="15">
      <c r="A15" s="19" t="inlineStr">
        <is>
          <t>(11) Total Assets</t>
        </is>
      </c>
      <c r="B15" s="24" t="n">
        <v>2291413</v>
      </c>
      <c r="C15" s="24" t="n">
        <v>2416676</v>
      </c>
      <c r="D15" s="24" t="n">
        <v>2411834</v>
      </c>
      <c r="E15" s="24" t="n">
        <v>2352945</v>
      </c>
      <c r="F15" s="24" t="n">
        <v>2657202</v>
      </c>
    </row>
    <row r="16" ht="6" customHeight="1"/>
    <row r="17">
      <c r="A17" s="17" t="inlineStr">
        <is>
          <t>(12) Accounts Payable</t>
        </is>
      </c>
      <c r="B17" s="18" t="n">
        <v>61430</v>
      </c>
      <c r="C17" s="18" t="n">
        <v>69218</v>
      </c>
      <c r="D17" s="18" t="n">
        <v>63539</v>
      </c>
      <c r="E17" s="18" t="n">
        <v>66601</v>
      </c>
      <c r="F17" s="18" t="n">
        <v>74836</v>
      </c>
    </row>
    <row r="18">
      <c r="A18" s="17" t="inlineStr">
        <is>
          <t>(13) Short-Term Borrowings</t>
        </is>
      </c>
      <c r="B18" s="18" t="n">
        <v>219258</v>
      </c>
      <c r="C18" s="18" t="n">
        <v>249540</v>
      </c>
      <c r="D18" s="18" t="n">
        <v>315564</v>
      </c>
      <c r="E18" s="18" t="n">
        <v>303260</v>
      </c>
      <c r="F18" s="18" t="n">
        <v>399976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1759447</v>
      </c>
      <c r="C21" s="24" t="n">
        <v>1855359</v>
      </c>
      <c r="D21" s="24" t="n">
        <v>1843129</v>
      </c>
      <c r="E21" s="24" t="n">
        <v>1788165</v>
      </c>
      <c r="F21" s="24" t="n">
        <v>1530287</v>
      </c>
    </row>
    <row r="22">
      <c r="A22" s="17" t="inlineStr">
        <is>
          <t>(17) Long-Term Debt</t>
        </is>
      </c>
      <c r="B22" s="18" t="n">
        <v>254374</v>
      </c>
      <c r="C22" s="18" t="n">
        <v>271606</v>
      </c>
      <c r="D22" s="18" t="n">
        <v>286619</v>
      </c>
      <c r="E22" s="18" t="n">
        <v>287300</v>
      </c>
      <c r="F22" s="18" t="n">
        <v>315827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2088741</v>
      </c>
      <c r="C25" s="24" t="n">
        <v>2214838</v>
      </c>
      <c r="D25" s="24" t="n">
        <v>2205583</v>
      </c>
      <c r="E25" s="24" t="n">
        <v>2143579</v>
      </c>
      <c r="F25" s="24" t="n">
        <v>2443380</v>
      </c>
    </row>
    <row r="26" ht="6" customHeight="1"/>
    <row r="27">
      <c r="A27" s="17" t="inlineStr">
        <is>
          <t>(21) Common Stock &amp; APIC</t>
        </is>
      </c>
      <c r="B27" s="18" t="n">
        <v>31</v>
      </c>
      <c r="C27" s="18" t="n">
        <v>31</v>
      </c>
      <c r="D27" s="18" t="n">
        <v>31</v>
      </c>
      <c r="E27" s="18" t="n">
        <v>31</v>
      </c>
      <c r="F27" s="18" t="n">
        <v>31</v>
      </c>
    </row>
    <row r="28">
      <c r="A28" s="17" t="inlineStr">
        <is>
          <t>(22) Retained Earnings</t>
        </is>
      </c>
      <c r="B28" s="18" t="n">
        <v>184948</v>
      </c>
      <c r="C28" s="18" t="n">
        <v>194734</v>
      </c>
      <c r="D28" s="18" t="n">
        <v>198905</v>
      </c>
      <c r="E28" s="18" t="n">
        <v>206294</v>
      </c>
      <c r="F28" s="18" t="n">
        <v>215128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201972</v>
      </c>
      <c r="C30" s="24" t="n">
        <v>201189</v>
      </c>
      <c r="D30" s="24" t="n">
        <v>205453</v>
      </c>
      <c r="E30" s="24" t="n">
        <v>208598</v>
      </c>
      <c r="F30" s="24" t="n">
        <v>212291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262033</v>
      </c>
      <c r="C36" s="18" t="n">
        <v>342025</v>
      </c>
      <c r="D36" s="18" t="n">
        <v>260932</v>
      </c>
      <c r="E36" s="18" t="n">
        <v>276532</v>
      </c>
      <c r="F36" s="18" t="n">
        <v>349579</v>
      </c>
    </row>
    <row r="37">
      <c r="A37" s="17" t="inlineStr">
        <is>
          <t>Short-Term Investments</t>
        </is>
      </c>
      <c r="B37" s="18" t="n">
        <v>279296</v>
      </c>
      <c r="C37" s="18" t="n">
        <v>238746</v>
      </c>
      <c r="D37" s="18" t="n">
        <v>245068</v>
      </c>
      <c r="E37" s="18" t="n">
        <v>221487</v>
      </c>
      <c r="F37" s="18" t="n">
        <v>325862</v>
      </c>
    </row>
    <row r="38">
      <c r="A38" s="28" t="inlineStr">
        <is>
          <t>Cash &amp; Short-Term Investments</t>
        </is>
      </c>
      <c r="B38" s="29" t="n">
        <v>541329</v>
      </c>
      <c r="C38" s="29" t="n">
        <v>580771</v>
      </c>
      <c r="D38" s="29" t="n">
        <v>506000</v>
      </c>
      <c r="E38" s="29" t="n">
        <v>498019</v>
      </c>
      <c r="F38" s="29" t="n">
        <v>675441</v>
      </c>
    </row>
    <row r="39">
      <c r="A39" s="17" t="inlineStr">
        <is>
          <t>Accounts Receivable (Trade)</t>
        </is>
      </c>
      <c r="B39" s="18" t="n">
        <v>54340</v>
      </c>
      <c r="C39" s="18" t="n">
        <v>54192</v>
      </c>
      <c r="D39" s="18" t="n">
        <v>53915</v>
      </c>
      <c r="E39" s="18" t="n">
        <v>50841</v>
      </c>
      <c r="F39" s="18" t="n">
        <v>62679</v>
      </c>
    </row>
    <row r="40">
      <c r="A40" s="17" t="inlineStr">
        <is>
          <t>Other Receivables</t>
        </is>
      </c>
      <c r="B40" s="18" t="n">
        <v>455</v>
      </c>
      <c r="C40" s="18" t="n">
        <v>354</v>
      </c>
      <c r="D40" s="18" t="n">
        <v>275</v>
      </c>
      <c r="E40" s="18" t="n">
        <v>275</v>
      </c>
      <c r="F40" s="18" t="n">
        <v>0</v>
      </c>
    </row>
    <row r="41">
      <c r="A41" s="28" t="inlineStr">
        <is>
          <t>Net Receivables (Total)</t>
        </is>
      </c>
      <c r="B41" s="29" t="n">
        <v>54795</v>
      </c>
      <c r="C41" s="29" t="n">
        <v>54546</v>
      </c>
      <c r="D41" s="29" t="n">
        <v>54190</v>
      </c>
      <c r="E41" s="29" t="n">
        <v>51116</v>
      </c>
      <c r="F41" s="29" t="n">
        <v>62679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</row>
    <row r="45">
      <c r="A45" s="26" t="inlineStr">
        <is>
          <t>Total Current Assets</t>
        </is>
      </c>
      <c r="B45" s="27" t="n">
        <v>596124</v>
      </c>
      <c r="C45" s="27" t="n">
        <v>635317</v>
      </c>
      <c r="D45" s="27" t="n">
        <v>560190</v>
      </c>
      <c r="E45" s="27" t="n">
        <v>549135</v>
      </c>
      <c r="F45" s="27" t="n">
        <v>738120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24328</v>
      </c>
      <c r="C47" s="18" t="n">
        <v>26253</v>
      </c>
      <c r="D47" s="18" t="n">
        <v>28747</v>
      </c>
      <c r="E47" s="18" t="n">
        <v>30192</v>
      </c>
      <c r="F47" s="18" t="n">
        <v>33339</v>
      </c>
    </row>
    <row r="48">
      <c r="A48" s="17" t="inlineStr">
        <is>
          <t>Goodwill</t>
        </is>
      </c>
      <c r="B48" s="18" t="n">
        <v>21299</v>
      </c>
      <c r="C48" s="18" t="n">
        <v>19691</v>
      </c>
      <c r="D48" s="18" t="n">
        <v>20098</v>
      </c>
      <c r="E48" s="18" t="n">
        <v>19300</v>
      </c>
      <c r="F48" s="18" t="n">
        <v>19098</v>
      </c>
    </row>
    <row r="49">
      <c r="A49" s="17" t="inlineStr">
        <is>
          <t>Intangible Assets</t>
        </is>
      </c>
      <c r="B49" s="18" t="n">
        <v>4495</v>
      </c>
      <c r="C49" s="18" t="n">
        <v>4428</v>
      </c>
      <c r="D49" s="18" t="n">
        <v>4421</v>
      </c>
      <c r="E49" s="18" t="n">
        <v>4494</v>
      </c>
      <c r="F49" s="18" t="n">
        <v>4284</v>
      </c>
    </row>
    <row r="50">
      <c r="A50" s="17" t="inlineStr">
        <is>
          <t>Long-Term Investments</t>
        </is>
      </c>
      <c r="B50" s="18" t="n">
        <v>873697</v>
      </c>
      <c r="C50" s="18" t="n">
        <v>916796</v>
      </c>
      <c r="D50" s="18" t="n">
        <v>933184</v>
      </c>
      <c r="E50" s="18" t="n">
        <v>925420</v>
      </c>
      <c r="F50" s="18" t="n">
        <v>444229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1152993</v>
      </c>
      <c r="C52" s="18" t="n">
        <v>1155542</v>
      </c>
      <c r="D52" s="18" t="n">
        <v>1178252</v>
      </c>
      <c r="E52" s="18" t="n">
        <v>1146907</v>
      </c>
      <c r="F52" s="18" t="n">
        <v>770091</v>
      </c>
    </row>
    <row r="53">
      <c r="A53" s="17" t="inlineStr">
        <is>
          <t>Other Non-Current Assets</t>
        </is>
      </c>
      <c r="B53" s="18" t="n">
        <v>771470</v>
      </c>
      <c r="C53" s="18" t="n">
        <v>814191</v>
      </c>
      <c r="D53" s="18" t="n">
        <v>865194</v>
      </c>
      <c r="E53" s="18" t="n">
        <v>824404</v>
      </c>
      <c r="F53" s="18" t="n">
        <v>1418132</v>
      </c>
    </row>
    <row r="54">
      <c r="A54" s="26" t="inlineStr">
        <is>
          <t>Total Non-Current Assets</t>
        </is>
      </c>
      <c r="B54" s="27" t="n">
        <v>1695289</v>
      </c>
      <c r="C54" s="27" t="n">
        <v>1781359</v>
      </c>
      <c r="D54" s="27" t="n">
        <v>1851644</v>
      </c>
      <c r="E54" s="27" t="n">
        <v>1803810</v>
      </c>
      <c r="F54" s="27" t="n">
        <v>1919082</v>
      </c>
    </row>
    <row r="55">
      <c r="A55" s="13" t="inlineStr">
        <is>
          <t>TOTAL ASSETS</t>
        </is>
      </c>
      <c r="B55" s="30" t="n">
        <v>2291413</v>
      </c>
      <c r="C55" s="30" t="n">
        <v>2416676</v>
      </c>
      <c r="D55" s="30" t="n">
        <v>2411834</v>
      </c>
      <c r="E55" s="30" t="n">
        <v>2352945</v>
      </c>
      <c r="F55" s="30" t="n">
        <v>2657202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61430</v>
      </c>
      <c r="C57" s="18" t="n">
        <v>69218</v>
      </c>
      <c r="D57" s="18" t="n">
        <v>63539</v>
      </c>
      <c r="E57" s="18" t="n">
        <v>66601</v>
      </c>
      <c r="F57" s="18" t="n">
        <v>74836</v>
      </c>
    </row>
    <row r="58">
      <c r="A58" s="17" t="inlineStr">
        <is>
          <t>Short-Term Debt</t>
        </is>
      </c>
      <c r="B58" s="18" t="n">
        <v>219258</v>
      </c>
      <c r="C58" s="18" t="n">
        <v>249540</v>
      </c>
      <c r="D58" s="18" t="n">
        <v>315564</v>
      </c>
      <c r="E58" s="18" t="n">
        <v>303260</v>
      </c>
      <c r="F58" s="18" t="n">
        <v>399976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1478759</v>
      </c>
      <c r="C61" s="18" t="n">
        <v>1536601</v>
      </c>
      <c r="D61" s="18" t="n">
        <v>1464026</v>
      </c>
      <c r="E61" s="18" t="n">
        <v>1418304</v>
      </c>
      <c r="F61" s="18" t="n">
        <v>1055475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1759447</v>
      </c>
      <c r="C63" s="27" t="n">
        <v>1855359</v>
      </c>
      <c r="D63" s="27" t="n">
        <v>1843129</v>
      </c>
      <c r="E63" s="27" t="n">
        <v>1788165</v>
      </c>
      <c r="F63" s="27" t="n">
        <v>1530287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254374</v>
      </c>
      <c r="C65" s="18" t="n">
        <v>271606</v>
      </c>
      <c r="D65" s="18" t="n">
        <v>286619</v>
      </c>
      <c r="E65" s="18" t="n">
        <v>287300</v>
      </c>
      <c r="F65" s="18" t="n">
        <v>315827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74920</v>
      </c>
      <c r="C69" s="18" t="n">
        <v>87873</v>
      </c>
      <c r="D69" s="18" t="n">
        <v>75835</v>
      </c>
      <c r="E69" s="18" t="n">
        <v>68114</v>
      </c>
      <c r="F69" s="18" t="n">
        <v>0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2088741</v>
      </c>
      <c r="C71" s="30" t="n">
        <v>2214838</v>
      </c>
      <c r="D71" s="30" t="n">
        <v>2205583</v>
      </c>
      <c r="E71" s="30" t="n">
        <v>2143579</v>
      </c>
      <c r="F71" s="30" t="n">
        <v>2443380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31</v>
      </c>
      <c r="C73" s="18" t="n">
        <v>31</v>
      </c>
      <c r="D73" s="18" t="n">
        <v>31</v>
      </c>
      <c r="E73" s="18" t="n">
        <v>31</v>
      </c>
      <c r="F73" s="18" t="n">
        <v>31</v>
      </c>
    </row>
    <row r="74">
      <c r="A74" s="17" t="inlineStr">
        <is>
          <t>Retained Earnings</t>
        </is>
      </c>
      <c r="B74" s="18" t="n">
        <v>184948</v>
      </c>
      <c r="C74" s="18" t="n">
        <v>194734</v>
      </c>
      <c r="D74" s="18" t="n">
        <v>198905</v>
      </c>
      <c r="E74" s="18" t="n">
        <v>206294</v>
      </c>
      <c r="F74" s="18" t="n">
        <v>215128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700</v>
      </c>
      <c r="C77" s="18" t="n">
        <v>649</v>
      </c>
      <c r="D77" s="18" t="n">
        <v>798</v>
      </c>
      <c r="E77" s="18" t="n">
        <v>768</v>
      </c>
      <c r="F77" s="18" t="n">
        <v>1531</v>
      </c>
    </row>
    <row r="78">
      <c r="A78" s="26" t="inlineStr">
        <is>
          <t>Total Equity (inc. Minority)</t>
        </is>
      </c>
      <c r="B78" s="27" t="n">
        <v>202672</v>
      </c>
      <c r="C78" s="27" t="n">
        <v>201838</v>
      </c>
      <c r="D78" s="27" t="n">
        <v>206251</v>
      </c>
      <c r="E78" s="27" t="n">
        <v>209366</v>
      </c>
      <c r="F78" s="27" t="n">
        <v>213822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47090</v>
      </c>
      <c r="C5" s="24" t="n">
        <v>25069</v>
      </c>
      <c r="D5" s="24" t="n">
        <v>-73416</v>
      </c>
      <c r="E5" s="24" t="n">
        <v>-19669</v>
      </c>
      <c r="F5" s="24" t="n">
        <v>-67632</v>
      </c>
    </row>
    <row r="6">
      <c r="A6" s="17" t="inlineStr">
        <is>
          <t>(2)  Capital Expenditures</t>
        </is>
      </c>
      <c r="B6" s="18" t="n">
        <v>-4119</v>
      </c>
      <c r="C6" s="18" t="n">
        <v>-5632</v>
      </c>
      <c r="D6" s="18" t="n">
        <v>-6583</v>
      </c>
      <c r="E6" s="18" t="n">
        <v>-6500</v>
      </c>
      <c r="F6" s="18" t="n">
        <v>-6520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-5833</v>
      </c>
      <c r="C9" s="18" t="n">
        <v>66786</v>
      </c>
      <c r="D9" s="18" t="n">
        <v>-8779</v>
      </c>
      <c r="E9" s="18" t="n">
        <v>17166</v>
      </c>
      <c r="F9" s="18" t="n">
        <v>22081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3300</v>
      </c>
      <c r="C11" s="18" t="n">
        <v>0</v>
      </c>
      <c r="D11" s="18" t="n">
        <v>2739</v>
      </c>
      <c r="E11" s="18" t="n">
        <v>5282</v>
      </c>
      <c r="F11" s="18" t="n">
        <v>7186</v>
      </c>
    </row>
    <row r="12">
      <c r="A12" s="17" t="inlineStr">
        <is>
          <t>(7)  Dividends Paid</t>
        </is>
      </c>
      <c r="B12" s="18" t="n">
        <v>-5198</v>
      </c>
      <c r="C12" s="18" t="n">
        <v>-5003</v>
      </c>
      <c r="D12" s="18" t="n">
        <v>-5212</v>
      </c>
      <c r="E12" s="18" t="n">
        <v>-5199</v>
      </c>
      <c r="F12" s="18" t="n">
        <v>-5372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42971</v>
      </c>
      <c r="C15" s="24" t="n">
        <v>19437</v>
      </c>
      <c r="D15" s="24" t="n">
        <v>-79999</v>
      </c>
      <c r="E15" s="24" t="n">
        <v>-26169</v>
      </c>
      <c r="F15" s="24" t="n">
        <v>-74152</v>
      </c>
    </row>
    <row r="16">
      <c r="A16" s="15" t="inlineStr">
        <is>
          <t xml:space="preserve">     Net Change in Cash</t>
        </is>
      </c>
      <c r="B16" s="16" t="n">
        <v>-47582</v>
      </c>
      <c r="C16" s="16" t="n">
        <v>79992</v>
      </c>
      <c r="D16" s="16" t="n">
        <v>-81093</v>
      </c>
      <c r="E16" s="16" t="n">
        <v>15600</v>
      </c>
      <c r="F16" s="16" t="n">
        <v>73047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21945</v>
      </c>
      <c r="C21" s="18" t="n">
        <v>15076</v>
      </c>
      <c r="D21" s="18" t="n">
        <v>9229</v>
      </c>
      <c r="E21" s="18" t="n">
        <v>12684</v>
      </c>
      <c r="F21" s="18" t="n">
        <v>14309</v>
      </c>
    </row>
    <row r="22">
      <c r="A22" s="17" t="inlineStr">
        <is>
          <t>Depreciation &amp; Amortisation</t>
        </is>
      </c>
      <c r="B22" s="18" t="n">
        <v>3964</v>
      </c>
      <c r="C22" s="18" t="n">
        <v>4262</v>
      </c>
      <c r="D22" s="18" t="n">
        <v>4560</v>
      </c>
      <c r="E22" s="18" t="n">
        <v>4311</v>
      </c>
      <c r="F22" s="18" t="n">
        <v>4373</v>
      </c>
    </row>
    <row r="23">
      <c r="A23" s="17" t="inlineStr">
        <is>
          <t>Deferred Income Tax</t>
        </is>
      </c>
      <c r="B23" s="18" t="n">
        <v>1413</v>
      </c>
      <c r="C23" s="18" t="n">
        <v>-1141</v>
      </c>
      <c r="D23" s="18" t="n">
        <v>-2416</v>
      </c>
      <c r="E23" s="18" t="n">
        <v>-1896</v>
      </c>
      <c r="F23" s="18" t="n">
        <v>452</v>
      </c>
    </row>
    <row r="24">
      <c r="A24" s="17" t="inlineStr">
        <is>
          <t>Stock-Based Compensation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</row>
    <row r="25">
      <c r="A25" s="17" t="inlineStr">
        <is>
          <t>Change in Working Capital</t>
        </is>
      </c>
      <c r="B25" s="18" t="n">
        <v>38864</v>
      </c>
      <c r="C25" s="18" t="n">
        <v>19553</v>
      </c>
      <c r="D25" s="18" t="n">
        <v>-99387</v>
      </c>
      <c r="E25" s="18" t="n">
        <v>-59031</v>
      </c>
      <c r="F25" s="18" t="n">
        <v>-84872</v>
      </c>
    </row>
    <row r="26">
      <c r="A26" s="21" t="inlineStr">
        <is>
          <t xml:space="preserve">  — Accounts Receivable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</row>
    <row r="29">
      <c r="A29" s="21" t="inlineStr">
        <is>
          <t xml:space="preserve">  — Other Working Capital</t>
        </is>
      </c>
      <c r="B29" s="18" t="n">
        <v>38864</v>
      </c>
      <c r="C29" s="18" t="n">
        <v>19553</v>
      </c>
      <c r="D29" s="18" t="n">
        <v>-99387</v>
      </c>
      <c r="E29" s="18" t="n">
        <v>-59031</v>
      </c>
      <c r="F29" s="18" t="n">
        <v>-84872</v>
      </c>
    </row>
    <row r="30">
      <c r="A30" s="17" t="inlineStr">
        <is>
          <t>Other Non-Cash Items</t>
        </is>
      </c>
      <c r="B30" s="18" t="n">
        <v>-19096</v>
      </c>
      <c r="C30" s="18" t="n">
        <v>-12681</v>
      </c>
      <c r="D30" s="18" t="n">
        <v>14598</v>
      </c>
      <c r="E30" s="18" t="n">
        <v>24263</v>
      </c>
      <c r="F30" s="18" t="n">
        <v>-1894</v>
      </c>
    </row>
    <row r="31">
      <c r="A31" s="26" t="inlineStr">
        <is>
          <t>Net Cash from Operations (CFO)</t>
        </is>
      </c>
      <c r="B31" s="27" t="n">
        <v>47090</v>
      </c>
      <c r="C31" s="27" t="n">
        <v>25069</v>
      </c>
      <c r="D31" s="27" t="n">
        <v>-73416</v>
      </c>
      <c r="E31" s="27" t="n">
        <v>-19669</v>
      </c>
      <c r="F31" s="27" t="n">
        <v>-67632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-4119</v>
      </c>
      <c r="C33" s="18" t="n">
        <v>-5632</v>
      </c>
      <c r="D33" s="18" t="n">
        <v>-6583</v>
      </c>
      <c r="E33" s="18" t="n">
        <v>-6500</v>
      </c>
      <c r="F33" s="18" t="n">
        <v>-6520</v>
      </c>
    </row>
    <row r="34">
      <c r="A34" s="21" t="inlineStr">
        <is>
          <t xml:space="preserve">  (Alt: Invest. in PP&amp;E)</t>
        </is>
      </c>
      <c r="B34" s="18" t="n">
        <v>-4119</v>
      </c>
      <c r="C34" s="18" t="n">
        <v>-5632</v>
      </c>
      <c r="D34" s="18" t="n">
        <v>-6583</v>
      </c>
      <c r="E34" s="18" t="n">
        <v>-6500</v>
      </c>
      <c r="F34" s="18" t="n">
        <v>-6520</v>
      </c>
    </row>
    <row r="35">
      <c r="A35" s="17" t="inlineStr">
        <is>
          <t>Acquisitions (Net)</t>
        </is>
      </c>
      <c r="B35" s="18" t="n">
        <v>190</v>
      </c>
      <c r="C35" s="18" t="n">
        <v>5741</v>
      </c>
      <c r="D35" s="18" t="n">
        <v>-1393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-391734</v>
      </c>
      <c r="C36" s="18" t="n">
        <v>-261650</v>
      </c>
      <c r="D36" s="18" t="n">
        <v>-236512</v>
      </c>
      <c r="E36" s="18" t="n">
        <v>-267424</v>
      </c>
      <c r="F36" s="18" t="n">
        <v>-281521</v>
      </c>
    </row>
    <row r="37">
      <c r="A37" s="17" t="inlineStr">
        <is>
          <t>Sales / Maturities of Investments</t>
        </is>
      </c>
      <c r="B37" s="18" t="n">
        <v>271081</v>
      </c>
      <c r="C37" s="18" t="n">
        <v>232809</v>
      </c>
      <c r="D37" s="18" t="n">
        <v>255161</v>
      </c>
      <c r="E37" s="18" t="n">
        <v>301641</v>
      </c>
      <c r="F37" s="18" t="n">
        <v>330241</v>
      </c>
    </row>
    <row r="38">
      <c r="A38" s="17" t="inlineStr">
        <is>
          <t>Other Investing Activities</t>
        </is>
      </c>
      <c r="B38" s="18" t="n">
        <v>13836</v>
      </c>
      <c r="C38" s="18" t="n">
        <v>-50723</v>
      </c>
      <c r="D38" s="18" t="n">
        <v>-19132</v>
      </c>
      <c r="E38" s="18" t="n">
        <v>58533</v>
      </c>
      <c r="F38" s="18" t="n">
        <v>-150482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-5833</v>
      </c>
      <c r="C41" s="18" t="n">
        <v>66786</v>
      </c>
      <c r="D41" s="18" t="n">
        <v>-8779</v>
      </c>
      <c r="E41" s="18" t="n">
        <v>17166</v>
      </c>
      <c r="F41" s="18" t="n">
        <v>22081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3300</v>
      </c>
      <c r="C43" s="18" t="n">
        <v>0</v>
      </c>
      <c r="D43" s="18" t="n">
        <v>2739</v>
      </c>
      <c r="E43" s="18" t="n">
        <v>5282</v>
      </c>
      <c r="F43" s="18" t="n">
        <v>7186</v>
      </c>
    </row>
    <row r="44">
      <c r="A44" s="17" t="inlineStr">
        <is>
          <t>Common Stock Repurchased (Buybacks)</t>
        </is>
      </c>
      <c r="B44" s="18" t="n">
        <v>-11386</v>
      </c>
      <c r="C44" s="18" t="n">
        <v>-3250</v>
      </c>
      <c r="D44" s="18" t="n">
        <v>-6122</v>
      </c>
      <c r="E44" s="18" t="n">
        <v>-7524</v>
      </c>
      <c r="F44" s="18" t="n">
        <v>-18250</v>
      </c>
    </row>
    <row r="45">
      <c r="A45" s="17" t="inlineStr">
        <is>
          <t>Dividends Paid</t>
        </is>
      </c>
      <c r="B45" s="18" t="n">
        <v>-5198</v>
      </c>
      <c r="C45" s="18" t="n">
        <v>-5003</v>
      </c>
      <c r="D45" s="18" t="n">
        <v>-5212</v>
      </c>
      <c r="E45" s="18" t="n">
        <v>-5199</v>
      </c>
      <c r="F45" s="18" t="n">
        <v>-5372</v>
      </c>
    </row>
    <row r="46">
      <c r="A46" s="17" t="inlineStr">
        <is>
          <t>Other Financing Activities</t>
        </is>
      </c>
      <c r="B46" s="18" t="n">
        <v>36389</v>
      </c>
      <c r="C46" s="18" t="n">
        <v>79230</v>
      </c>
      <c r="D46" s="18" t="n">
        <v>18061</v>
      </c>
      <c r="E46" s="18" t="n">
        <v>-48029</v>
      </c>
      <c r="F46" s="18" t="n">
        <v>232386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-1198</v>
      </c>
      <c r="C49" s="18" t="n">
        <v>-3385</v>
      </c>
      <c r="D49" s="18" t="n">
        <v>95</v>
      </c>
      <c r="E49" s="18" t="n">
        <v>-12677</v>
      </c>
      <c r="F49" s="18" t="n">
        <v>10930</v>
      </c>
    </row>
    <row r="50">
      <c r="A50" s="15" t="inlineStr">
        <is>
          <t>Net Change in Cash</t>
        </is>
      </c>
      <c r="B50" s="16" t="n">
        <v>-47582</v>
      </c>
      <c r="C50" s="16" t="n">
        <v>79992</v>
      </c>
      <c r="D50" s="16" t="n">
        <v>-81093</v>
      </c>
      <c r="E50" s="16" t="n">
        <v>15600</v>
      </c>
      <c r="F50" s="16" t="n">
        <v>73047</v>
      </c>
    </row>
    <row r="51">
      <c r="A51" s="17" t="inlineStr">
        <is>
          <t>Cash at Beginning of Period</t>
        </is>
      </c>
      <c r="B51" s="18" t="n">
        <v>309615</v>
      </c>
      <c r="C51" s="18" t="n">
        <v>262033</v>
      </c>
      <c r="D51" s="18" t="n">
        <v>342025</v>
      </c>
      <c r="E51" s="18" t="n">
        <v>260932</v>
      </c>
      <c r="F51" s="18" t="n">
        <v>276532</v>
      </c>
    </row>
    <row r="52">
      <c r="A52" s="26" t="inlineStr">
        <is>
          <t>Cash at End of Period</t>
        </is>
      </c>
      <c r="B52" s="27" t="n">
        <v>262033</v>
      </c>
      <c r="C52" s="27" t="n">
        <v>342025</v>
      </c>
      <c r="D52" s="27" t="n">
        <v>260932</v>
      </c>
      <c r="E52" s="27" t="n">
        <v>276532</v>
      </c>
      <c r="F52" s="27" t="n">
        <v>349579</v>
      </c>
    </row>
    <row r="53">
      <c r="A53" s="26" t="inlineStr">
        <is>
          <t>Free Cash Flow</t>
        </is>
      </c>
      <c r="B53" s="27" t="n">
        <v>42971</v>
      </c>
      <c r="C53" s="27" t="n">
        <v>19437</v>
      </c>
      <c r="D53" s="27" t="n">
        <v>-79999</v>
      </c>
      <c r="E53" s="27" t="n">
        <v>-26169</v>
      </c>
      <c r="F53" s="27" t="n">
        <v>-74152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2049.4</v>
      </c>
      <c r="C61" s="18" t="n">
        <v>1964.3</v>
      </c>
      <c r="D61" s="18" t="n">
        <v>1955.8</v>
      </c>
      <c r="E61" s="18" t="n">
        <v>1901.4</v>
      </c>
      <c r="F61" s="18" t="n">
        <v>1862.6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8215</v>
      </c>
      <c r="C5" s="18" t="n">
        <v>6201</v>
      </c>
      <c r="D5" s="18" t="n">
        <v>4568</v>
      </c>
      <c r="E5" s="18" t="n">
        <v>538</v>
      </c>
      <c r="F5" s="18" t="n">
        <v>639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C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214089.3644</v>
      </c>
      <c r="C5" s="44" t="inlineStr">
        <is>
          <t>FMP marketCap  |  price $124.84</t>
        </is>
      </c>
    </row>
    <row r="6">
      <c r="A6" s="17" t="inlineStr">
        <is>
          <t>Debt  (gross book value, $mm)</t>
        </is>
      </c>
      <c r="B6" s="43" t="n">
        <v>715803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0.0446</v>
      </c>
      <c r="C12" s="44" t="inlineStr">
        <is>
          <t>FRED series DGS10  |  latest: 2026-05-13</t>
        </is>
      </c>
    </row>
    <row r="13">
      <c r="A13" s="47" t="inlineStr">
        <is>
          <t>► Selected Rf  (override if needed)</t>
        </is>
      </c>
      <c r="B13" s="48" t="n">
        <v>0.0446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1.124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1.083</v>
      </c>
      <c r="C17" s="44" t="inlineStr">
        <is>
          <t>Mean-reversion toward market beta of 1.0</t>
        </is>
      </c>
    </row>
    <row r="18">
      <c r="A18" s="17" t="inlineStr">
        <is>
          <t>Damodaran industry unlevered  (Banks - Diversified)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3.34x,  t = 27.1%)</t>
        </is>
      </c>
      <c r="B19" s="50" t="n">
        <v>3.437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1.881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0.2</v>
      </c>
      <c r="C33" s="44" t="inlineStr">
        <is>
          <t>EBIT $19828mm  /  Int Exp $83072mm</t>
        </is>
      </c>
    </row>
    <row r="34">
      <c r="A34" s="17" t="inlineStr">
        <is>
          <t>Synthetic rating  (Damodaran ICR table)</t>
        </is>
      </c>
      <c r="B34" s="53" t="inlineStr">
        <is>
          <t>CC</t>
        </is>
      </c>
      <c r="C34" s="44" t="inlineStr">
        <is>
          <t>ICR 0.2x  →  CC</t>
        </is>
      </c>
    </row>
    <row r="35">
      <c r="A35" s="17" t="inlineStr">
        <is>
          <t>Synthetic Rd  (Rf + Damodaran default spread)</t>
        </is>
      </c>
      <c r="B35" s="46" t="n">
        <v>0.1646</v>
      </c>
      <c r="C35" s="44" t="inlineStr">
        <is>
          <t>Rf 4.46% + spread 12.00%</t>
        </is>
      </c>
    </row>
    <row r="36">
      <c r="A36" s="17" t="inlineStr">
        <is>
          <t>Accounting Rd  (Gross int exp / Avg gross debt)</t>
        </is>
      </c>
      <c r="B36" s="46" t="n">
        <v>0.127180576914686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$59792mm  (int inc $142864mm &gt; int exp $83072mm)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0.1459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0.271</v>
      </c>
      <c r="C41" s="44" t="inlineStr">
        <is>
          <t>FMP: $5373mm  /  $19828mm</t>
        </is>
      </c>
    </row>
    <row r="42">
      <c r="A42" s="47" t="inlineStr">
        <is>
          <t>► Selected tax rate  (user override)</t>
        </is>
      </c>
      <c r="B42" s="48" t="n">
        <v>0.271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(E/V × Re)  +  (D/V × Rd × (1 − t))</t>
        </is>
      </c>
      <c r="B45" s="55">
        <f>B8*B28+B9*B38*(1-B42)</f>
        <v/>
      </c>
      <c r="C45" s="56" t="inlineStr">
        <is>
          <t>Used as discount rate in DCF tab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C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-0.4445</v>
      </c>
      <c r="H7" s="71" t="n">
        <v>0.0361</v>
      </c>
      <c r="I7" s="71" t="n">
        <v>0.0465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0.1997</v>
      </c>
      <c r="H8" s="71" t="n">
        <v>0.1997</v>
      </c>
      <c r="I8" s="71" t="n">
        <v>0.1997</v>
      </c>
      <c r="J8" s="72">
        <f>I8</f>
        <v/>
      </c>
      <c r="K8" s="72">
        <f>I8</f>
        <v/>
      </c>
      <c r="L8" s="73" t="n">
        <v>0.1372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93489.8</v>
      </c>
      <c r="H15" s="77" t="n">
        <v>96866.3</v>
      </c>
      <c r="I15" s="77" t="n">
        <v>101370.9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90,919 — 96,020</t>
        </is>
      </c>
      <c r="H16" s="82" t="inlineStr">
        <is>
          <t>94,685 — 99,389</t>
        </is>
      </c>
      <c r="I16" s="82" t="inlineStr">
        <is>
          <t>101,329 — 101,412</t>
        </is>
      </c>
      <c r="J16" s="82" t="inlineStr">
        <is>
          <t>102,682 — 107,834</t>
        </is>
      </c>
      <c r="K16" s="82" t="inlineStr">
        <is>
          <t>107,043 — 112,414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14</v>
      </c>
      <c r="H17" s="84" t="n">
        <v>15</v>
      </c>
      <c r="I17" s="85" t="n">
        <v>9</v>
      </c>
      <c r="J17" s="86" t="n">
        <v>4</v>
      </c>
      <c r="K17" s="86" t="n">
        <v>4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7" t="inlineStr">
        <is>
          <t>—</t>
        </is>
      </c>
      <c r="C18" s="88">
        <f>IFERROR(C15/B15-1,"")</f>
        <v/>
      </c>
      <c r="D18" s="88">
        <f>IFERROR(D15/C15-1,"")</f>
        <v/>
      </c>
      <c r="E18" s="88">
        <f>IFERROR(E15/D15-1,"")</f>
        <v/>
      </c>
      <c r="F18" s="88">
        <f>IFERROR(F15/E15-1,"")</f>
        <v/>
      </c>
      <c r="G18" s="89">
        <f>IFERROR(G15/F15-1,"")</f>
        <v/>
      </c>
      <c r="H18" s="89">
        <f>IFERROR(H15/G15-1,"")</f>
        <v/>
      </c>
      <c r="I18" s="89">
        <f>IFERROR(I15/H15-1,"")</f>
        <v/>
      </c>
      <c r="J18" s="89">
        <f>IFERROR(J15/I15-1,"")</f>
        <v/>
      </c>
      <c r="K18" s="89">
        <f>IFERROR(K15/J15-1,"")</f>
        <v/>
      </c>
      <c r="L18" s="90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18670.5</v>
      </c>
      <c r="H20" s="77" t="n">
        <v>19344.8</v>
      </c>
      <c r="I20" s="77" t="n">
        <v>20244.3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18,157 — 19,176</t>
        </is>
      </c>
      <c r="H21" s="82" t="inlineStr">
        <is>
          <t>18,909 — 19,849</t>
        </is>
      </c>
      <c r="I21" s="82" t="inlineStr">
        <is>
          <t>20,236 — 20,253</t>
        </is>
      </c>
      <c r="J21" s="82" t="inlineStr">
        <is>
          <t>20,506 — 21,535</t>
        </is>
      </c>
      <c r="K21" s="82" t="inlineStr">
        <is>
          <t>21,377 — 22,450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8">
        <f>IFERROR(B20/B15,"")</f>
        <v/>
      </c>
      <c r="C22" s="88">
        <f>IFERROR(C20/C15,"")</f>
        <v/>
      </c>
      <c r="D22" s="88">
        <f>IFERROR(D20/D15,"")</f>
        <v/>
      </c>
      <c r="E22" s="88">
        <f>IFERROR(E20/E15,"")</f>
        <v/>
      </c>
      <c r="F22" s="88">
        <f>IFERROR(F20/F15,"")</f>
        <v/>
      </c>
      <c r="G22" s="89">
        <f>IFERROR(G20/G15,"")</f>
        <v/>
      </c>
      <c r="H22" s="89">
        <f>IFERROR(H20/H15,"")</f>
        <v/>
      </c>
      <c r="I22" s="89">
        <f>IFERROR(I20/I15,"")</f>
        <v/>
      </c>
      <c r="J22" s="89">
        <f>IFERROR(J20/J15,"")</f>
        <v/>
      </c>
      <c r="K22" s="89">
        <f>IFERROR(K20/K15,"")</f>
        <v/>
      </c>
      <c r="L22" s="90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1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2">
        <f>-G15*G9</f>
        <v/>
      </c>
      <c r="H25" s="92">
        <f>-H15*H9</f>
        <v/>
      </c>
      <c r="I25" s="92">
        <f>-I15*I9</f>
        <v/>
      </c>
      <c r="J25" s="92">
        <f>-J15*J9</f>
        <v/>
      </c>
      <c r="K25" s="92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3">
        <f>B20+B25</f>
        <v/>
      </c>
      <c r="C26" s="93">
        <f>C20+C25</f>
        <v/>
      </c>
      <c r="D26" s="93">
        <f>D20+D25</f>
        <v/>
      </c>
      <c r="E26" s="93">
        <f>E20+E25</f>
        <v/>
      </c>
      <c r="F26" s="93">
        <f>F20+F25</f>
        <v/>
      </c>
      <c r="G26" s="94">
        <f>G20+G25</f>
        <v/>
      </c>
      <c r="H26" s="94">
        <f>H20+H25</f>
        <v/>
      </c>
      <c r="I26" s="94">
        <f>I20+I25</f>
        <v/>
      </c>
      <c r="J26" s="94">
        <f>J20+J25</f>
        <v/>
      </c>
      <c r="K26" s="94">
        <f>K20+K25</f>
        <v/>
      </c>
      <c r="L26" s="94">
        <f>L20+L25</f>
        <v/>
      </c>
      <c r="M26" s="80">
        <f> EBITDA + D&amp;A  (GAAP operating income, EBIT)</f>
        <v/>
      </c>
    </row>
    <row r="27" ht="20" customHeight="1">
      <c r="A27" s="91" t="inlineStr">
        <is>
          <t xml:space="preserve">  Less: Tax on EBIT  (unlevered)</t>
        </is>
      </c>
      <c r="B27" s="95">
        <f>-B26*B12</f>
        <v/>
      </c>
      <c r="C27" s="95">
        <f>-C26*C12</f>
        <v/>
      </c>
      <c r="D27" s="95">
        <f>-D26*D12</f>
        <v/>
      </c>
      <c r="E27" s="95">
        <f>-E26*E12</f>
        <v/>
      </c>
      <c r="F27" s="95">
        <f>-F26*F12</f>
        <v/>
      </c>
      <c r="G27" s="96">
        <f>-G26*G12</f>
        <v/>
      </c>
      <c r="H27" s="96">
        <f>-H26*H12</f>
        <v/>
      </c>
      <c r="I27" s="96">
        <f>-I26*I12</f>
        <v/>
      </c>
      <c r="J27" s="96">
        <f>-J26*J12</f>
        <v/>
      </c>
      <c r="K27" s="96">
        <f>-K26*K12</f>
        <v/>
      </c>
      <c r="L27" s="96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3">
        <f>B26+B27</f>
        <v/>
      </c>
      <c r="C28" s="93">
        <f>C26+C27</f>
        <v/>
      </c>
      <c r="D28" s="93">
        <f>D26+D27</f>
        <v/>
      </c>
      <c r="E28" s="93">
        <f>E26+E27</f>
        <v/>
      </c>
      <c r="F28" s="93">
        <f>F26+F27</f>
        <v/>
      </c>
      <c r="G28" s="97">
        <f>G26+G27</f>
        <v/>
      </c>
      <c r="H28" s="97">
        <f>H26+H27</f>
        <v/>
      </c>
      <c r="I28" s="97">
        <f>I26+I27</f>
        <v/>
      </c>
      <c r="J28" s="97">
        <f>J26+J27</f>
        <v/>
      </c>
      <c r="K28" s="97">
        <f>K26+K27</f>
        <v/>
      </c>
      <c r="L28" s="97">
        <f>L26+L27</f>
        <v/>
      </c>
      <c r="M28" s="80">
        <f> EBIT × (1 − tax rate)</f>
        <v/>
      </c>
    </row>
    <row r="29" ht="20" customHeight="1">
      <c r="A29" s="91" t="inlineStr">
        <is>
          <t xml:space="preserve">  (+) D&amp;A add-back  (non-cash)</t>
        </is>
      </c>
      <c r="B29" s="95">
        <f>-B25</f>
        <v/>
      </c>
      <c r="C29" s="95">
        <f>-C25</f>
        <v/>
      </c>
      <c r="D29" s="95">
        <f>-D25</f>
        <v/>
      </c>
      <c r="E29" s="95">
        <f>-E25</f>
        <v/>
      </c>
      <c r="F29" s="95">
        <f>-F25</f>
        <v/>
      </c>
      <c r="G29" s="96">
        <f>-G25</f>
        <v/>
      </c>
      <c r="H29" s="96">
        <f>-H25</f>
        <v/>
      </c>
      <c r="I29" s="96">
        <f>-I25</f>
        <v/>
      </c>
      <c r="J29" s="96">
        <f>-J25</f>
        <v/>
      </c>
      <c r="K29" s="96">
        <f>-K25</f>
        <v/>
      </c>
      <c r="L29" s="96">
        <f>-L25</f>
        <v/>
      </c>
      <c r="M29" s="80">
        <f> D&amp;A added back (non-cash charge — converts NOPAT to cash basis)</f>
        <v/>
      </c>
    </row>
    <row r="30" ht="20" customHeight="1">
      <c r="A30" s="91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6">
        <f>-G15*G10</f>
        <v/>
      </c>
      <c r="H30" s="96">
        <f>-H15*H10</f>
        <v/>
      </c>
      <c r="I30" s="96">
        <f>-I15*I10</f>
        <v/>
      </c>
      <c r="J30" s="96">
        <f>-J15*J10</f>
        <v/>
      </c>
      <c r="K30" s="96">
        <f>-K15*K10</f>
        <v/>
      </c>
      <c r="L30" s="96">
        <f>-L15*L10</f>
        <v/>
      </c>
      <c r="M30" s="80">
        <f> Revenue × CapEx % assumption  (negative = cash outflow)</f>
        <v/>
      </c>
    </row>
    <row r="31" ht="20" customHeight="1">
      <c r="A31" s="91" t="inlineStr">
        <is>
          <t xml:space="preserve">  (−) Increase in Net Working Capital</t>
        </is>
      </c>
      <c r="B31" s="95" t="n"/>
      <c r="C31" s="95">
        <f>-(('Balance Sheet'!C9-'Balance Sheet'!C21)-('Balance Sheet'!B9-'Balance Sheet'!B21))</f>
        <v/>
      </c>
      <c r="D31" s="95">
        <f>-(('Balance Sheet'!D9-'Balance Sheet'!D21)-('Balance Sheet'!C9-'Balance Sheet'!C21))</f>
        <v/>
      </c>
      <c r="E31" s="95">
        <f>-(('Balance Sheet'!E9-'Balance Sheet'!E21)-('Balance Sheet'!D9-'Balance Sheet'!D21))</f>
        <v/>
      </c>
      <c r="F31" s="95">
        <f>-(('Balance Sheet'!F9-'Balance Sheet'!F21)-('Balance Sheet'!E9-'Balance Sheet'!E21))</f>
        <v/>
      </c>
      <c r="G31" s="96">
        <f>-G15*G11</f>
        <v/>
      </c>
      <c r="H31" s="96">
        <f>-H15*H11</f>
        <v/>
      </c>
      <c r="I31" s="96">
        <f>-I15*I11</f>
        <v/>
      </c>
      <c r="J31" s="96">
        <f>-J15*J11</f>
        <v/>
      </c>
      <c r="K31" s="96">
        <f>-K15*K11</f>
        <v/>
      </c>
      <c r="L31" s="96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3">
        <f>B28+B29+B30+B31</f>
        <v/>
      </c>
      <c r="C32" s="93">
        <f>C28+C29+C30+C31</f>
        <v/>
      </c>
      <c r="D32" s="93">
        <f>D28+D29+D30+D31</f>
        <v/>
      </c>
      <c r="E32" s="93">
        <f>E28+E29+E30+E31</f>
        <v/>
      </c>
      <c r="F32" s="93">
        <f>F28+F29+F30+F31</f>
        <v/>
      </c>
      <c r="G32" s="97">
        <f>G28+G29+G30+G31</f>
        <v/>
      </c>
      <c r="H32" s="97">
        <f>H28+H29+H30+H31</f>
        <v/>
      </c>
      <c r="I32" s="97">
        <f>I28+I29+I30+I31</f>
        <v/>
      </c>
      <c r="J32" s="97">
        <f>J28+J29+J30+J31</f>
        <v/>
      </c>
      <c r="K32" s="97">
        <f>K28+K29+K30+K31</f>
        <v/>
      </c>
      <c r="L32" s="97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8">
        <f>B32/B15</f>
        <v/>
      </c>
      <c r="C33" s="88">
        <f>C32/C15</f>
        <v/>
      </c>
      <c r="D33" s="88">
        <f>D32/D15</f>
        <v/>
      </c>
      <c r="E33" s="88">
        <f>E32/E15</f>
        <v/>
      </c>
      <c r="F33" s="88">
        <f>F32/F15</f>
        <v/>
      </c>
      <c r="G33" s="98">
        <f>IFERROR(G32/G15,"")</f>
        <v/>
      </c>
      <c r="H33" s="98">
        <f>IFERROR(H32/H15,"")</f>
        <v/>
      </c>
      <c r="I33" s="98">
        <f>IFERROR(I32/I15,"")</f>
        <v/>
      </c>
      <c r="J33" s="98">
        <f>IFERROR(J32/J15,"")</f>
        <v/>
      </c>
      <c r="K33" s="98">
        <f>IFERROR(K32/K15,"")</f>
        <v/>
      </c>
      <c r="L33" s="98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9">
        <f>WACC!B45</f>
        <v/>
      </c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1" t="n">
        <v>0.04</v>
      </c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74" t="inlineStr">
        <is>
          <t>Growth tier: HIGH (21.2% 3yr avg rev growth).  Bear 3.00% / Base 4.0% / Bull 5.00%.  Keep below WACC.</t>
        </is>
      </c>
    </row>
    <row r="38" ht="20" customHeight="1">
      <c r="A38" s="68" t="inlineStr">
        <is>
          <t>Terminal EV/EBITDA Multiple  (exit multiple method)</t>
        </is>
      </c>
      <c r="B38" s="102" t="n">
        <v>18</v>
      </c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74" t="inlineStr">
        <is>
          <t>Growth tier: HIGH (21.2% 3yr avg rev growth).  Bear 14x / Base 18x / Bull 22x.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3" t="inlineStr">
        <is>
          <t>Terminal Year UFCF  (grown by g)</t>
        </is>
      </c>
      <c r="B40" s="104">
        <f>L32</f>
        <v/>
      </c>
      <c r="C40" s="105" t="n"/>
      <c r="D40" s="105" t="n"/>
      <c r="E40" s="105" t="n"/>
      <c r="F40" s="105" t="n"/>
      <c r="G40" s="105" t="n"/>
      <c r="H40" s="105" t="n"/>
      <c r="I40" s="105" t="n"/>
      <c r="J40" s="105" t="n"/>
      <c r="K40" s="105" t="n"/>
      <c r="L40" s="105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7">
        <f>B40/(B36-B37)</f>
        <v/>
      </c>
      <c r="C41" s="106" t="n"/>
      <c r="D41" s="106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7">
        <f>L20*B38</f>
        <v/>
      </c>
      <c r="C42" s="106" t="n"/>
      <c r="D42" s="106" t="n"/>
      <c r="E42" s="106" t="n"/>
      <c r="F42" s="106" t="n"/>
      <c r="G42" s="106" t="n"/>
      <c r="H42" s="106" t="n"/>
      <c r="I42" s="106" t="n"/>
      <c r="J42" s="106" t="n"/>
      <c r="K42" s="106" t="n"/>
      <c r="L42" s="106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3" t="inlineStr">
        <is>
          <t>Discount Period  (mid-year convention)</t>
        </is>
      </c>
      <c r="G45" s="107" t="n">
        <v>0.5</v>
      </c>
      <c r="H45" s="107" t="n">
        <v>1.5</v>
      </c>
      <c r="I45" s="107" t="n">
        <v>2.5</v>
      </c>
      <c r="J45" s="107" t="n">
        <v>3.5</v>
      </c>
      <c r="K45" s="107" t="n">
        <v>4.5</v>
      </c>
      <c r="L45" s="108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3" t="inlineStr">
        <is>
          <t>Discount Factor  =  1 / (1 + WACC) ^ period</t>
        </is>
      </c>
      <c r="G46" s="109">
        <f>1/(1+B36)^G45</f>
        <v/>
      </c>
      <c r="H46" s="109">
        <f>1/(1+B36)^H45</f>
        <v/>
      </c>
      <c r="I46" s="109">
        <f>1/(1+B36)^I45</f>
        <v/>
      </c>
      <c r="J46" s="109">
        <f>1/(1+B36)^J45</f>
        <v/>
      </c>
      <c r="K46" s="109">
        <f>1/(1+B36)^K45</f>
        <v/>
      </c>
      <c r="L46" s="110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7">
        <f>G32*G46</f>
        <v/>
      </c>
      <c r="H47" s="97">
        <f>H32*H46</f>
        <v/>
      </c>
      <c r="I47" s="97">
        <f>I32*I46</f>
        <v/>
      </c>
      <c r="J47" s="97">
        <f>J32*J46</f>
        <v/>
      </c>
      <c r="K47" s="97">
        <f>K32*K46</f>
        <v/>
      </c>
      <c r="L47" s="106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4">
        <f>G47+H47+I47+J47+K47</f>
        <v/>
      </c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4">
        <f>B41*L46</f>
        <v/>
      </c>
      <c r="C49" s="111" t="n"/>
      <c r="D49" s="111" t="n"/>
      <c r="E49" s="111" t="n"/>
      <c r="F49" s="111" t="n"/>
      <c r="G49" s="111" t="n"/>
      <c r="H49" s="111" t="n"/>
      <c r="I49" s="111" t="n"/>
      <c r="J49" s="111" t="n"/>
      <c r="K49" s="111" t="n"/>
      <c r="L49" s="111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4">
        <f>B42*L46</f>
        <v/>
      </c>
      <c r="C50" s="111" t="n"/>
      <c r="D50" s="111" t="n"/>
      <c r="E50" s="111" t="n"/>
      <c r="F50" s="111" t="n"/>
      <c r="G50" s="111" t="n"/>
      <c r="H50" s="111" t="n"/>
      <c r="I50" s="111" t="n"/>
      <c r="J50" s="111" t="n"/>
      <c r="K50" s="111" t="n"/>
      <c r="L50" s="111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7">
        <f>B48+B49</f>
        <v/>
      </c>
      <c r="C53" s="106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  <c r="M53" s="106" t="n"/>
    </row>
    <row r="54">
      <c r="A54" s="75" t="inlineStr">
        <is>
          <t>Enterprise Value  [Exit Multiple]</t>
        </is>
      </c>
      <c r="B54" s="97">
        <f>B48+B50</f>
        <v/>
      </c>
      <c r="C54" s="106" t="n"/>
      <c r="D54" s="106" t="n"/>
      <c r="E54" s="106" t="n"/>
      <c r="F54" s="106" t="n"/>
      <c r="G54" s="106" t="n"/>
      <c r="H54" s="106" t="n"/>
      <c r="I54" s="106" t="n"/>
      <c r="J54" s="106" t="n"/>
      <c r="K54" s="106" t="n"/>
      <c r="L54" s="106" t="n"/>
      <c r="M54" s="106" t="n"/>
    </row>
    <row r="55" ht="20" customHeight="1">
      <c r="A55" s="91" t="inlineStr">
        <is>
          <t xml:space="preserve">  Less: Net Debt  (Debt − Cash)</t>
        </is>
      </c>
      <c r="B55" s="104">
        <f>'Balance Sheet'!F81</f>
        <v/>
      </c>
      <c r="C55" s="105" t="n"/>
      <c r="D55" s="105" t="n"/>
      <c r="E55" s="105" t="n"/>
      <c r="F55" s="105" t="n"/>
      <c r="G55" s="105" t="n"/>
      <c r="H55" s="105" t="n"/>
      <c r="I55" s="105" t="n"/>
      <c r="J55" s="105" t="n"/>
      <c r="K55" s="105" t="n"/>
      <c r="L55" s="105" t="n"/>
      <c r="M55" s="80" t="inlineStr">
        <is>
          <t>Linked from Balance Sheet: Total Debt (ST+LT) − Cash &amp; Equivalents  (negative = net cash)</t>
        </is>
      </c>
    </row>
    <row r="56" ht="20" customHeight="1">
      <c r="A56" s="91" t="inlineStr">
        <is>
          <t xml:space="preserve">  Less: Minority Interest</t>
        </is>
      </c>
      <c r="B56" s="104" t="n">
        <v>1531</v>
      </c>
      <c r="C56" s="105" t="n"/>
      <c r="D56" s="105" t="n"/>
      <c r="E56" s="105" t="n"/>
      <c r="F56" s="105" t="n"/>
      <c r="G56" s="105" t="n"/>
      <c r="H56" s="105" t="n"/>
      <c r="I56" s="105" t="n"/>
      <c r="J56" s="105" t="n"/>
      <c r="K56" s="105" t="n"/>
      <c r="L56" s="105" t="n"/>
      <c r="M56" s="80" t="inlineStr">
        <is>
          <t>Auto-linked from Balance Sheet: minorityInterest</t>
        </is>
      </c>
    </row>
    <row r="57" ht="20" customHeight="1">
      <c r="A57" s="91" t="inlineStr">
        <is>
          <t xml:space="preserve">  Shares Outstanding — Diluted  (mm)</t>
        </is>
      </c>
      <c r="B57" s="104" t="n">
        <v>1862.6</v>
      </c>
      <c r="C57" s="105" t="n"/>
      <c r="D57" s="105" t="n"/>
      <c r="E57" s="105" t="n"/>
      <c r="F57" s="105" t="n"/>
      <c r="G57" s="105" t="n"/>
      <c r="H57" s="105" t="n"/>
      <c r="I57" s="105" t="n"/>
      <c r="J57" s="105" t="n"/>
      <c r="K57" s="105" t="n"/>
      <c r="L57" s="105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2">
        <f>IFERROR((B53-B55-B56)/B57,"")</f>
        <v/>
      </c>
      <c r="C59" s="106" t="n"/>
      <c r="D59" s="106" t="n"/>
      <c r="E59" s="106" t="n"/>
      <c r="F59" s="106" t="n"/>
      <c r="G59" s="106" t="n"/>
      <c r="H59" s="106" t="n"/>
      <c r="I59" s="106" t="n"/>
      <c r="J59" s="106" t="n"/>
      <c r="K59" s="106" t="n"/>
      <c r="L59" s="106" t="n"/>
      <c r="M59" s="106" t="n"/>
    </row>
    <row r="60">
      <c r="A60" s="75" t="inlineStr">
        <is>
          <t>Implied Share Price  [Exit Multiple]  ($)</t>
        </is>
      </c>
      <c r="B60" s="112">
        <f>IFERROR((B54-B55-B56)/B57,"")</f>
        <v/>
      </c>
      <c r="C60" s="106" t="n"/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 t="n"/>
      <c r="M60" s="106" t="n"/>
    </row>
    <row r="61" ht="20" customHeight="1">
      <c r="A61" s="103" t="inlineStr">
        <is>
          <t>Current Market Price  ($)</t>
        </is>
      </c>
      <c r="B61" s="113" t="n">
        <v>124.84</v>
      </c>
      <c r="C61" s="105" t="n"/>
      <c r="D61" s="105" t="n"/>
      <c r="E61" s="105" t="n"/>
      <c r="F61" s="105" t="n"/>
      <c r="G61" s="105" t="n"/>
      <c r="H61" s="105" t="n"/>
      <c r="I61" s="105" t="n"/>
      <c r="J61" s="105" t="n"/>
      <c r="K61" s="105" t="n"/>
      <c r="L61" s="105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4">
        <f>IFERROR(B59/B61-1,"")</f>
        <v/>
      </c>
      <c r="C62" s="111" t="n"/>
      <c r="D62" s="111" t="n"/>
      <c r="E62" s="111" t="n"/>
      <c r="F62" s="111" t="n"/>
      <c r="G62" s="111" t="n"/>
      <c r="H62" s="111" t="n"/>
      <c r="I62" s="111" t="n"/>
      <c r="J62" s="111" t="n"/>
      <c r="K62" s="111" t="n"/>
      <c r="L62" s="111" t="n"/>
      <c r="M62" s="111" t="n"/>
    </row>
    <row r="63">
      <c r="A63" s="63" t="inlineStr">
        <is>
          <t>Upside / (Downside)  [Exit Multiple]</t>
        </is>
      </c>
      <c r="B63" s="114">
        <f>IFERROR(B60/B61-1,"")</f>
        <v/>
      </c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5" t="inlineStr">
        <is>
          <t>JS SCORECARD — C  |  Master Prompt v2  |  15 May 2026  |  Sector bucket: Bank</t>
        </is>
      </c>
    </row>
    <row r="2" ht="18" customHeight="1">
      <c r="A2" s="116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7" t="inlineStr">
        <is>
          <t>✓  Bank/Financial sector — D/EBITDA and EBIT/Interest gates exempt  | Capital Adequacy (Equity/Assets) used as P3 leverage criterion  |  Equity/Assets = 8.0%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8" t="inlineStr">
        <is>
          <t>CRITERION</t>
        </is>
      </c>
      <c r="B6" s="119" t="inlineStr">
        <is>
          <t>PART</t>
        </is>
      </c>
      <c r="C6" s="119" t="inlineStr">
        <is>
          <t>WEIGHT %</t>
        </is>
      </c>
      <c r="D6" s="119" t="inlineStr">
        <is>
          <t>CALCULATED VALUE</t>
        </is>
      </c>
      <c r="E6" s="119" t="inlineStr">
        <is>
          <t>TIER  ▼</t>
        </is>
      </c>
      <c r="F6" s="119" t="inlineStr">
        <is>
          <t>SCORE</t>
        </is>
      </c>
      <c r="G6" s="119" t="inlineStr">
        <is>
          <t>WTD SCORE</t>
        </is>
      </c>
      <c r="H6" s="118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0" t="inlineStr">
        <is>
          <t xml:space="preserve">  Business Clarity</t>
        </is>
      </c>
      <c r="B8" s="121" t="inlineStr">
        <is>
          <t>P1</t>
        </is>
      </c>
      <c r="C8" s="122" t="n">
        <v>0.025</v>
      </c>
      <c r="D8" s="123" t="inlineStr">
        <is>
          <t>— user input required</t>
        </is>
      </c>
      <c r="E8" s="124" t="n"/>
      <c r="F8" s="125">
        <f>IF(E8="HIGH",10,IF(E8="MOD-HIGH",7,IF(E8="MOD-LOW",3,IF(E8="LOW",0,""))))</f>
        <v/>
      </c>
      <c r="G8" s="126">
        <f>IF(F8="",0,C8*F8*10)</f>
        <v/>
      </c>
      <c r="H8" s="127" t="inlineStr"/>
    </row>
    <row r="9" ht="18" customHeight="1">
      <c r="A9" s="128" t="inlineStr">
        <is>
          <t xml:space="preserve">  Moat Profile</t>
        </is>
      </c>
      <c r="B9" s="129" t="inlineStr">
        <is>
          <t>P1</t>
        </is>
      </c>
      <c r="C9" s="130" t="n">
        <v>0.1</v>
      </c>
      <c r="D9" s="131" t="inlineStr">
        <is>
          <t>GM 44.6% ✓ (&gt;40%)  |  GM trend -24.7% ✗ (&gt;+1pp)  |  ROIC-WACC -6.8% ✗ (&gt;+5pp)  |  Rev consistency σ=21.2% ✗ (&lt;8%)  [1/4 indicators positive — proxy score]</t>
        </is>
      </c>
      <c r="E9" s="132" t="inlineStr">
        <is>
          <t>LOW</t>
        </is>
      </c>
      <c r="F9" s="133" t="n">
        <v>2.5</v>
      </c>
      <c r="G9" s="134">
        <f>IF(F9="",0,C9*F9*10)</f>
        <v/>
      </c>
      <c r="H9" s="135" t="inlineStr">
        <is>
          <t>GM 44.6% ✓ (&gt;40%)  |  GM trend -24.7% ✗ (&gt;+1pp)  |  ROIC-WACC -6.8% ✗ (&gt;+5pp)  |  Rev consistency σ=21.2% ✗ (&lt;8%)  [1/4 indicators positive — proxy score]</t>
        </is>
      </c>
    </row>
    <row r="10" ht="18" customHeight="1">
      <c r="A10" s="120" t="inlineStr">
        <is>
          <t xml:space="preserve">  Long-Term Potential</t>
        </is>
      </c>
      <c r="B10" s="121" t="inlineStr">
        <is>
          <t>P1</t>
        </is>
      </c>
      <c r="C10" s="122" t="n">
        <v>0.1</v>
      </c>
      <c r="D10" s="123" t="inlineStr">
        <is>
          <t>— user input required</t>
        </is>
      </c>
      <c r="E10" s="124" t="n"/>
      <c r="F10" s="125">
        <f>IF(E10="HIGH",10,IF(E10="MOD-HIGH",7,IF(E10="MOD-LOW",3,IF(E10="LOW",0,""))))</f>
        <v/>
      </c>
      <c r="G10" s="126">
        <f>IF(F10="",0,C10*F10*10)</f>
        <v/>
      </c>
      <c r="H10" s="127" t="inlineStr"/>
    </row>
    <row r="11" ht="18" customHeight="1">
      <c r="A11" s="128" t="inlineStr">
        <is>
          <t xml:space="preserve">  Management</t>
        </is>
      </c>
      <c r="B11" s="129" t="inlineStr">
        <is>
          <t>P1</t>
        </is>
      </c>
      <c r="C11" s="130" t="n">
        <v>0.075</v>
      </c>
      <c r="D11" s="131" t="inlineStr">
        <is>
          <t>ROIC trend -1.5% ✓ (≥-2pp)  |  GM maintained -24.7% ✗  |  Op margin -7.0% ✗ (≥-2pp)  |  Capital returns MOD-LOW ✗  |  Share count -2.7%/yr ✓ (net buyback)  |  Goodwill/Equity 9% ✓ (&lt;40%)  [3/6 indicators positive — proxy score]</t>
        </is>
      </c>
      <c r="E11" s="136" t="inlineStr">
        <is>
          <t>MOD-LOW</t>
        </is>
      </c>
      <c r="F11" s="133" t="n">
        <v>5</v>
      </c>
      <c r="G11" s="134">
        <f>IF(F11="",0,C11*F11*10)</f>
        <v/>
      </c>
      <c r="H11" s="135" t="inlineStr">
        <is>
          <t>ROIC trend -1.5% ✓ (≥-2pp)  |  GM maintained -24.7% ✗  |  Op margin -7.0% ✗ (≥-2pp)  |  Capital returns MOD-LOW ✗  |  Share count -2.7%/yr ✓ (net buyback)  |  Goodwill/Equity 9% ✓ (&lt;40%)  [3/6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8" t="inlineStr">
        <is>
          <t xml:space="preserve">  Revenue 3yr CAGR</t>
        </is>
      </c>
      <c r="B13" s="129" t="inlineStr">
        <is>
          <t>P2</t>
        </is>
      </c>
      <c r="C13" s="130" t="n">
        <v>0.1</v>
      </c>
      <c r="D13" s="131" t="inlineStr">
        <is>
          <t>18.9%</t>
        </is>
      </c>
      <c r="E13" s="137" t="inlineStr">
        <is>
          <t>HIGH</t>
        </is>
      </c>
      <c r="F13" s="133" t="n">
        <v>12</v>
      </c>
      <c r="G13" s="134">
        <f>IF(F13="",0,C13*F13*10)</f>
        <v/>
      </c>
      <c r="H13" s="135" t="inlineStr">
        <is>
          <t>18.9%</t>
        </is>
      </c>
    </row>
    <row r="14" ht="18" customHeight="1">
      <c r="A14" s="128" t="inlineStr">
        <is>
          <t xml:space="preserve">  Cash Quality  (FCF / Net Income)</t>
        </is>
      </c>
      <c r="B14" s="129" t="inlineStr">
        <is>
          <t>P2</t>
        </is>
      </c>
      <c r="C14" s="130" t="n">
        <v>0.1</v>
      </c>
      <c r="D14" s="131" t="inlineStr">
        <is>
          <t>-426%  [trend penalty: declined &gt;15pp vs 3yr ago]  [through-cycle: 70/30 latest+5yr median, latest -519.7% → smoothed -425.7%]</t>
        </is>
      </c>
      <c r="E14" s="138" t="inlineStr">
        <is>
          <t>MOD-HIGH</t>
        </is>
      </c>
      <c r="F14" s="133" t="n">
        <v>8.5</v>
      </c>
      <c r="G14" s="134">
        <f>IF(F14="",0,C14*F14*10)</f>
        <v/>
      </c>
      <c r="H14" s="135" t="inlineStr">
        <is>
          <t>-426%  [trend penalty: declined &gt;15pp vs 3yr ago]  [through-cycle: 70/30 latest+5yr median, latest -519.7% → smoothed -425.7%]</t>
        </is>
      </c>
    </row>
    <row r="15" ht="18" customHeight="1">
      <c r="A15" s="128" t="inlineStr">
        <is>
          <t xml:space="preserve">  Capital Returns</t>
        </is>
      </c>
      <c r="B15" s="129" t="inlineStr">
        <is>
          <t>P2</t>
        </is>
      </c>
      <c r="C15" s="130" t="n">
        <v>0.05</v>
      </c>
      <c r="D15" s="131" t="inlineStr">
        <is>
          <t>$18,250mm latest FY — debt-funded  [FCF negative — capital returns funded externally]</t>
        </is>
      </c>
      <c r="E15" s="136" t="inlineStr">
        <is>
          <t>MOD-LOW</t>
        </is>
      </c>
      <c r="F15" s="133" t="n">
        <v>0.5</v>
      </c>
      <c r="G15" s="134">
        <f>IF(F15="",0,C15*F15*10)</f>
        <v/>
      </c>
      <c r="H15" s="135" t="inlineStr">
        <is>
          <t>$18,250mm latest FY — debt-funded  [FCF negative — capital returns funded externally]</t>
        </is>
      </c>
    </row>
    <row r="16" ht="18" customHeight="1">
      <c r="A16" s="128" t="inlineStr">
        <is>
          <t xml:space="preserve">  ROIC</t>
        </is>
      </c>
      <c r="B16" s="129" t="inlineStr">
        <is>
          <t>P2</t>
        </is>
      </c>
      <c r="C16" s="130" t="n">
        <v>0.075</v>
      </c>
      <c r="D16" s="131" t="inlineStr">
        <is>
          <t>2.5%  [QoE: CFO/NI -475% 3yr avg — cash conv weak]</t>
        </is>
      </c>
      <c r="E16" s="132" t="inlineStr">
        <is>
          <t>LOW</t>
        </is>
      </c>
      <c r="F16" s="133" t="n">
        <v>0.37</v>
      </c>
      <c r="G16" s="134">
        <f>IF(F16="",0,C16*F16*10)</f>
        <v/>
      </c>
      <c r="H16" s="135" t="inlineStr">
        <is>
          <t>2.5%  [QoE: CFO/NI -475% 3yr avg — cash conv weak]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8" t="inlineStr">
        <is>
          <t xml:space="preserve">  Capital Adequacy  (Equity / Assets)</t>
        </is>
      </c>
      <c r="B18" s="129" t="inlineStr">
        <is>
          <t>P3</t>
        </is>
      </c>
      <c r="C18" s="130" t="n">
        <v>0.125</v>
      </c>
      <c r="D18" s="131" t="inlineStr">
        <is>
          <t>8.0%  [Equity/Assets — CET1 proxy; well-capitalised &gt;10%]</t>
        </is>
      </c>
      <c r="E18" s="136" t="inlineStr">
        <is>
          <t>MOD-LOW</t>
        </is>
      </c>
      <c r="F18" s="133" t="n">
        <v>6.98</v>
      </c>
      <c r="G18" s="134">
        <f>IF(F18="",0,C18*F18*10)</f>
        <v/>
      </c>
      <c r="H18" s="135" t="inlineStr">
        <is>
          <t>8.0%  [Equity/Assets — CET1 proxy; well-capitalised &gt;10%]</t>
        </is>
      </c>
    </row>
    <row r="19" ht="18" customHeight="1">
      <c r="A19" s="128" t="inlineStr">
        <is>
          <t xml:space="preserve">  Execution Risk</t>
        </is>
      </c>
      <c r="B19" s="129" t="inlineStr">
        <is>
          <t>P3</t>
        </is>
      </c>
      <c r="C19" s="130" t="n">
        <v>0.05</v>
      </c>
      <c r="D19" s="131" t="inlineStr">
        <is>
          <t>Rev growth σ=21.2%  |  Op margin σ=9.6%  [proxy — lower σ = lower risk = higher score]</t>
        </is>
      </c>
      <c r="E19" s="132" t="inlineStr">
        <is>
          <t>LOW</t>
        </is>
      </c>
      <c r="F19" s="133" t="n">
        <v>0</v>
      </c>
      <c r="G19" s="134">
        <f>IF(F19="",0,C19*F19*10)</f>
        <v/>
      </c>
      <c r="H19" s="135" t="inlineStr">
        <is>
          <t>Rev growth σ=21.2%  |  Op margin σ=9.6%  [proxy — lower σ = lower risk = higher score]</t>
        </is>
      </c>
    </row>
    <row r="20" ht="18" customHeight="1">
      <c r="A20" s="25" t="inlineStr">
        <is>
          <t>PART 4 — VALUATION  (qualitative / user-supplied market data)</t>
        </is>
      </c>
    </row>
    <row r="21" ht="18" customHeight="1">
      <c r="A21" s="128" t="inlineStr">
        <is>
          <t xml:space="preserve">  Valuation vs Median  (P/E)</t>
        </is>
      </c>
      <c r="B21" s="129" t="inlineStr">
        <is>
          <t>P4</t>
        </is>
      </c>
      <c r="C21" s="130" t="n">
        <v>0.2</v>
      </c>
      <c r="D21" s="131" t="inlineStr">
        <is>
          <t>Current 14.9x  |  5yr avg 9.5x  [+57% vs benchmark]</t>
        </is>
      </c>
      <c r="E21" s="132" t="inlineStr">
        <is>
          <t>LOW</t>
        </is>
      </c>
      <c r="F21" s="133" t="n">
        <v>0</v>
      </c>
      <c r="G21" s="134">
        <f>IF(F21="",0,C21*F21*10)</f>
        <v/>
      </c>
      <c r="H21" s="135" t="inlineStr">
        <is>
          <t>Current 14.9x  |  5yr avg 9.5x  [+57% vs benchmark]</t>
        </is>
      </c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</row>
    <row r="23" ht="20" customHeight="1">
      <c r="A23" s="139" t="inlineStr">
        <is>
          <t>TOTAL SCORE  (max = 100.0)</t>
        </is>
      </c>
      <c r="B23" s="140" t="n"/>
      <c r="C23" s="140" t="n"/>
      <c r="D23" s="140" t="n"/>
      <c r="E23" s="140" t="n"/>
      <c r="F23" s="140" t="n"/>
      <c r="G23" s="141">
        <f>G8+G9+G10+G11+G13+G14+G15+G16+G18+G19+G21</f>
        <v/>
      </c>
      <c r="H23" s="142" t="inlineStr">
        <is>
          <t>No floor cap.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4" customHeight="1">
      <c r="A25" s="143">
        <f>IF(G23="","Score incomplete — fill qualitative tiers above",IF(G23&gt;=80,"STRONG BUY",IF(G23&gt;=65,"BUY",IF(G23&gt;=50,"HOLD",IF(G23&gt;=35,"REDUCE","SELL")))))</f>
        <v/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18" customHeight="1">
      <c r="A27" s="144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7:H7"/>
    <mergeCell ref="A25:H25"/>
    <mergeCell ref="A20:H20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2026-05-15T12:00:15Z</dcterms:created>
  <dcterms:modified xsi:type="dcterms:W3CDTF">2026-05-15T12:00:29Z</dcterms:modified>
</cp:coreProperties>
</file>