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6" borderId="1" applyAlignment="1" pivotButton="0" quotePrefix="0" xfId="0">
      <alignment horizontal="center" vertical="center"/>
    </xf>
    <xf numFmtId="0" fontId="29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40000</v>
      </c>
    </row>
    <row r="8">
      <c r="A8" s="3" t="inlineStr">
        <is>
          <t>Gross Profit ($mm)</t>
        </is>
      </c>
      <c r="B8" s="7" t="n">
        <v>26003</v>
      </c>
    </row>
    <row r="9">
      <c r="A9" s="3" t="inlineStr">
        <is>
          <t>EBITDA ($mm)</t>
        </is>
      </c>
      <c r="B9" s="7" t="n">
        <v>26003</v>
      </c>
    </row>
    <row r="10">
      <c r="A10" s="3" t="inlineStr">
        <is>
          <t>EBIT ($mm)</t>
        </is>
      </c>
      <c r="B10" s="7" t="n">
        <v>24783</v>
      </c>
    </row>
    <row r="11">
      <c r="A11" s="3" t="inlineStr">
        <is>
          <t>Net Income ($mm)</t>
        </is>
      </c>
      <c r="B11" s="7" t="n">
        <v>20545.94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24105</v>
      </c>
      <c r="C5" s="16" t="n">
        <v>29310</v>
      </c>
      <c r="D5" s="16" t="n">
        <v>32653</v>
      </c>
      <c r="E5" s="16" t="n">
        <v>35926</v>
      </c>
      <c r="F5" s="16" t="n">
        <v>40000</v>
      </c>
    </row>
    <row r="6">
      <c r="A6" s="17" t="inlineStr">
        <is>
          <t>(2)  Cost of Revenue (COGS)</t>
        </is>
      </c>
      <c r="B6" s="18" t="n"/>
      <c r="C6" s="18" t="n"/>
      <c r="D6" s="18" t="n"/>
      <c r="E6" s="18" t="n"/>
      <c r="F6" s="18" t="n"/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/>
      <c r="C9" s="18" t="n"/>
      <c r="D9" s="18" t="n"/>
      <c r="E9" s="18" t="n"/>
      <c r="F9" s="18" t="n"/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/>
      <c r="C11" s="18" t="n"/>
      <c r="D11" s="18" t="n"/>
      <c r="E11" s="18" t="n"/>
      <c r="F11" s="18" t="n"/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805.11</v>
      </c>
      <c r="C14" s="18" t="n">
        <v>861.71</v>
      </c>
      <c r="D14" s="18" t="n">
        <v>943.67</v>
      </c>
      <c r="E14" s="18" t="n">
        <v>1034.67</v>
      </c>
      <c r="F14" s="18" t="n">
        <v>1220</v>
      </c>
    </row>
    <row r="15">
      <c r="A15" s="19" t="inlineStr">
        <is>
          <t>(8)  EBIT (Operating Income)</t>
        </is>
      </c>
      <c r="B15" s="24" t="n">
        <v>16574.89</v>
      </c>
      <c r="C15" s="24" t="n">
        <v>18673.29</v>
      </c>
      <c r="D15" s="24" t="n">
        <v>21680.33</v>
      </c>
      <c r="E15" s="24" t="n">
        <v>24556.33</v>
      </c>
      <c r="F15" s="24" t="n">
        <v>24783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21" t="inlineStr">
        <is>
          <t xml:space="preserve">     Interest Income</t>
        </is>
      </c>
      <c r="B18" s="18" t="n"/>
      <c r="C18" s="18" t="n"/>
      <c r="D18" s="18" t="n"/>
      <c r="E18" s="18" t="n"/>
      <c r="F18" s="18" t="n"/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16574.6</v>
      </c>
      <c r="C21" s="24" t="n">
        <v>18673.4</v>
      </c>
      <c r="D21" s="24" t="n">
        <v>21681.59</v>
      </c>
      <c r="E21" s="24" t="n">
        <v>24555.42</v>
      </c>
      <c r="F21" s="24" t="n">
        <v>24784</v>
      </c>
    </row>
    <row r="22">
      <c r="A22" s="17" t="inlineStr">
        <is>
          <t>(11) Income Tax Expense</t>
        </is>
      </c>
      <c r="B22" s="18" t="n">
        <v>3871.83</v>
      </c>
      <c r="C22" s="18" t="n">
        <v>3273.45</v>
      </c>
      <c r="D22" s="18" t="n">
        <v>3878.84</v>
      </c>
      <c r="E22" s="18" t="n">
        <v>4284.92</v>
      </c>
      <c r="F22" s="18" t="n">
        <v>4238.06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12702.77</v>
      </c>
      <c r="C24" s="24" t="n">
        <v>15399.95</v>
      </c>
      <c r="D24" s="24" t="n">
        <v>17802.76</v>
      </c>
      <c r="E24" s="24" t="n">
        <v>20270.5</v>
      </c>
      <c r="F24" s="24" t="n">
        <v>20545.94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24105</v>
      </c>
      <c r="C30" s="16" t="n">
        <v>29310</v>
      </c>
      <c r="D30" s="16" t="n">
        <v>32653</v>
      </c>
      <c r="E30" s="16" t="n">
        <v>35926</v>
      </c>
      <c r="F30" s="16" t="n">
        <v>40000</v>
      </c>
    </row>
    <row r="31">
      <c r="A31" s="17" t="inlineStr">
        <is>
          <t>Cost of Revenue</t>
        </is>
      </c>
      <c r="B31" s="18" t="n"/>
      <c r="C31" s="18" t="n"/>
      <c r="D31" s="18" t="n"/>
      <c r="E31" s="18" t="n"/>
      <c r="F31" s="18" t="n"/>
    </row>
    <row r="32">
      <c r="A32" s="26" t="inlineStr">
        <is>
          <t>Gross Profit</t>
        </is>
      </c>
      <c r="B32" s="27" t="n">
        <v>17380</v>
      </c>
      <c r="C32" s="27" t="n">
        <v>19535</v>
      </c>
      <c r="D32" s="27" t="n">
        <v>22624</v>
      </c>
      <c r="E32" s="27" t="n">
        <v>25591</v>
      </c>
      <c r="F32" s="27" t="n">
        <v>26003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/>
      <c r="C34" s="18" t="n"/>
      <c r="D34" s="18" t="n"/>
      <c r="E34" s="18" t="n"/>
      <c r="F34" s="18" t="n"/>
    </row>
    <row r="35">
      <c r="A35" s="17" t="inlineStr">
        <is>
          <t>General &amp; Administrative</t>
        </is>
      </c>
      <c r="B35" s="18" t="n"/>
      <c r="C35" s="18" t="n"/>
      <c r="D35" s="18" t="n"/>
      <c r="E35" s="18" t="n"/>
      <c r="F35" s="18" t="n"/>
    </row>
    <row r="36">
      <c r="A36" s="17" t="inlineStr">
        <is>
          <t>Selling &amp; Marketing</t>
        </is>
      </c>
      <c r="B36" s="18" t="n"/>
      <c r="C36" s="18" t="n"/>
      <c r="D36" s="18" t="n"/>
      <c r="E36" s="18" t="n"/>
      <c r="F36" s="18" t="n"/>
    </row>
    <row r="37">
      <c r="A37" s="17" t="inlineStr">
        <is>
          <t>SG&amp;A (Combined)</t>
        </is>
      </c>
      <c r="B37" s="18" t="n"/>
      <c r="C37" s="18" t="n"/>
      <c r="D37" s="18" t="n"/>
      <c r="E37" s="18" t="n"/>
      <c r="F37" s="18" t="n"/>
    </row>
    <row r="38">
      <c r="A38" s="17" t="inlineStr">
        <is>
          <t>Other Expenses</t>
        </is>
      </c>
      <c r="B38" s="18" t="n"/>
      <c r="C38" s="18" t="n"/>
      <c r="D38" s="18" t="n"/>
      <c r="E38" s="18" t="n"/>
      <c r="F38" s="18" t="n"/>
    </row>
    <row r="39">
      <c r="A39" s="26" t="inlineStr">
        <is>
          <t>Total Operating Expenses</t>
        </is>
      </c>
      <c r="B39" s="27" t="n"/>
      <c r="C39" s="27" t="n"/>
      <c r="D39" s="27" t="n"/>
      <c r="E39" s="27" t="n"/>
      <c r="F39" s="27" t="n"/>
    </row>
    <row r="40">
      <c r="A40" s="17" t="inlineStr">
        <is>
          <t>Cost &amp; Expenses (COGS + Opex)</t>
        </is>
      </c>
      <c r="B40" s="18" t="n"/>
      <c r="C40" s="18" t="n"/>
      <c r="D40" s="18" t="n"/>
      <c r="E40" s="18" t="n"/>
      <c r="F40" s="18" t="n"/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16574.89</v>
      </c>
      <c r="C42" s="16" t="n">
        <v>18673.29</v>
      </c>
      <c r="D42" s="16" t="n">
        <v>21680.33</v>
      </c>
      <c r="E42" s="16" t="n">
        <v>24556.33</v>
      </c>
      <c r="F42" s="16" t="n">
        <v>24783</v>
      </c>
    </row>
    <row r="43">
      <c r="A43" s="17" t="inlineStr">
        <is>
          <t>EBIT (FMP field)</t>
        </is>
      </c>
      <c r="B43" s="18" t="n"/>
      <c r="C43" s="18" t="n"/>
      <c r="D43" s="18" t="n"/>
      <c r="E43" s="18" t="n"/>
      <c r="F43" s="18" t="n"/>
    </row>
    <row r="44">
      <c r="A44" s="26" t="inlineStr">
        <is>
          <t>EBITDA</t>
        </is>
      </c>
      <c r="B44" s="27" t="n">
        <v>17380</v>
      </c>
      <c r="C44" s="27" t="n">
        <v>19535</v>
      </c>
      <c r="D44" s="27" t="n">
        <v>22624</v>
      </c>
      <c r="E44" s="27" t="n">
        <v>25591</v>
      </c>
      <c r="F44" s="27" t="n">
        <v>26003</v>
      </c>
    </row>
    <row r="45">
      <c r="A45" s="17" t="inlineStr">
        <is>
          <t>Depreciation &amp; Amortisation</t>
        </is>
      </c>
      <c r="B45" s="18" t="n">
        <v>805.11</v>
      </c>
      <c r="C45" s="18" t="n">
        <v>861.71</v>
      </c>
      <c r="D45" s="18" t="n">
        <v>943.67</v>
      </c>
      <c r="E45" s="18" t="n">
        <v>1034.67</v>
      </c>
      <c r="F45" s="18" t="n">
        <v>1220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/>
      <c r="C47" s="18" t="n"/>
      <c r="D47" s="18" t="n"/>
      <c r="E47" s="18" t="n"/>
      <c r="F47" s="18" t="n"/>
    </row>
    <row r="48">
      <c r="A48" s="17" t="inlineStr">
        <is>
          <t>Interest Expense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Net Interest Income</t>
        </is>
      </c>
      <c r="B49" s="18" t="n"/>
      <c r="C49" s="18" t="n"/>
      <c r="D49" s="18" t="n"/>
      <c r="E49" s="18" t="n"/>
      <c r="F49" s="18" t="n"/>
    </row>
    <row r="50">
      <c r="A50" s="17" t="inlineStr">
        <is>
          <t>Non-Operating Income (ex-interest)</t>
        </is>
      </c>
      <c r="B50" s="18" t="n"/>
      <c r="C50" s="18" t="n"/>
      <c r="D50" s="18" t="n"/>
      <c r="E50" s="18" t="n"/>
      <c r="F50" s="18" t="n"/>
    </row>
    <row r="51">
      <c r="A51" s="17" t="inlineStr">
        <is>
          <t>Total Other Income / (Expenses)</t>
        </is>
      </c>
      <c r="B51" s="18" t="n"/>
      <c r="C51" s="18" t="n"/>
      <c r="D51" s="18" t="n"/>
      <c r="E51" s="18" t="n"/>
      <c r="F51" s="18" t="n"/>
    </row>
    <row r="52">
      <c r="A52" s="26" t="inlineStr">
        <is>
          <t>EBT / Income Before Tax</t>
        </is>
      </c>
      <c r="B52" s="27" t="n">
        <v>16574.6</v>
      </c>
      <c r="C52" s="27" t="n">
        <v>18673.4</v>
      </c>
      <c r="D52" s="27" t="n">
        <v>21681.59</v>
      </c>
      <c r="E52" s="27" t="n">
        <v>24555.42</v>
      </c>
      <c r="F52" s="27" t="n">
        <v>24784</v>
      </c>
    </row>
    <row r="53">
      <c r="A53" s="17" t="inlineStr">
        <is>
          <t>Income Tax Expense</t>
        </is>
      </c>
      <c r="B53" s="18" t="n">
        <v>3871.83</v>
      </c>
      <c r="C53" s="18" t="n">
        <v>3273.45</v>
      </c>
      <c r="D53" s="18" t="n">
        <v>3878.84</v>
      </c>
      <c r="E53" s="18" t="n">
        <v>4284.92</v>
      </c>
      <c r="F53" s="18" t="n">
        <v>4238.06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/>
      <c r="C55" s="18" t="n"/>
      <c r="D55" s="18" t="n"/>
      <c r="E55" s="18" t="n"/>
      <c r="F55" s="18" t="n"/>
    </row>
    <row r="56">
      <c r="A56" s="17" t="inlineStr">
        <is>
          <t>Net Income from Discontinued Ops</t>
        </is>
      </c>
      <c r="B56" s="18" t="n"/>
      <c r="C56" s="18" t="n"/>
      <c r="D56" s="18" t="n"/>
      <c r="E56" s="18" t="n"/>
      <c r="F56" s="18" t="n"/>
    </row>
    <row r="57">
      <c r="A57" s="17" t="inlineStr">
        <is>
          <t>Other Adjustments to Net Income</t>
        </is>
      </c>
      <c r="B57" s="18" t="n"/>
      <c r="C57" s="18" t="n"/>
      <c r="D57" s="18" t="n"/>
      <c r="E57" s="18" t="n"/>
      <c r="F57" s="18" t="n"/>
    </row>
    <row r="58">
      <c r="A58" s="17" t="inlineStr">
        <is>
          <t>Net Income Deductions</t>
        </is>
      </c>
      <c r="B58" s="18" t="n"/>
      <c r="C58" s="18" t="n"/>
      <c r="D58" s="18" t="n"/>
      <c r="E58" s="18" t="n"/>
      <c r="F58" s="18" t="n"/>
    </row>
    <row r="59">
      <c r="A59" s="26" t="inlineStr">
        <is>
          <t>Net Income</t>
        </is>
      </c>
      <c r="B59" s="27" t="n">
        <v>12702.77</v>
      </c>
      <c r="C59" s="27" t="n">
        <v>15399.95</v>
      </c>
      <c r="D59" s="27" t="n">
        <v>17802.76</v>
      </c>
      <c r="E59" s="27" t="n">
        <v>20270.5</v>
      </c>
      <c r="F59" s="27" t="n">
        <v>20545.94</v>
      </c>
    </row>
    <row r="60">
      <c r="A60" s="15" t="inlineStr">
        <is>
          <t>Bottom Line Net Income</t>
        </is>
      </c>
      <c r="B60" s="16" t="n"/>
      <c r="C60" s="16" t="n"/>
      <c r="D60" s="16" t="n"/>
      <c r="E60" s="16" t="n"/>
      <c r="F60" s="16" t="n"/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/>
      <c r="C62" s="18" t="n"/>
      <c r="D62" s="18" t="n"/>
      <c r="E62" s="18" t="n"/>
      <c r="F62" s="18" t="n"/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/>
      <c r="C64" s="18" t="n"/>
      <c r="D64" s="18" t="n"/>
      <c r="E64" s="18" t="n"/>
      <c r="F64" s="18" t="n"/>
    </row>
    <row r="65">
      <c r="A65" s="17" t="inlineStr">
        <is>
          <t>Shares Outstanding — Diluted (mm)</t>
        </is>
      </c>
      <c r="B65" s="18" t="n"/>
      <c r="C65" s="18" t="n"/>
      <c r="D65" s="18" t="n"/>
      <c r="E65" s="18" t="n"/>
      <c r="F65" s="18" t="n"/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/>
      <c r="C67" s="18" t="inlineStr"/>
      <c r="D67" s="18" t="inlineStr"/>
      <c r="E67" s="18" t="inlineStr"/>
      <c r="F67" s="18" t="inlineStr"/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</row>
    <row r="6">
      <c r="A6" s="17" t="inlineStr">
        <is>
          <t>(2)  Receivables</t>
        </is>
      </c>
      <c r="B6" s="18" t="n"/>
      <c r="C6" s="18" t="n"/>
      <c r="D6" s="18" t="n"/>
      <c r="E6" s="18" t="n"/>
      <c r="F6" s="18" t="n"/>
    </row>
    <row r="7">
      <c r="A7" s="17" t="inlineStr">
        <is>
          <t>(3)  Inventory</t>
        </is>
      </c>
      <c r="B7" s="18" t="n"/>
      <c r="C7" s="18" t="n"/>
      <c r="D7" s="18" t="n"/>
      <c r="E7" s="18" t="n"/>
      <c r="F7" s="18" t="n"/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/>
      <c r="C9" s="24" t="n"/>
      <c r="D9" s="24" t="n"/>
      <c r="E9" s="24" t="n"/>
      <c r="F9" s="24" t="n"/>
    </row>
    <row r="10">
      <c r="A10" s="17" t="inlineStr">
        <is>
          <t>(6)  PP&amp;E (Net)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(7)  Goodwill</t>
        </is>
      </c>
      <c r="B11" s="18" t="n"/>
      <c r="C11" s="18" t="n"/>
      <c r="D11" s="18" t="n"/>
      <c r="E11" s="18" t="n"/>
      <c r="F11" s="18" t="n"/>
    </row>
    <row r="12">
      <c r="A12" s="17" t="inlineStr">
        <is>
          <t>(8)  Deferred Tax Assets</t>
        </is>
      </c>
      <c r="B12" s="18" t="n"/>
      <c r="C12" s="18" t="n"/>
      <c r="D12" s="18" t="n"/>
      <c r="E12" s="18" t="n"/>
      <c r="F12" s="18" t="n"/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/>
      <c r="C14" s="24" t="n"/>
      <c r="D14" s="24" t="n"/>
      <c r="E14" s="24" t="n"/>
      <c r="F14" s="24" t="n"/>
    </row>
    <row r="15">
      <c r="A15" s="19" t="inlineStr">
        <is>
          <t>(11) Total Assets</t>
        </is>
      </c>
      <c r="B15" s="24" t="n">
        <v>36157.5</v>
      </c>
      <c r="C15" s="24" t="n">
        <v>43965</v>
      </c>
      <c r="D15" s="24" t="n">
        <v>48979.5</v>
      </c>
      <c r="E15" s="24" t="n">
        <v>53889</v>
      </c>
      <c r="F15" s="24" t="n">
        <v>60000</v>
      </c>
    </row>
    <row r="16" ht="6" customHeight="1"/>
    <row r="17">
      <c r="A17" s="17" t="inlineStr">
        <is>
          <t>(12) Accounts Payable</t>
        </is>
      </c>
      <c r="B17" s="18" t="n"/>
      <c r="C17" s="18" t="n"/>
      <c r="D17" s="18" t="n"/>
      <c r="E17" s="18" t="n"/>
      <c r="F17" s="18" t="n"/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/>
      <c r="C21" s="24" t="n"/>
      <c r="D21" s="24" t="n"/>
      <c r="E21" s="24" t="n"/>
      <c r="F21" s="24" t="n"/>
    </row>
    <row r="22">
      <c r="A22" s="17" t="inlineStr">
        <is>
          <t>(17) Long-Term Debt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5017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/>
      <c r="C25" s="24" t="n"/>
      <c r="D25" s="24" t="n"/>
      <c r="E25" s="24" t="n"/>
      <c r="F25" s="24" t="n"/>
    </row>
    <row r="26" ht="6" customHeight="1"/>
    <row r="27">
      <c r="A27" s="17" t="inlineStr">
        <is>
          <t>(21) Common Stock &amp; APIC</t>
        </is>
      </c>
      <c r="B27" s="18" t="n"/>
      <c r="C27" s="18" t="n"/>
      <c r="D27" s="18" t="n"/>
      <c r="E27" s="18" t="n"/>
      <c r="F27" s="18" t="n"/>
    </row>
    <row r="28">
      <c r="A28" s="17" t="inlineStr">
        <is>
          <t>(22) Retained Earnings</t>
        </is>
      </c>
      <c r="B28" s="18" t="n"/>
      <c r="C28" s="18" t="n"/>
      <c r="D28" s="18" t="n"/>
      <c r="E28" s="18" t="n"/>
      <c r="F28" s="18" t="n"/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63513.86</v>
      </c>
      <c r="C30" s="24" t="n">
        <v>76999.77</v>
      </c>
      <c r="D30" s="24" t="n">
        <v>89013.78</v>
      </c>
      <c r="E30" s="24" t="n">
        <v>101352.5</v>
      </c>
      <c r="F30" s="24" t="n">
        <v>102729.68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Short-Term Investments</t>
        </is>
      </c>
      <c r="B37" s="18" t="n"/>
      <c r="C37" s="18" t="n"/>
      <c r="D37" s="18" t="n"/>
      <c r="E37" s="18" t="n"/>
      <c r="F37" s="18" t="n"/>
    </row>
    <row r="38">
      <c r="A38" s="28" t="inlineStr">
        <is>
          <t>Cash &amp; Short-Term Investments</t>
        </is>
      </c>
      <c r="B38" s="29" t="n"/>
      <c r="C38" s="29" t="n"/>
      <c r="D38" s="29" t="n"/>
      <c r="E38" s="29" t="n"/>
      <c r="F38" s="29" t="n"/>
    </row>
    <row r="39">
      <c r="A39" s="17" t="inlineStr">
        <is>
          <t>Accounts Receivable (Trade)</t>
        </is>
      </c>
      <c r="B39" s="18" t="n"/>
      <c r="C39" s="18" t="n"/>
      <c r="D39" s="18" t="n"/>
      <c r="E39" s="18" t="n"/>
      <c r="F39" s="18" t="n"/>
    </row>
    <row r="40">
      <c r="A40" s="17" t="inlineStr">
        <is>
          <t>Other Receivables</t>
        </is>
      </c>
      <c r="B40" s="18" t="n"/>
      <c r="C40" s="18" t="n"/>
      <c r="D40" s="18" t="n"/>
      <c r="E40" s="18" t="n"/>
      <c r="F40" s="18" t="n"/>
    </row>
    <row r="41">
      <c r="A41" s="28" t="inlineStr">
        <is>
          <t>Net Receivables (Total)</t>
        </is>
      </c>
      <c r="B41" s="29" t="n"/>
      <c r="C41" s="29" t="n"/>
      <c r="D41" s="29" t="n"/>
      <c r="E41" s="29" t="n"/>
      <c r="F41" s="29" t="n"/>
    </row>
    <row r="42">
      <c r="A42" s="17" t="inlineStr">
        <is>
          <t>Inventory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Prepaids</t>
        </is>
      </c>
      <c r="B43" s="18" t="n"/>
      <c r="C43" s="18" t="n"/>
      <c r="D43" s="18" t="n"/>
      <c r="E43" s="18" t="n"/>
      <c r="F43" s="18" t="n"/>
    </row>
    <row r="44">
      <c r="A44" s="17" t="inlineStr">
        <is>
          <t>Other Current Assets</t>
        </is>
      </c>
      <c r="B44" s="18" t="n"/>
      <c r="C44" s="18" t="n"/>
      <c r="D44" s="18" t="n"/>
      <c r="E44" s="18" t="n"/>
      <c r="F44" s="18" t="n"/>
    </row>
    <row r="45">
      <c r="A45" s="26" t="inlineStr">
        <is>
          <t>Total Current Assets</t>
        </is>
      </c>
      <c r="B45" s="27" t="n"/>
      <c r="C45" s="27" t="n"/>
      <c r="D45" s="27" t="n"/>
      <c r="E45" s="27" t="n"/>
      <c r="F45" s="27" t="n"/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/>
      <c r="C47" s="18" t="n"/>
      <c r="D47" s="18" t="n"/>
      <c r="E47" s="18" t="n"/>
      <c r="F47" s="18" t="n"/>
    </row>
    <row r="48">
      <c r="A48" s="17" t="inlineStr">
        <is>
          <t>Goodwill</t>
        </is>
      </c>
      <c r="B48" s="18" t="n"/>
      <c r="C48" s="18" t="n"/>
      <c r="D48" s="18" t="n"/>
      <c r="E48" s="18" t="n"/>
      <c r="F48" s="18" t="n"/>
    </row>
    <row r="49">
      <c r="A49" s="17" t="inlineStr">
        <is>
          <t>Intangible Assets</t>
        </is>
      </c>
      <c r="B49" s="18" t="n"/>
      <c r="C49" s="18" t="n"/>
      <c r="D49" s="18" t="n"/>
      <c r="E49" s="18" t="n"/>
      <c r="F49" s="18" t="n"/>
    </row>
    <row r="50">
      <c r="A50" s="17" t="inlineStr">
        <is>
          <t>Long-Term Investments</t>
        </is>
      </c>
      <c r="B50" s="18" t="n"/>
      <c r="C50" s="18" t="n"/>
      <c r="D50" s="18" t="n"/>
      <c r="E50" s="18" t="n"/>
      <c r="F50" s="18" t="n"/>
    </row>
    <row r="51">
      <c r="A51" s="17" t="inlineStr">
        <is>
          <t>Tax Assets (Deferred)</t>
        </is>
      </c>
      <c r="B51" s="18" t="n"/>
      <c r="C51" s="18" t="n"/>
      <c r="D51" s="18" t="n"/>
      <c r="E51" s="18" t="n"/>
      <c r="F51" s="18" t="n"/>
    </row>
    <row r="52">
      <c r="A52" s="17" t="inlineStr">
        <is>
          <t>Total Investments</t>
        </is>
      </c>
      <c r="B52" s="18" t="n"/>
      <c r="C52" s="18" t="n"/>
      <c r="D52" s="18" t="n"/>
      <c r="E52" s="18" t="n"/>
      <c r="F52" s="18" t="n"/>
    </row>
    <row r="53">
      <c r="A53" s="17" t="inlineStr">
        <is>
          <t>Other Non-Current Assets</t>
        </is>
      </c>
      <c r="B53" s="18" t="n"/>
      <c r="C53" s="18" t="n"/>
      <c r="D53" s="18" t="n"/>
      <c r="E53" s="18" t="n"/>
      <c r="F53" s="18" t="n"/>
    </row>
    <row r="54">
      <c r="A54" s="26" t="inlineStr">
        <is>
          <t>Total Non-Current Assets</t>
        </is>
      </c>
      <c r="B54" s="27" t="n"/>
      <c r="C54" s="27" t="n"/>
      <c r="D54" s="27" t="n"/>
      <c r="E54" s="27" t="n"/>
      <c r="F54" s="27" t="n"/>
    </row>
    <row r="55">
      <c r="A55" s="13" t="inlineStr">
        <is>
          <t>TOTAL ASSETS</t>
        </is>
      </c>
      <c r="B55" s="30" t="n">
        <v>36157.5</v>
      </c>
      <c r="C55" s="30" t="n">
        <v>43965</v>
      </c>
      <c r="D55" s="30" t="n">
        <v>48979.5</v>
      </c>
      <c r="E55" s="30" t="n">
        <v>53889</v>
      </c>
      <c r="F55" s="30" t="n">
        <v>60000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/>
      <c r="C57" s="18" t="n"/>
      <c r="D57" s="18" t="n"/>
      <c r="E57" s="18" t="n"/>
      <c r="F57" s="18" t="n"/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/>
      <c r="C60" s="18" t="n"/>
      <c r="D60" s="18" t="n"/>
      <c r="E60" s="18" t="n"/>
      <c r="F60" s="18" t="n"/>
    </row>
    <row r="61">
      <c r="A61" s="17" t="inlineStr">
        <is>
          <t>Accrued &amp; Other Current Liabilities</t>
        </is>
      </c>
      <c r="B61" s="18" t="n"/>
      <c r="C61" s="18" t="n"/>
      <c r="D61" s="18" t="n"/>
      <c r="E61" s="18" t="n"/>
      <c r="F61" s="18" t="n"/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/>
      <c r="C63" s="27" t="n"/>
      <c r="D63" s="27" t="n"/>
      <c r="E63" s="27" t="n"/>
      <c r="F63" s="27" t="n"/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0</v>
      </c>
      <c r="C65" s="18" t="n">
        <v>0</v>
      </c>
      <c r="D65" s="18" t="n">
        <v>0</v>
      </c>
      <c r="E65" s="18" t="n">
        <v>0</v>
      </c>
      <c r="F65" s="18" t="n">
        <v>5017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/>
      <c r="C67" s="18" t="n"/>
      <c r="D67" s="18" t="n"/>
      <c r="E67" s="18" t="n"/>
      <c r="F67" s="18" t="n"/>
    </row>
    <row r="68">
      <c r="A68" s="17" t="inlineStr">
        <is>
          <t>Deferred Tax Liabilities</t>
        </is>
      </c>
      <c r="B68" s="18" t="n"/>
      <c r="C68" s="18" t="n"/>
      <c r="D68" s="18" t="n"/>
      <c r="E68" s="18" t="n"/>
      <c r="F68" s="18" t="n"/>
    </row>
    <row r="69">
      <c r="A69" s="17" t="inlineStr">
        <is>
          <t>Other Non-Current Liabilities</t>
        </is>
      </c>
      <c r="B69" s="18" t="n"/>
      <c r="C69" s="18" t="n"/>
      <c r="D69" s="18" t="n"/>
      <c r="E69" s="18" t="n"/>
      <c r="F69" s="18" t="n"/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/>
      <c r="C71" s="30" t="n"/>
      <c r="D71" s="30" t="n"/>
      <c r="E71" s="30" t="n"/>
      <c r="F71" s="30" t="n"/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/>
      <c r="C73" s="18" t="n"/>
      <c r="D73" s="18" t="n"/>
      <c r="E73" s="18" t="n"/>
      <c r="F73" s="18" t="n"/>
    </row>
    <row r="74">
      <c r="A74" s="17" t="inlineStr">
        <is>
          <t>Retained Earnings</t>
        </is>
      </c>
      <c r="B74" s="18" t="n"/>
      <c r="C74" s="18" t="n"/>
      <c r="D74" s="18" t="n"/>
      <c r="E74" s="18" t="n"/>
      <c r="F74" s="18" t="n"/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/>
      <c r="C77" s="18" t="n"/>
      <c r="D77" s="18" t="n"/>
      <c r="E77" s="18" t="n"/>
      <c r="F77" s="18" t="n"/>
    </row>
    <row r="78">
      <c r="A78" s="26" t="inlineStr">
        <is>
          <t>Total Equity (inc. Minority)</t>
        </is>
      </c>
      <c r="B78" s="27" t="n"/>
      <c r="C78" s="27" t="n"/>
      <c r="D78" s="27" t="n"/>
      <c r="E78" s="27" t="n"/>
      <c r="F78" s="27" t="n"/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/>
      <c r="C5" s="24" t="n"/>
      <c r="D5" s="24" t="n"/>
      <c r="E5" s="24" t="n"/>
      <c r="F5" s="24" t="n"/>
    </row>
    <row r="6">
      <c r="A6" s="17" t="inlineStr">
        <is>
          <t>(2)  Capital Expenditures</t>
        </is>
      </c>
      <c r="B6" s="18" t="n">
        <v>-703.87</v>
      </c>
      <c r="C6" s="18" t="n">
        <v>-970.16</v>
      </c>
      <c r="D6" s="18" t="n">
        <v>-1057.96</v>
      </c>
      <c r="E6" s="18" t="n">
        <v>-1257.41</v>
      </c>
      <c r="F6" s="18" t="n">
        <v>-1480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/>
      <c r="C9" s="18" t="n"/>
      <c r="D9" s="18" t="n"/>
      <c r="E9" s="18" t="n"/>
      <c r="F9" s="18" t="n"/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/>
      <c r="C11" s="18" t="n"/>
      <c r="D11" s="18" t="n"/>
      <c r="E11" s="18" t="n"/>
      <c r="F11" s="18" t="n"/>
    </row>
    <row r="12">
      <c r="A12" s="17" t="inlineStr">
        <is>
          <t>(7)  Dividends Paid</t>
        </is>
      </c>
      <c r="B12" s="18" t="n"/>
      <c r="C12" s="18" t="n"/>
      <c r="D12" s="18" t="n"/>
      <c r="E12" s="18" t="n"/>
      <c r="F12" s="18" t="n"/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12803.2</v>
      </c>
      <c r="C15" s="24" t="n">
        <v>15291.7</v>
      </c>
      <c r="D15" s="24" t="n">
        <v>17685.8</v>
      </c>
      <c r="E15" s="24" t="n">
        <v>20049.2</v>
      </c>
      <c r="F15" s="24" t="n">
        <v>20284.3</v>
      </c>
    </row>
    <row r="16">
      <c r="A16" s="15" t="inlineStr">
        <is>
          <t xml:space="preserve">     Net Change in Cash</t>
        </is>
      </c>
      <c r="B16" s="16" t="n"/>
      <c r="C16" s="16" t="n"/>
      <c r="D16" s="16" t="n"/>
      <c r="E16" s="16" t="n"/>
      <c r="F16" s="16" t="n"/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/>
      <c r="C21" s="18" t="n"/>
      <c r="D21" s="18" t="n"/>
      <c r="E21" s="18" t="n"/>
      <c r="F21" s="18" t="n"/>
    </row>
    <row r="22">
      <c r="A22" s="17" t="inlineStr">
        <is>
          <t>Depreciation &amp; Amortisation</t>
        </is>
      </c>
      <c r="B22" s="18" t="n">
        <v>805.11</v>
      </c>
      <c r="C22" s="18" t="n">
        <v>861.71</v>
      </c>
      <c r="D22" s="18" t="n">
        <v>943.67</v>
      </c>
      <c r="E22" s="18" t="n">
        <v>1034.67</v>
      </c>
      <c r="F22" s="18" t="n">
        <v>1220</v>
      </c>
    </row>
    <row r="23">
      <c r="A23" s="17" t="inlineStr">
        <is>
          <t>Deferred Income Tax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Stock-Based Compensation</t>
        </is>
      </c>
      <c r="B24" s="18" t="n"/>
      <c r="C24" s="18" t="n"/>
      <c r="D24" s="18" t="n"/>
      <c r="E24" s="18" t="n"/>
      <c r="F24" s="18" t="n"/>
    </row>
    <row r="25">
      <c r="A25" s="17" t="inlineStr">
        <is>
          <t>Change in Working Capital</t>
        </is>
      </c>
      <c r="B25" s="18" t="n"/>
      <c r="C25" s="18" t="n"/>
      <c r="D25" s="18" t="n"/>
      <c r="E25" s="18" t="n"/>
      <c r="F25" s="18" t="n"/>
    </row>
    <row r="26">
      <c r="A26" s="21" t="inlineStr">
        <is>
          <t xml:space="preserve">  — Accounts Receivable</t>
        </is>
      </c>
      <c r="B26" s="18" t="n"/>
      <c r="C26" s="18" t="n"/>
      <c r="D26" s="18" t="n"/>
      <c r="E26" s="18" t="n"/>
      <c r="F26" s="18" t="n"/>
    </row>
    <row r="27">
      <c r="A27" s="21" t="inlineStr">
        <is>
          <t xml:space="preserve">  — Inventory</t>
        </is>
      </c>
      <c r="B27" s="18" t="n"/>
      <c r="C27" s="18" t="n"/>
      <c r="D27" s="18" t="n"/>
      <c r="E27" s="18" t="n"/>
      <c r="F27" s="18" t="n"/>
    </row>
    <row r="28">
      <c r="A28" s="21" t="inlineStr">
        <is>
          <t xml:space="preserve">  — Accounts Payable</t>
        </is>
      </c>
      <c r="B28" s="18" t="n"/>
      <c r="C28" s="18" t="n"/>
      <c r="D28" s="18" t="n"/>
      <c r="E28" s="18" t="n"/>
      <c r="F28" s="18" t="n"/>
    </row>
    <row r="29">
      <c r="A29" s="21" t="inlineStr">
        <is>
          <t xml:space="preserve">  — Other Working Capital</t>
        </is>
      </c>
      <c r="B29" s="18" t="n"/>
      <c r="C29" s="18" t="n"/>
      <c r="D29" s="18" t="n"/>
      <c r="E29" s="18" t="n"/>
      <c r="F29" s="18" t="n"/>
    </row>
    <row r="30">
      <c r="A30" s="17" t="inlineStr">
        <is>
          <t>Other Non-Cash Items</t>
        </is>
      </c>
      <c r="B30" s="18" t="n"/>
      <c r="C30" s="18" t="n"/>
      <c r="D30" s="18" t="n"/>
      <c r="E30" s="18" t="n"/>
      <c r="F30" s="18" t="n"/>
    </row>
    <row r="31">
      <c r="A31" s="26" t="inlineStr">
        <is>
          <t>Net Cash from Operations (CFO)</t>
        </is>
      </c>
      <c r="B31" s="27" t="n"/>
      <c r="C31" s="27" t="n"/>
      <c r="D31" s="27" t="n"/>
      <c r="E31" s="27" t="n"/>
      <c r="F31" s="27" t="n"/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-703.87</v>
      </c>
      <c r="C33" s="18" t="n">
        <v>-970.16</v>
      </c>
      <c r="D33" s="18" t="n">
        <v>-1057.96</v>
      </c>
      <c r="E33" s="18" t="n">
        <v>-1257.41</v>
      </c>
      <c r="F33" s="18" t="n">
        <v>-1480</v>
      </c>
    </row>
    <row r="34">
      <c r="A34" s="21" t="inlineStr">
        <is>
          <t xml:space="preserve">  (Alt: Invest. in PP&amp;E)</t>
        </is>
      </c>
      <c r="B34" s="18" t="n"/>
      <c r="C34" s="18" t="n"/>
      <c r="D34" s="18" t="n"/>
      <c r="E34" s="18" t="n"/>
      <c r="F34" s="18" t="n"/>
    </row>
    <row r="35">
      <c r="A35" s="17" t="inlineStr">
        <is>
          <t>Acquisitions (Net)</t>
        </is>
      </c>
      <c r="B35" s="18" t="n"/>
      <c r="C35" s="18" t="n"/>
      <c r="D35" s="18" t="n"/>
      <c r="E35" s="18" t="n"/>
      <c r="F35" s="18" t="n"/>
    </row>
    <row r="36">
      <c r="A36" s="17" t="inlineStr">
        <is>
          <t>Purchases of Investments</t>
        </is>
      </c>
      <c r="B36" s="18" t="n"/>
      <c r="C36" s="18" t="n"/>
      <c r="D36" s="18" t="n"/>
      <c r="E36" s="18" t="n"/>
      <c r="F36" s="18" t="n"/>
    </row>
    <row r="37">
      <c r="A37" s="17" t="inlineStr">
        <is>
          <t>Sales / Maturities of Investments</t>
        </is>
      </c>
      <c r="B37" s="18" t="n"/>
      <c r="C37" s="18" t="n"/>
      <c r="D37" s="18" t="n"/>
      <c r="E37" s="18" t="n"/>
      <c r="F37" s="18" t="n"/>
    </row>
    <row r="38">
      <c r="A38" s="17" t="inlineStr">
        <is>
          <t>Other Investing Activities</t>
        </is>
      </c>
      <c r="B38" s="18" t="n"/>
      <c r="C38" s="18" t="n"/>
      <c r="D38" s="18" t="n"/>
      <c r="E38" s="18" t="n"/>
      <c r="F38" s="18" t="n"/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/>
      <c r="C41" s="18" t="n"/>
      <c r="D41" s="18" t="n"/>
      <c r="E41" s="18" t="n"/>
      <c r="F41" s="18" t="n"/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/>
      <c r="C43" s="18" t="n"/>
      <c r="D43" s="18" t="n"/>
      <c r="E43" s="18" t="n"/>
      <c r="F43" s="18" t="n"/>
    </row>
    <row r="44">
      <c r="A44" s="17" t="inlineStr">
        <is>
          <t>Common Stock Repurchased (Buybacks)</t>
        </is>
      </c>
      <c r="B44" s="18" t="n"/>
      <c r="C44" s="18" t="n"/>
      <c r="D44" s="18" t="n"/>
      <c r="E44" s="18" t="n"/>
      <c r="F44" s="18" t="n"/>
    </row>
    <row r="45">
      <c r="A45" s="17" t="inlineStr">
        <is>
          <t>Dividends Paid</t>
        </is>
      </c>
      <c r="B45" s="18" t="n"/>
      <c r="C45" s="18" t="n"/>
      <c r="D45" s="18" t="n"/>
      <c r="E45" s="18" t="n"/>
      <c r="F45" s="18" t="n"/>
    </row>
    <row r="46">
      <c r="A46" s="17" t="inlineStr">
        <is>
          <t>Other Financing Activities</t>
        </is>
      </c>
      <c r="B46" s="18" t="n"/>
      <c r="C46" s="18" t="n"/>
      <c r="D46" s="18" t="n"/>
      <c r="E46" s="18" t="n"/>
      <c r="F46" s="18" t="n"/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/>
      <c r="C49" s="18" t="n"/>
      <c r="D49" s="18" t="n"/>
      <c r="E49" s="18" t="n"/>
      <c r="F49" s="18" t="n"/>
    </row>
    <row r="50">
      <c r="A50" s="15" t="inlineStr">
        <is>
          <t>Net Change in Cash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Cash at Beginning of Period</t>
        </is>
      </c>
      <c r="B51" s="18" t="n"/>
      <c r="C51" s="18" t="n"/>
      <c r="D51" s="18" t="n"/>
      <c r="E51" s="18" t="n"/>
      <c r="F51" s="18" t="n"/>
    </row>
    <row r="52">
      <c r="A52" s="26" t="inlineStr">
        <is>
          <t>Cash at End of Period</t>
        </is>
      </c>
      <c r="B52" s="27" t="n"/>
      <c r="C52" s="27" t="n"/>
      <c r="D52" s="27" t="n"/>
      <c r="E52" s="27" t="n"/>
      <c r="F52" s="27" t="n"/>
    </row>
    <row r="53">
      <c r="A53" s="26" t="inlineStr">
        <is>
          <t>Free Cash Flow</t>
        </is>
      </c>
      <c r="B53" s="27" t="n">
        <v>12803.2</v>
      </c>
      <c r="C53" s="27" t="n">
        <v>15291.7</v>
      </c>
      <c r="D53" s="27" t="n">
        <v>17685.8</v>
      </c>
      <c r="E53" s="27" t="n">
        <v>20049.2</v>
      </c>
      <c r="F53" s="27" t="n">
        <v>20284.3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/>
      <c r="C61" s="18" t="n"/>
      <c r="D61" s="18" t="n"/>
      <c r="E61" s="18" t="n"/>
      <c r="F61" s="18" t="n"/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5017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0.0447</v>
      </c>
      <c r="C12" s="44" t="inlineStr">
        <is>
          <t>FRED series DGS10  |  latest: 2026-05-14</t>
        </is>
      </c>
    </row>
    <row r="13">
      <c r="A13" s="48" t="inlineStr">
        <is>
          <t>► Selected Rf  (override if needed)</t>
        </is>
      </c>
      <c r="B13" s="49" t="n">
        <v>0.0447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17.1%)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1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1" t="n"/>
      <c r="C33" s="44" t="inlineStr">
        <is>
          <t>EBIT $24783mm  /  Int Exp $0mm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999.0x  →  AAA</t>
        </is>
      </c>
    </row>
    <row r="35">
      <c r="A35" s="17" t="inlineStr">
        <is>
          <t>Synthetic Rd  (Rf + Damodaran default spread)</t>
        </is>
      </c>
      <c r="B35" s="47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7" t="n">
        <v>0</v>
      </c>
      <c r="C36" s="44" t="inlineStr">
        <is>
          <t>Cross-check only — backward-looking</t>
        </is>
      </c>
    </row>
    <row r="37">
      <c r="A37" s="48" t="inlineStr">
        <is>
          <t>► Selected pre-tax Rd  (user override)</t>
        </is>
      </c>
      <c r="B37" s="49" t="n">
        <v>0.025</v>
      </c>
      <c r="C37" s="50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7" t="n">
        <v>0.171</v>
      </c>
      <c r="C40" s="44" t="inlineStr">
        <is>
          <t>FMP: $4238mm  /  $24784mm</t>
        </is>
      </c>
    </row>
    <row r="41">
      <c r="A41" s="48" t="inlineStr">
        <is>
          <t>► Selected tax rate  (user override)</t>
        </is>
      </c>
      <c r="B41" s="49" t="n">
        <v>0.171</v>
      </c>
      <c r="C41" s="50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5" t="inlineStr">
        <is>
          <t>WACC  =  (E/V × Re)  +  (D/V × Rd × (1 − t))</t>
        </is>
      </c>
      <c r="B44" s="56">
        <f>B8*B28+B9*B37*(1-B41)</f>
        <v/>
      </c>
      <c r="C44" s="57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8" t="inlineStr">
        <is>
          <t>Beta offset  \  ERP offset →</t>
        </is>
      </c>
      <c r="B47" s="58" t="inlineStr">
        <is>
          <t>-1.0%</t>
        </is>
      </c>
      <c r="C47" s="58" t="inlineStr">
        <is>
          <t>-0.5%</t>
        </is>
      </c>
      <c r="D47" s="58" t="inlineStr">
        <is>
          <t>Base ERP</t>
        </is>
      </c>
      <c r="E47" s="58" t="inlineStr">
        <is>
          <t>+0.5%</t>
        </is>
      </c>
      <c r="F47" s="58" t="inlineStr">
        <is>
          <t>+1.0%</t>
        </is>
      </c>
    </row>
    <row r="48">
      <c r="A48" s="59" t="inlineStr">
        <is>
          <t>-1.0</t>
        </is>
      </c>
      <c r="B48" s="60">
        <f>B8*(B13+(B20+(-1.0))*(B25+(-0.01)))+B9*B37*(1-B41)</f>
        <v/>
      </c>
      <c r="C48" s="60">
        <f>B8*(B13+(B20+(-1.0))*(B25+(-0.005)))+B9*B37*(1-B41)</f>
        <v/>
      </c>
      <c r="D48" s="60">
        <f>B8*(B13+(B20+(-1.0))*(B25+(0.0)))+B9*B37*(1-B41)</f>
        <v/>
      </c>
      <c r="E48" s="60">
        <f>B8*(B13+(B20+(-1.0))*(B25+(0.005)))+B9*B37*(1-B41)</f>
        <v/>
      </c>
      <c r="F48" s="60">
        <f>B8*(B13+(B20+(-1.0))*(B25+(0.01)))+B9*B37*(1-B41)</f>
        <v/>
      </c>
    </row>
    <row r="49">
      <c r="A49" s="59" t="inlineStr">
        <is>
          <t>-0.5</t>
        </is>
      </c>
      <c r="B49" s="60">
        <f>B8*(B13+(B20+(-0.5))*(B25+(-0.01)))+B9*B37*(1-B41)</f>
        <v/>
      </c>
      <c r="C49" s="60">
        <f>B8*(B13+(B20+(-0.5))*(B25+(-0.005)))+B9*B37*(1-B41)</f>
        <v/>
      </c>
      <c r="D49" s="60">
        <f>B8*(B13+(B20+(-0.5))*(B25+(0.0)))+B9*B37*(1-B41)</f>
        <v/>
      </c>
      <c r="E49" s="60">
        <f>B8*(B13+(B20+(-0.5))*(B25+(0.005)))+B9*B37*(1-B41)</f>
        <v/>
      </c>
      <c r="F49" s="60">
        <f>B8*(B13+(B20+(-0.5))*(B25+(0.01)))+B9*B37*(1-B41)</f>
        <v/>
      </c>
    </row>
    <row r="50">
      <c r="A50" s="61" t="inlineStr">
        <is>
          <t>Base β</t>
        </is>
      </c>
      <c r="B50" s="62">
        <f>B8*(B13+(B20+(0.0))*(B25+(-0.01)))+B9*B37*(1-B41)</f>
        <v/>
      </c>
      <c r="C50" s="62">
        <f>B8*(B13+(B20+(0.0))*(B25+(-0.005)))+B9*B37*(1-B41)</f>
        <v/>
      </c>
      <c r="D50" s="63">
        <f>B8*(B13+(B20+(0.0))*(B25+(0.0)))+B9*B37*(1-B41)</f>
        <v/>
      </c>
      <c r="E50" s="62">
        <f>B8*(B13+(B20+(0.0))*(B25+(0.005)))+B9*B37*(1-B41)</f>
        <v/>
      </c>
      <c r="F50" s="62">
        <f>B8*(B13+(B20+(0.0))*(B25+(0.01)))+B9*B37*(1-B41)</f>
        <v/>
      </c>
    </row>
    <row r="51">
      <c r="A51" s="59" t="inlineStr">
        <is>
          <t>+0.5</t>
        </is>
      </c>
      <c r="B51" s="60">
        <f>B8*(B13+(B20+(0.5))*(B25+(-0.01)))+B9*B37*(1-B41)</f>
        <v/>
      </c>
      <c r="C51" s="60">
        <f>B8*(B13+(B20+(0.5))*(B25+(-0.005)))+B9*B37*(1-B41)</f>
        <v/>
      </c>
      <c r="D51" s="60">
        <f>B8*(B13+(B20+(0.5))*(B25+(0.0)))+B9*B37*(1-B41)</f>
        <v/>
      </c>
      <c r="E51" s="60">
        <f>B8*(B13+(B20+(0.5))*(B25+(0.005)))+B9*B37*(1-B41)</f>
        <v/>
      </c>
      <c r="F51" s="60">
        <f>B8*(B13+(B20+(0.5))*(B25+(0.01)))+B9*B37*(1-B41)</f>
        <v/>
      </c>
    </row>
    <row r="52">
      <c r="A52" s="59" t="inlineStr">
        <is>
          <t>+1.0</t>
        </is>
      </c>
      <c r="B52" s="60">
        <f>B8*(B13+(B20+(1.0))*(B25+(-0.01)))+B9*B37*(1-B41)</f>
        <v/>
      </c>
      <c r="C52" s="60">
        <f>B8*(B13+(B20+(1.0))*(B25+(-0.005)))+B9*B37*(1-B41)</f>
        <v/>
      </c>
      <c r="D52" s="60">
        <f>B8*(B13+(B20+(1.0))*(B25+(0.0)))+B9*B37*(1-B41)</f>
        <v/>
      </c>
      <c r="E52" s="60">
        <f>B8*(B13+(B20+(1.0))*(B25+(0.005)))+B9*B37*(1-B41)</f>
        <v/>
      </c>
      <c r="F52" s="60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0.6501</v>
      </c>
      <c r="H7" s="71" t="n">
        <v>0.6501</v>
      </c>
      <c r="I7" s="71" t="n">
        <v>0.6501</v>
      </c>
      <c r="J7" s="71">
        <f>I7</f>
        <v/>
      </c>
      <c r="K7" s="71">
        <f>I7</f>
        <v/>
      </c>
      <c r="L7" s="72" t="n">
        <v>0.6501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WACC!B44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0.03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MEDIUM (10.9% 3yr avg rev growth).  Bear 2.25% / Base 3.0% / Bull 3.75%.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15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MEDIUM (10.9% 3yr avg rev growth).  Bear 11x / Base 15x / Bull 19x.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0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>
        <v>315.1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V  |  Master Prompt v2  |  16 May 2026  |  Sector bucket: Stable Compounder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— user input required</t>
        </is>
      </c>
      <c r="E8" s="118" t="n"/>
      <c r="F8" s="119">
        <f>IF(E8="HIGH",10,IF(E8="MOD-HIGH",7,IF(E8="MOD-LOW",3,IF(E8="LOW",0,""))))</f>
        <v/>
      </c>
      <c r="G8" s="120">
        <f>IF(F8="",0,C8*F8*10)</f>
        <v/>
      </c>
      <c r="H8" s="121" t="inlineStr"/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65.0% ✓ (&gt;40%)  |  GM trend -1.6% ✗ (&gt;+1pp)  |  ROIC-WACC +19.1% ✓ (&gt;+5pp)  |  Rev consistency σ=4.7% ✓ (&lt;8%)  [3/4 indicators positive — proxy score]</t>
        </is>
      </c>
      <c r="E9" s="126" t="inlineStr">
        <is>
          <t>MOD-HIGH</t>
        </is>
      </c>
      <c r="F9" s="127" t="n">
        <v>7.5</v>
      </c>
      <c r="G9" s="128">
        <f>IF(F9="",0,C9*F9*10)</f>
        <v/>
      </c>
      <c r="H9" s="129" t="inlineStr">
        <is>
          <t>GM 65.0% ✓ (&gt;40%)  |  GM trend -1.6% ✗ (&gt;+1pp)  |  ROIC-WACC +19.1% ✓ (&gt;+5pp)  |  Rev consistency σ=4.7% ✓ (&lt;8%)  [3/4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— user input required</t>
        </is>
      </c>
      <c r="E10" s="118" t="n"/>
      <c r="F10" s="119">
        <f>IF(E10="HIGH",10,IF(E10="MOD-HIGH",7,IF(E10="MOD-LOW",3,IF(E10="LOW",0,""))))</f>
        <v/>
      </c>
      <c r="G10" s="120">
        <f>IF(F10="",0,C10*F10*10)</f>
        <v/>
      </c>
      <c r="H10" s="121" t="inlineStr"/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-0.9% ✓ (&gt;=-2pp)  |  GM maintained -1.6% ✗  |  Op margin -1.8% ✓ (≥-2pp)  |  Capital returns LOW ✗  |  Goodwill/Equity 0% ✓ (organic)  [3/5 indicators positive — proxy score]</t>
        </is>
      </c>
      <c r="E11" s="126" t="inlineStr">
        <is>
          <t>MOD-HIGH</t>
        </is>
      </c>
      <c r="F11" s="127" t="n">
        <v>6</v>
      </c>
      <c r="G11" s="128">
        <f>IF(F11="",0,C11*F11*10)</f>
        <v/>
      </c>
      <c r="H11" s="129" t="inlineStr">
        <is>
          <t>ROIC trend -0.9% ✓ (&gt;=-2pp)  |  GM maintained -1.6% ✗  |  Op margin -1.8% ✓ (≥-2pp)  |  Capital returns LOW ✗  |  Goodwill/Equity 0% ✓ (organic)  [3/5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10.9%</t>
        </is>
      </c>
      <c r="E13" s="130" t="inlineStr">
        <is>
          <t>HIGH</t>
        </is>
      </c>
      <c r="F13" s="127" t="n">
        <v>12</v>
      </c>
      <c r="G13" s="128">
        <f>IF(F13="",0,C13*F13*10)</f>
        <v/>
      </c>
      <c r="H13" s="129" t="inlineStr">
        <is>
          <t>10.9%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99%</t>
        </is>
      </c>
      <c r="E14" s="130" t="inlineStr">
        <is>
          <t>HIGH</t>
        </is>
      </c>
      <c r="F14" s="127" t="n">
        <v>11.33</v>
      </c>
      <c r="G14" s="128">
        <f>IF(F14="",0,C14*F14*10)</f>
        <v/>
      </c>
      <c r="H14" s="129" t="inlineStr">
        <is>
          <t>99%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No capital returns in latest year</t>
        </is>
      </c>
      <c r="E15" s="131" t="inlineStr">
        <is>
          <t>LOW</t>
        </is>
      </c>
      <c r="F15" s="127" t="n">
        <v>0</v>
      </c>
      <c r="G15" s="128">
        <f>IF(F15="",0,C15*F15*10)</f>
        <v/>
      </c>
      <c r="H15" s="129" t="inlineStr">
        <is>
          <t>No capital returns in latest year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19.3%</t>
        </is>
      </c>
      <c r="E16" s="126" t="inlineStr">
        <is>
          <t>MOD-HIGH</t>
        </is>
      </c>
      <c r="F16" s="127" t="n">
        <v>9.76</v>
      </c>
      <c r="G16" s="128">
        <f>IF(F16="",0,C16*F16*10)</f>
        <v/>
      </c>
      <c r="H16" s="129" t="inlineStr">
        <is>
          <t>19.3%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Credit Risk  (D / EBITDA)</t>
        </is>
      </c>
      <c r="B18" s="123" t="inlineStr">
        <is>
          <t>P3</t>
        </is>
      </c>
      <c r="C18" s="124" t="n">
        <v>0.05</v>
      </c>
      <c r="D18" s="125" t="inlineStr">
        <is>
          <t>0.1x  [through-cycle: 70/30 latest+5yr median, latest 0.2x → smoothed 0.1x]</t>
        </is>
      </c>
      <c r="E18" s="130" t="inlineStr">
        <is>
          <t>HIGH</t>
        </is>
      </c>
      <c r="F18" s="127" t="n">
        <v>12</v>
      </c>
      <c r="G18" s="128">
        <f>IF(F18="",0,C18*F18*10)</f>
        <v/>
      </c>
      <c r="H18" s="129" t="inlineStr">
        <is>
          <t>0.1x  [through-cycle: 70/30 latest+5yr median, latest 0.2x → smoothed 0.1x]</t>
        </is>
      </c>
    </row>
    <row r="19" ht="18" customHeight="1">
      <c r="A19" s="122" t="inlineStr">
        <is>
          <t xml:space="preserve">  Interest Cover  (EBIT / Interest)</t>
        </is>
      </c>
      <c r="B19" s="123" t="inlineStr">
        <is>
          <t>P3</t>
        </is>
      </c>
      <c r="C19" s="124" t="n">
        <v>0.075</v>
      </c>
      <c r="D19" s="125" t="inlineStr">
        <is>
          <t>No interest expense — debt-free</t>
        </is>
      </c>
      <c r="E19" s="130" t="inlineStr">
        <is>
          <t>HIGH</t>
        </is>
      </c>
      <c r="F19" s="127" t="n">
        <v>12</v>
      </c>
      <c r="G19" s="128">
        <f>IF(F19="",0,C19*F19*10)</f>
        <v/>
      </c>
      <c r="H19" s="129" t="inlineStr">
        <is>
          <t>No interest expense — debt-free</t>
        </is>
      </c>
    </row>
    <row r="20" ht="18" customHeight="1">
      <c r="A20" s="122" t="inlineStr">
        <is>
          <t xml:space="preserve">  Execution Risk</t>
        </is>
      </c>
      <c r="B20" s="123" t="inlineStr">
        <is>
          <t>P3</t>
        </is>
      </c>
      <c r="C20" s="124" t="n">
        <v>0.05</v>
      </c>
      <c r="D20" s="125" t="inlineStr">
        <is>
          <t>Rev growth σ=4.7%  |  Op margin σ=2.6%  [proxy — lower σ = lower risk = higher score]</t>
        </is>
      </c>
      <c r="E20" s="126" t="inlineStr">
        <is>
          <t>MOD-HIGH</t>
        </is>
      </c>
      <c r="F20" s="127" t="n">
        <v>8.33</v>
      </c>
      <c r="G20" s="128">
        <f>IF(F20="",0,C20*F20*10)</f>
        <v/>
      </c>
      <c r="H20" s="129" t="inlineStr">
        <is>
          <t>Rev growth σ=4.7%  |  Op margin σ=2.6%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4" t="inlineStr">
        <is>
          <t xml:space="preserve">  Valuation vs Median  (P/E)</t>
        </is>
      </c>
      <c r="B22" s="115" t="inlineStr">
        <is>
          <t>P4</t>
        </is>
      </c>
      <c r="C22" s="116" t="n">
        <v>0.1</v>
      </c>
      <c r="D22" s="117" t="inlineStr">
        <is>
          <t>— user input required</t>
        </is>
      </c>
      <c r="E22" s="118" t="n"/>
      <c r="F22" s="119">
        <f>IF(E22="HIGH",10,IF(E22="MOD-HIGH",7,IF(E22="MOD-LOW",3,IF(E22="LOW",0,""))))</f>
        <v/>
      </c>
      <c r="G22" s="120">
        <f>IF(F22="",0,C22*F22*10)</f>
        <v/>
      </c>
      <c r="H22" s="121" t="inlineStr"/>
    </row>
    <row r="23" ht="18" customHeight="1">
      <c r="A23" s="114" t="inlineStr">
        <is>
          <t xml:space="preserve">  Valuation vs Median  (P/FCF)</t>
        </is>
      </c>
      <c r="B23" s="115" t="inlineStr">
        <is>
          <t>P4</t>
        </is>
      </c>
      <c r="C23" s="116" t="n">
        <v>0.1</v>
      </c>
      <c r="D23" s="117" t="inlineStr">
        <is>
          <t>— user input required</t>
        </is>
      </c>
      <c r="E23" s="118" t="n"/>
      <c r="F23" s="119">
        <f>IF(E23="HIGH",10,IF(E23="MOD-HIGH",7,IF(E23="MOD-LOW",3,IF(E23="LOW",0,""))))</f>
        <v/>
      </c>
      <c r="G23" s="120">
        <f>IF(F23="",0,C23*F23*10)</f>
        <v/>
      </c>
      <c r="H23" s="12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2" t="inlineStr">
        <is>
          <t>TOTAL SCORE  (max = 100.0)</t>
        </is>
      </c>
      <c r="B25" s="133" t="n"/>
      <c r="C25" s="133" t="n"/>
      <c r="D25" s="133" t="n"/>
      <c r="E25" s="133" t="n"/>
      <c r="F25" s="133" t="n"/>
      <c r="G25" s="134">
        <f>G8+G9+G10+G11+G13+G14+G15+G16+G18+G19+G20+G22+G23</f>
        <v/>
      </c>
      <c r="H25" s="135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6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7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2026-05-16T06:40:03Z</dcterms:created>
  <dcterms:modified xsi:type="dcterms:W3CDTF">2026-05-16T06:40:28Z</dcterms:modified>
</cp:coreProperties>
</file>