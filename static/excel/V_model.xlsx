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40000</v>
      </c>
    </row>
    <row r="8">
      <c r="A8" s="3" t="inlineStr">
        <is>
          <t>Gross Profit ($mm)</t>
        </is>
      </c>
      <c r="B8" s="7" t="n">
        <v>32145</v>
      </c>
    </row>
    <row r="9">
      <c r="A9" s="3" t="inlineStr">
        <is>
          <t>EBITDA ($mm)</t>
        </is>
      </c>
      <c r="B9" s="7" t="n">
        <v>26003</v>
      </c>
    </row>
    <row r="10">
      <c r="A10" s="3" t="inlineStr">
        <is>
          <t>EBIT ($mm)</t>
        </is>
      </c>
      <c r="B10" s="7" t="n">
        <v>23994</v>
      </c>
    </row>
    <row r="11">
      <c r="A11" s="3" t="inlineStr">
        <is>
          <t>Net Income ($mm)</t>
        </is>
      </c>
      <c r="B11" s="7" t="n">
        <v>20058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24105</v>
      </c>
      <c r="C5" s="16" t="n">
        <v>29310</v>
      </c>
      <c r="D5" s="16" t="n">
        <v>32653</v>
      </c>
      <c r="E5" s="16" t="n">
        <v>35926</v>
      </c>
      <c r="F5" s="16" t="n">
        <v>40000</v>
      </c>
    </row>
    <row r="6">
      <c r="A6" s="17" t="inlineStr">
        <is>
          <t>(2)  Cost of Revenue (COGS)</t>
        </is>
      </c>
      <c r="B6" s="18" t="n">
        <v>4970</v>
      </c>
      <c r="C6" s="18" t="n">
        <v>5733</v>
      </c>
      <c r="D6" s="18" t="n">
        <v>6567</v>
      </c>
      <c r="E6" s="18" t="n">
        <v>7042</v>
      </c>
      <c r="F6" s="18" t="n">
        <v>7855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2524</v>
      </c>
      <c r="C9" s="18" t="n">
        <v>3035</v>
      </c>
      <c r="D9" s="18" t="n">
        <v>3216</v>
      </c>
      <c r="E9" s="18" t="n">
        <v>3793</v>
      </c>
      <c r="F9" s="18" t="n">
        <v>4369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3331</v>
      </c>
      <c r="C11" s="18" t="n">
        <v>4764</v>
      </c>
      <c r="D11" s="18" t="n">
        <v>5086</v>
      </c>
      <c r="E11" s="18" t="n">
        <v>5289</v>
      </c>
      <c r="F11" s="18" t="n">
        <v>8151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804</v>
      </c>
      <c r="C14" s="18" t="n">
        <v>861</v>
      </c>
      <c r="D14" s="18" t="n">
        <v>943</v>
      </c>
      <c r="E14" s="18" t="n">
        <v>1034</v>
      </c>
      <c r="F14" s="18" t="n">
        <v>1220</v>
      </c>
    </row>
    <row r="15">
      <c r="A15" s="19" t="inlineStr">
        <is>
          <t>(8)  EBIT (Operating Income)</t>
        </is>
      </c>
      <c r="B15" s="24" t="n">
        <v>15804</v>
      </c>
      <c r="C15" s="24" t="n">
        <v>18813</v>
      </c>
      <c r="D15" s="24" t="n">
        <v>21000</v>
      </c>
      <c r="E15" s="24" t="n">
        <v>23595</v>
      </c>
      <c r="F15" s="24" t="n">
        <v>23994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513</v>
      </c>
      <c r="C17" s="18" t="n">
        <v>538</v>
      </c>
      <c r="D17" s="18" t="n">
        <v>644</v>
      </c>
      <c r="E17" s="18" t="n">
        <v>641</v>
      </c>
      <c r="F17" s="18" t="n">
        <v>589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16063</v>
      </c>
      <c r="C21" s="24" t="n">
        <v>18136</v>
      </c>
      <c r="D21" s="24" t="n">
        <v>21037</v>
      </c>
      <c r="E21" s="24" t="n">
        <v>23916</v>
      </c>
      <c r="F21" s="24" t="n">
        <v>24194</v>
      </c>
    </row>
    <row r="22">
      <c r="A22" s="17" t="inlineStr">
        <is>
          <t>(11) Income Tax Expense</t>
        </is>
      </c>
      <c r="B22" s="18" t="n">
        <v>3752</v>
      </c>
      <c r="C22" s="18" t="n">
        <v>3179</v>
      </c>
      <c r="D22" s="18" t="n">
        <v>3764</v>
      </c>
      <c r="E22" s="18" t="n">
        <v>4173</v>
      </c>
      <c r="F22" s="18" t="n">
        <v>4136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12311</v>
      </c>
      <c r="C24" s="24" t="n">
        <v>14957</v>
      </c>
      <c r="D24" s="24" t="n">
        <v>17273</v>
      </c>
      <c r="E24" s="24" t="n">
        <v>19743</v>
      </c>
      <c r="F24" s="24" t="n">
        <v>20058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24105</v>
      </c>
      <c r="C30" s="16" t="n">
        <v>29310</v>
      </c>
      <c r="D30" s="16" t="n">
        <v>32653</v>
      </c>
      <c r="E30" s="16" t="n">
        <v>35926</v>
      </c>
      <c r="F30" s="16" t="n">
        <v>40000</v>
      </c>
    </row>
    <row r="31">
      <c r="A31" s="17" t="inlineStr">
        <is>
          <t>Cost of Revenue</t>
        </is>
      </c>
      <c r="B31" s="18" t="n">
        <v>4970</v>
      </c>
      <c r="C31" s="18" t="n">
        <v>5733</v>
      </c>
      <c r="D31" s="18" t="n">
        <v>6567</v>
      </c>
      <c r="E31" s="18" t="n">
        <v>7042</v>
      </c>
      <c r="F31" s="18" t="n">
        <v>7855</v>
      </c>
    </row>
    <row r="32">
      <c r="A32" s="26" t="inlineStr">
        <is>
          <t>Gross Profit</t>
        </is>
      </c>
      <c r="B32" s="27" t="n">
        <v>19135</v>
      </c>
      <c r="C32" s="27" t="n">
        <v>23577</v>
      </c>
      <c r="D32" s="27" t="n">
        <v>26086</v>
      </c>
      <c r="E32" s="27" t="n">
        <v>28884</v>
      </c>
      <c r="F32" s="27" t="n">
        <v>32145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1388</v>
      </c>
      <c r="C35" s="18" t="n">
        <v>1699</v>
      </c>
      <c r="D35" s="18" t="n">
        <v>1875</v>
      </c>
      <c r="E35" s="18" t="n">
        <v>2233</v>
      </c>
      <c r="F35" s="18" t="n">
        <v>2685</v>
      </c>
    </row>
    <row r="36">
      <c r="A36" s="17" t="inlineStr">
        <is>
          <t>Selling &amp; Marketing</t>
        </is>
      </c>
      <c r="B36" s="18" t="n">
        <v>1136</v>
      </c>
      <c r="C36" s="18" t="n">
        <v>1336</v>
      </c>
      <c r="D36" s="18" t="n">
        <v>1341</v>
      </c>
      <c r="E36" s="18" t="n">
        <v>1560</v>
      </c>
      <c r="F36" s="18" t="n">
        <v>1684</v>
      </c>
    </row>
    <row r="37">
      <c r="A37" s="17" t="inlineStr">
        <is>
          <t>SG&amp;A (Combined)</t>
        </is>
      </c>
      <c r="B37" s="18" t="n">
        <v>2524</v>
      </c>
      <c r="C37" s="18" t="n">
        <v>3035</v>
      </c>
      <c r="D37" s="18" t="n">
        <v>3216</v>
      </c>
      <c r="E37" s="18" t="n">
        <v>3793</v>
      </c>
      <c r="F37" s="18" t="n">
        <v>4369</v>
      </c>
    </row>
    <row r="38">
      <c r="A38" s="17" t="inlineStr">
        <is>
          <t>Other Expenses</t>
        </is>
      </c>
      <c r="B38" s="18" t="n">
        <v>807</v>
      </c>
      <c r="C38" s="18" t="n">
        <v>1729</v>
      </c>
      <c r="D38" s="18" t="n">
        <v>1870</v>
      </c>
      <c r="E38" s="18" t="n">
        <v>1496</v>
      </c>
      <c r="F38" s="18" t="n">
        <v>3782</v>
      </c>
    </row>
    <row r="39">
      <c r="A39" s="26" t="inlineStr">
        <is>
          <t>Total Operating Expenses</t>
        </is>
      </c>
      <c r="B39" s="27" t="n">
        <v>3331</v>
      </c>
      <c r="C39" s="27" t="n">
        <v>4764</v>
      </c>
      <c r="D39" s="27" t="n">
        <v>5086</v>
      </c>
      <c r="E39" s="27" t="n">
        <v>5289</v>
      </c>
      <c r="F39" s="27" t="n">
        <v>8151</v>
      </c>
    </row>
    <row r="40">
      <c r="A40" s="17" t="inlineStr">
        <is>
          <t>Cost &amp; Expenses (COGS + Opex)</t>
        </is>
      </c>
      <c r="B40" s="18" t="n">
        <v>8301</v>
      </c>
      <c r="C40" s="18" t="n">
        <v>10497</v>
      </c>
      <c r="D40" s="18" t="n">
        <v>11653</v>
      </c>
      <c r="E40" s="18" t="n">
        <v>12331</v>
      </c>
      <c r="F40" s="18" t="n">
        <v>16006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15804</v>
      </c>
      <c r="C42" s="16" t="n">
        <v>18813</v>
      </c>
      <c r="D42" s="16" t="n">
        <v>21000</v>
      </c>
      <c r="E42" s="16" t="n">
        <v>23595</v>
      </c>
      <c r="F42" s="16" t="n">
        <v>23994</v>
      </c>
    </row>
    <row r="43">
      <c r="A43" s="17" t="inlineStr">
        <is>
          <t>EBIT (FMP field)</t>
        </is>
      </c>
      <c r="B43" s="18" t="n">
        <v>16576</v>
      </c>
      <c r="C43" s="18" t="n">
        <v>18674</v>
      </c>
      <c r="D43" s="18" t="n">
        <v>21681</v>
      </c>
      <c r="E43" s="18" t="n">
        <v>24557</v>
      </c>
      <c r="F43" s="18" t="n">
        <v>24783</v>
      </c>
    </row>
    <row r="44">
      <c r="A44" s="26" t="inlineStr">
        <is>
          <t>EBITDA</t>
        </is>
      </c>
      <c r="B44" s="27" t="n">
        <v>17380</v>
      </c>
      <c r="C44" s="27" t="n">
        <v>19535</v>
      </c>
      <c r="D44" s="27" t="n">
        <v>22624</v>
      </c>
      <c r="E44" s="27" t="n">
        <v>25591</v>
      </c>
      <c r="F44" s="27" t="n">
        <v>26003</v>
      </c>
    </row>
    <row r="45">
      <c r="A45" s="17" t="inlineStr">
        <is>
          <t>Depreciation &amp; Amortisation</t>
        </is>
      </c>
      <c r="B45" s="18" t="n">
        <v>804</v>
      </c>
      <c r="C45" s="18" t="n">
        <v>861</v>
      </c>
      <c r="D45" s="18" t="n">
        <v>943</v>
      </c>
      <c r="E45" s="18" t="n">
        <v>1034</v>
      </c>
      <c r="F45" s="18" t="n">
        <v>1220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513</v>
      </c>
      <c r="C48" s="18" t="n">
        <v>538</v>
      </c>
      <c r="D48" s="18" t="n">
        <v>644</v>
      </c>
      <c r="E48" s="18" t="n">
        <v>641</v>
      </c>
      <c r="F48" s="18" t="n">
        <v>589</v>
      </c>
    </row>
    <row r="49">
      <c r="A49" s="17" t="inlineStr">
        <is>
          <t>Net Interest Income</t>
        </is>
      </c>
      <c r="B49" s="18" t="n">
        <v>-513</v>
      </c>
      <c r="C49" s="18" t="n">
        <v>-538</v>
      </c>
      <c r="D49" s="18" t="n">
        <v>-644</v>
      </c>
      <c r="E49" s="18" t="n">
        <v>-641</v>
      </c>
      <c r="F49" s="18" t="n">
        <v>-589</v>
      </c>
    </row>
    <row r="50">
      <c r="A50" s="17" t="inlineStr">
        <is>
          <t>Non-Operating Income (ex-interest)</t>
        </is>
      </c>
      <c r="B50" s="18" t="n">
        <v>-772</v>
      </c>
      <c r="C50" s="18" t="n">
        <v>139</v>
      </c>
      <c r="D50" s="18" t="n">
        <v>-681</v>
      </c>
      <c r="E50" s="18" t="n">
        <v>-962</v>
      </c>
      <c r="F50" s="18" t="n">
        <v>-789</v>
      </c>
    </row>
    <row r="51">
      <c r="A51" s="17" t="inlineStr">
        <is>
          <t>Total Other Income / (Expenses)</t>
        </is>
      </c>
      <c r="B51" s="18" t="n">
        <v>259</v>
      </c>
      <c r="C51" s="18" t="n">
        <v>-677</v>
      </c>
      <c r="D51" s="18" t="n">
        <v>37</v>
      </c>
      <c r="E51" s="18" t="n">
        <v>321</v>
      </c>
      <c r="F51" s="18" t="n">
        <v>200</v>
      </c>
    </row>
    <row r="52">
      <c r="A52" s="26" t="inlineStr">
        <is>
          <t>EBT / Income Before Tax</t>
        </is>
      </c>
      <c r="B52" s="27" t="n">
        <v>16063</v>
      </c>
      <c r="C52" s="27" t="n">
        <v>18136</v>
      </c>
      <c r="D52" s="27" t="n">
        <v>21037</v>
      </c>
      <c r="E52" s="27" t="n">
        <v>23916</v>
      </c>
      <c r="F52" s="27" t="n">
        <v>24194</v>
      </c>
    </row>
    <row r="53">
      <c r="A53" s="17" t="inlineStr">
        <is>
          <t>Income Tax Expense</t>
        </is>
      </c>
      <c r="B53" s="18" t="n">
        <v>3752</v>
      </c>
      <c r="C53" s="18" t="n">
        <v>3179</v>
      </c>
      <c r="D53" s="18" t="n">
        <v>3764</v>
      </c>
      <c r="E53" s="18" t="n">
        <v>4173</v>
      </c>
      <c r="F53" s="18" t="n">
        <v>4136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12311</v>
      </c>
      <c r="C55" s="18" t="n">
        <v>14957</v>
      </c>
      <c r="D55" s="18" t="n">
        <v>17273</v>
      </c>
      <c r="E55" s="18" t="n">
        <v>19743</v>
      </c>
      <c r="F55" s="18" t="n">
        <v>20058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12311</v>
      </c>
      <c r="C59" s="27" t="n">
        <v>14957</v>
      </c>
      <c r="D59" s="27" t="n">
        <v>17273</v>
      </c>
      <c r="E59" s="27" t="n">
        <v>19743</v>
      </c>
      <c r="F59" s="27" t="n">
        <v>20058</v>
      </c>
    </row>
    <row r="60">
      <c r="A60" s="15" t="inlineStr">
        <is>
          <t>Bottom Line Net Income</t>
        </is>
      </c>
      <c r="B60" s="16" t="n">
        <v>12311</v>
      </c>
      <c r="C60" s="16" t="n">
        <v>14957</v>
      </c>
      <c r="D60" s="16" t="n">
        <v>17273</v>
      </c>
      <c r="E60" s="16" t="n">
        <v>19743</v>
      </c>
      <c r="F60" s="16" t="n">
        <v>19853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5.63</v>
      </c>
      <c r="C62" s="18" t="n">
        <v>7.01</v>
      </c>
      <c r="D62" s="18" t="n">
        <v>8.289999999999999</v>
      </c>
      <c r="E62" s="18" t="n">
        <v>9.74</v>
      </c>
      <c r="F62" s="18" t="n">
        <v>10.22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2130.3</v>
      </c>
      <c r="C64" s="18" t="n">
        <v>2136</v>
      </c>
      <c r="D64" s="18" t="n">
        <v>2085</v>
      </c>
      <c r="E64" s="18" t="n">
        <v>1997</v>
      </c>
      <c r="F64" s="18" t="n">
        <v>1942</v>
      </c>
    </row>
    <row r="65">
      <c r="A65" s="17" t="inlineStr">
        <is>
          <t>Shares Outstanding — Diluted (mm)</t>
        </is>
      </c>
      <c r="B65" s="18" t="n">
        <v>2188</v>
      </c>
      <c r="C65" s="18" t="n">
        <v>2136</v>
      </c>
      <c r="D65" s="18" t="n">
        <v>2085</v>
      </c>
      <c r="E65" s="18" t="n">
        <v>2029</v>
      </c>
      <c r="F65" s="18" t="n">
        <v>1966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16487</v>
      </c>
      <c r="C5" s="18" t="n">
        <v>15689</v>
      </c>
      <c r="D5" s="18" t="n">
        <v>16286</v>
      </c>
      <c r="E5" s="18" t="n">
        <v>11975</v>
      </c>
      <c r="F5" s="18" t="n">
        <v>20154</v>
      </c>
    </row>
    <row r="6">
      <c r="A6" s="17" t="inlineStr">
        <is>
          <t>(2)  Receivables</t>
        </is>
      </c>
      <c r="B6" s="18" t="n">
        <v>3726</v>
      </c>
      <c r="C6" s="18" t="n">
        <v>3952</v>
      </c>
      <c r="D6" s="18" t="n">
        <v>4474</v>
      </c>
      <c r="E6" s="18" t="n">
        <v>7015</v>
      </c>
      <c r="F6" s="18" t="n">
        <v>7317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27607</v>
      </c>
      <c r="C9" s="24" t="n">
        <v>30205</v>
      </c>
      <c r="D9" s="24" t="n">
        <v>33532</v>
      </c>
      <c r="E9" s="24" t="n">
        <v>34033</v>
      </c>
      <c r="F9" s="24" t="n">
        <v>37766</v>
      </c>
    </row>
    <row r="10">
      <c r="A10" s="17" t="inlineStr">
        <is>
          <t>(6)  PP&amp;E (Net)</t>
        </is>
      </c>
      <c r="B10" s="18" t="n">
        <v>2715</v>
      </c>
      <c r="C10" s="18" t="n">
        <v>3223</v>
      </c>
      <c r="D10" s="18" t="n">
        <v>3425</v>
      </c>
      <c r="E10" s="18" t="n">
        <v>3824</v>
      </c>
      <c r="F10" s="18" t="n">
        <v>4236</v>
      </c>
    </row>
    <row r="11">
      <c r="A11" s="17" t="inlineStr">
        <is>
          <t>(7)  Goodwill</t>
        </is>
      </c>
      <c r="B11" s="18" t="n">
        <v>15958</v>
      </c>
      <c r="C11" s="18" t="n">
        <v>17787</v>
      </c>
      <c r="D11" s="18" t="n">
        <v>17997</v>
      </c>
      <c r="E11" s="18" t="n">
        <v>18941</v>
      </c>
      <c r="F11" s="18" t="n">
        <v>19879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126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55289</v>
      </c>
      <c r="C14" s="24" t="n">
        <v>55296</v>
      </c>
      <c r="D14" s="24" t="n">
        <v>56967</v>
      </c>
      <c r="E14" s="24" t="n">
        <v>60478</v>
      </c>
      <c r="F14" s="24" t="n">
        <v>61861</v>
      </c>
    </row>
    <row r="15">
      <c r="A15" s="19" t="inlineStr">
        <is>
          <t>(11) Total Assets</t>
        </is>
      </c>
      <c r="B15" s="24" t="n">
        <v>82896</v>
      </c>
      <c r="C15" s="24" t="n">
        <v>85501</v>
      </c>
      <c r="D15" s="24" t="n">
        <v>90499</v>
      </c>
      <c r="E15" s="24" t="n">
        <v>94511</v>
      </c>
      <c r="F15" s="24" t="n">
        <v>99627</v>
      </c>
    </row>
    <row r="16" ht="6" customHeight="1"/>
    <row r="17">
      <c r="A17" s="17" t="inlineStr">
        <is>
          <t>(12) Accounts Payable</t>
        </is>
      </c>
      <c r="B17" s="18" t="n">
        <v>266</v>
      </c>
      <c r="C17" s="18" t="n">
        <v>340</v>
      </c>
      <c r="D17" s="18" t="n">
        <v>375</v>
      </c>
      <c r="E17" s="18" t="n">
        <v>479</v>
      </c>
      <c r="F17" s="18" t="n">
        <v>555</v>
      </c>
    </row>
    <row r="18">
      <c r="A18" s="17" t="inlineStr">
        <is>
          <t>(13) Short-Term Borrowings</t>
        </is>
      </c>
      <c r="B18" s="18" t="n">
        <v>999</v>
      </c>
      <c r="C18" s="18" t="n">
        <v>2250</v>
      </c>
      <c r="D18" s="18" t="n">
        <v>0</v>
      </c>
      <c r="E18" s="18" t="n">
        <v>0</v>
      </c>
      <c r="F18" s="18" t="n">
        <v>5569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15739</v>
      </c>
      <c r="C21" s="24" t="n">
        <v>20853</v>
      </c>
      <c r="D21" s="24" t="n">
        <v>23098</v>
      </c>
      <c r="E21" s="24" t="n">
        <v>26517</v>
      </c>
      <c r="F21" s="24" t="n">
        <v>35048</v>
      </c>
    </row>
    <row r="22">
      <c r="A22" s="17" t="inlineStr">
        <is>
          <t>(17) Long-Term Debt</t>
        </is>
      </c>
      <c r="B22" s="18" t="n">
        <v>19978</v>
      </c>
      <c r="C22" s="18" t="n">
        <v>20200</v>
      </c>
      <c r="D22" s="18" t="n">
        <v>20463</v>
      </c>
      <c r="E22" s="18" t="n">
        <v>20836</v>
      </c>
      <c r="F22" s="18" t="n">
        <v>19602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45307</v>
      </c>
      <c r="C25" s="24" t="n">
        <v>49920</v>
      </c>
      <c r="D25" s="24" t="n">
        <v>51766</v>
      </c>
      <c r="E25" s="24" t="n">
        <v>55374</v>
      </c>
      <c r="F25" s="24" t="n">
        <v>61718</v>
      </c>
    </row>
    <row r="26" ht="6" customHeight="1"/>
    <row r="27">
      <c r="A27" s="17" t="inlineStr">
        <is>
          <t>(21) Common Stock &amp; APIC</t>
        </is>
      </c>
      <c r="B27" s="18" t="n">
        <v>21935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15351</v>
      </c>
      <c r="C28" s="18" t="n">
        <v>16116</v>
      </c>
      <c r="D28" s="18" t="n">
        <v>18040</v>
      </c>
      <c r="E28" s="18" t="n">
        <v>17289</v>
      </c>
      <c r="F28" s="18" t="n">
        <v>15106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37589</v>
      </c>
      <c r="C30" s="24" t="n">
        <v>35581</v>
      </c>
      <c r="D30" s="24" t="n">
        <v>38733</v>
      </c>
      <c r="E30" s="24" t="n">
        <v>39137</v>
      </c>
      <c r="F30" s="24" t="n">
        <v>37909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16487</v>
      </c>
      <c r="C36" s="18" t="n">
        <v>15689</v>
      </c>
      <c r="D36" s="18" t="n">
        <v>16286</v>
      </c>
      <c r="E36" s="18" t="n">
        <v>11975</v>
      </c>
      <c r="F36" s="18" t="n">
        <v>20154</v>
      </c>
    </row>
    <row r="37">
      <c r="A37" s="17" t="inlineStr">
        <is>
          <t>Short-Term Investments</t>
        </is>
      </c>
      <c r="B37" s="18" t="n">
        <v>2025</v>
      </c>
      <c r="C37" s="18" t="n">
        <v>2833</v>
      </c>
      <c r="D37" s="18" t="n">
        <v>3842</v>
      </c>
      <c r="E37" s="18" t="n">
        <v>3200</v>
      </c>
      <c r="F37" s="18" t="n">
        <v>1833</v>
      </c>
    </row>
    <row r="38">
      <c r="A38" s="28" t="inlineStr">
        <is>
          <t>Cash &amp; Short-Term Investments</t>
        </is>
      </c>
      <c r="B38" s="29" t="n">
        <v>18512</v>
      </c>
      <c r="C38" s="29" t="n">
        <v>18522</v>
      </c>
      <c r="D38" s="29" t="n">
        <v>20128</v>
      </c>
      <c r="E38" s="29" t="n">
        <v>15175</v>
      </c>
      <c r="F38" s="29" t="n">
        <v>21987</v>
      </c>
    </row>
    <row r="39">
      <c r="A39" s="17" t="inlineStr">
        <is>
          <t>Accounts Receivable (Trade)</t>
        </is>
      </c>
      <c r="B39" s="18" t="n">
        <v>1968</v>
      </c>
      <c r="C39" s="18" t="n">
        <v>2020</v>
      </c>
      <c r="D39" s="18" t="n">
        <v>2291</v>
      </c>
      <c r="E39" s="18" t="n">
        <v>2561</v>
      </c>
      <c r="F39" s="18" t="n">
        <v>3126</v>
      </c>
    </row>
    <row r="40">
      <c r="A40" s="17" t="inlineStr">
        <is>
          <t>Other Receivables</t>
        </is>
      </c>
      <c r="B40" s="18" t="n">
        <v>1758</v>
      </c>
      <c r="C40" s="18" t="n">
        <v>1932</v>
      </c>
      <c r="D40" s="18" t="n">
        <v>2183</v>
      </c>
      <c r="E40" s="18" t="n">
        <v>4454</v>
      </c>
      <c r="F40" s="18" t="n">
        <v>4191</v>
      </c>
    </row>
    <row r="41">
      <c r="A41" s="28" t="inlineStr">
        <is>
          <t>Net Receivables (Total)</t>
        </is>
      </c>
      <c r="B41" s="29" t="n">
        <v>3726</v>
      </c>
      <c r="C41" s="29" t="n">
        <v>3952</v>
      </c>
      <c r="D41" s="29" t="n">
        <v>4474</v>
      </c>
      <c r="E41" s="29" t="n">
        <v>7015</v>
      </c>
      <c r="F41" s="29" t="n">
        <v>7317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856</v>
      </c>
      <c r="C43" s="18" t="n">
        <v>2668</v>
      </c>
      <c r="D43" s="18" t="n">
        <v>0</v>
      </c>
      <c r="E43" s="18" t="n">
        <v>1190</v>
      </c>
      <c r="F43" s="18" t="n">
        <v>0</v>
      </c>
    </row>
    <row r="44">
      <c r="A44" s="17" t="inlineStr">
        <is>
          <t>Other Current Assets</t>
        </is>
      </c>
      <c r="B44" s="18" t="n">
        <v>4513</v>
      </c>
      <c r="C44" s="18" t="n">
        <v>5063</v>
      </c>
      <c r="D44" s="18" t="n">
        <v>8930</v>
      </c>
      <c r="E44" s="18" t="n">
        <v>10653</v>
      </c>
      <c r="F44" s="18" t="n">
        <v>8462</v>
      </c>
    </row>
    <row r="45">
      <c r="A45" s="26" t="inlineStr">
        <is>
          <t>Total Current Assets</t>
        </is>
      </c>
      <c r="B45" s="27" t="n">
        <v>27607</v>
      </c>
      <c r="C45" s="27" t="n">
        <v>30205</v>
      </c>
      <c r="D45" s="27" t="n">
        <v>33532</v>
      </c>
      <c r="E45" s="27" t="n">
        <v>34033</v>
      </c>
      <c r="F45" s="27" t="n">
        <v>37766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2715</v>
      </c>
      <c r="C47" s="18" t="n">
        <v>3223</v>
      </c>
      <c r="D47" s="18" t="n">
        <v>3425</v>
      </c>
      <c r="E47" s="18" t="n">
        <v>3824</v>
      </c>
      <c r="F47" s="18" t="n">
        <v>4236</v>
      </c>
    </row>
    <row r="48">
      <c r="A48" s="17" t="inlineStr">
        <is>
          <t>Goodwill</t>
        </is>
      </c>
      <c r="B48" s="18" t="n">
        <v>15958</v>
      </c>
      <c r="C48" s="18" t="n">
        <v>17787</v>
      </c>
      <c r="D48" s="18" t="n">
        <v>17997</v>
      </c>
      <c r="E48" s="18" t="n">
        <v>18941</v>
      </c>
      <c r="F48" s="18" t="n">
        <v>19879</v>
      </c>
    </row>
    <row r="49">
      <c r="A49" s="17" t="inlineStr">
        <is>
          <t>Intangible Assets</t>
        </is>
      </c>
      <c r="B49" s="18" t="n">
        <v>27664</v>
      </c>
      <c r="C49" s="18" t="n">
        <v>25065</v>
      </c>
      <c r="D49" s="18" t="n">
        <v>26104</v>
      </c>
      <c r="E49" s="18" t="n">
        <v>26889</v>
      </c>
      <c r="F49" s="18" t="n">
        <v>27646</v>
      </c>
    </row>
    <row r="50">
      <c r="A50" s="17" t="inlineStr">
        <is>
          <t>Long-Term Investments</t>
        </is>
      </c>
      <c r="B50" s="18" t="n">
        <v>1705</v>
      </c>
      <c r="C50" s="18" t="n">
        <v>2136</v>
      </c>
      <c r="D50" s="18" t="n">
        <v>1921</v>
      </c>
      <c r="E50" s="18" t="n">
        <v>2545</v>
      </c>
      <c r="F50" s="18" t="n">
        <v>999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126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3730</v>
      </c>
      <c r="C52" s="18" t="n">
        <v>4969</v>
      </c>
      <c r="D52" s="18" t="n">
        <v>5763</v>
      </c>
      <c r="E52" s="18" t="n">
        <v>5745</v>
      </c>
      <c r="F52" s="18" t="n">
        <v>2832</v>
      </c>
    </row>
    <row r="53">
      <c r="A53" s="17" t="inlineStr">
        <is>
          <t>Other Non-Current Assets</t>
        </is>
      </c>
      <c r="B53" s="18" t="n">
        <v>7247</v>
      </c>
      <c r="C53" s="18" t="n">
        <v>7085</v>
      </c>
      <c r="D53" s="18" t="n">
        <v>7394</v>
      </c>
      <c r="E53" s="18" t="n">
        <v>8279</v>
      </c>
      <c r="F53" s="18" t="n">
        <v>9101</v>
      </c>
    </row>
    <row r="54">
      <c r="A54" s="26" t="inlineStr">
        <is>
          <t>Total Non-Current Assets</t>
        </is>
      </c>
      <c r="B54" s="27" t="n">
        <v>55289</v>
      </c>
      <c r="C54" s="27" t="n">
        <v>55296</v>
      </c>
      <c r="D54" s="27" t="n">
        <v>56967</v>
      </c>
      <c r="E54" s="27" t="n">
        <v>60478</v>
      </c>
      <c r="F54" s="27" t="n">
        <v>61861</v>
      </c>
    </row>
    <row r="55">
      <c r="A55" s="13" t="inlineStr">
        <is>
          <t>TOTAL ASSETS</t>
        </is>
      </c>
      <c r="B55" s="30" t="n">
        <v>82896</v>
      </c>
      <c r="C55" s="30" t="n">
        <v>85501</v>
      </c>
      <c r="D55" s="30" t="n">
        <v>90499</v>
      </c>
      <c r="E55" s="30" t="n">
        <v>94511</v>
      </c>
      <c r="F55" s="30" t="n">
        <v>99627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266</v>
      </c>
      <c r="C57" s="18" t="n">
        <v>340</v>
      </c>
      <c r="D57" s="18" t="n">
        <v>375</v>
      </c>
      <c r="E57" s="18" t="n">
        <v>479</v>
      </c>
      <c r="F57" s="18" t="n">
        <v>555</v>
      </c>
    </row>
    <row r="58">
      <c r="A58" s="17" t="inlineStr">
        <is>
          <t>Short-Term Debt</t>
        </is>
      </c>
      <c r="B58" s="18" t="n">
        <v>999</v>
      </c>
      <c r="C58" s="18" t="n">
        <v>2250</v>
      </c>
      <c r="D58" s="18" t="n">
        <v>0</v>
      </c>
      <c r="E58" s="18" t="n">
        <v>0</v>
      </c>
      <c r="F58" s="18" t="n">
        <v>5569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8714</v>
      </c>
      <c r="C61" s="18" t="n">
        <v>16539</v>
      </c>
      <c r="D61" s="18" t="n">
        <v>19611</v>
      </c>
      <c r="E61" s="18" t="n">
        <v>14137</v>
      </c>
      <c r="F61" s="18" t="n">
        <v>15857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15739</v>
      </c>
      <c r="C63" s="27" t="n">
        <v>20853</v>
      </c>
      <c r="D63" s="27" t="n">
        <v>23098</v>
      </c>
      <c r="E63" s="27" t="n">
        <v>26517</v>
      </c>
      <c r="F63" s="27" t="n">
        <v>35048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19978</v>
      </c>
      <c r="C65" s="18" t="n">
        <v>20200</v>
      </c>
      <c r="D65" s="18" t="n">
        <v>20463</v>
      </c>
      <c r="E65" s="18" t="n">
        <v>20836</v>
      </c>
      <c r="F65" s="18" t="n">
        <v>19602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6128</v>
      </c>
      <c r="C68" s="18" t="n">
        <v>5332</v>
      </c>
      <c r="D68" s="18" t="n">
        <v>5114</v>
      </c>
      <c r="E68" s="18" t="n">
        <v>5301</v>
      </c>
      <c r="F68" s="18" t="n">
        <v>5549</v>
      </c>
    </row>
    <row r="69">
      <c r="A69" s="17" t="inlineStr">
        <is>
          <t>Other Non-Current Liabilities</t>
        </is>
      </c>
      <c r="B69" s="18" t="n">
        <v>3462</v>
      </c>
      <c r="C69" s="18" t="n">
        <v>3535</v>
      </c>
      <c r="D69" s="18" t="n">
        <v>3091</v>
      </c>
      <c r="E69" s="18" t="n">
        <v>2720</v>
      </c>
      <c r="F69" s="18" t="n">
        <v>1519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45307</v>
      </c>
      <c r="C71" s="30" t="n">
        <v>49920</v>
      </c>
      <c r="D71" s="30" t="n">
        <v>51766</v>
      </c>
      <c r="E71" s="30" t="n">
        <v>55374</v>
      </c>
      <c r="F71" s="30" t="n">
        <v>61718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21935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15351</v>
      </c>
      <c r="C74" s="18" t="n">
        <v>16116</v>
      </c>
      <c r="D74" s="18" t="n">
        <v>18040</v>
      </c>
      <c r="E74" s="18" t="n">
        <v>17289</v>
      </c>
      <c r="F74" s="18" t="n">
        <v>15106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37589</v>
      </c>
      <c r="C78" s="27" t="n">
        <v>35581</v>
      </c>
      <c r="D78" s="27" t="n">
        <v>38733</v>
      </c>
      <c r="E78" s="27" t="n">
        <v>39137</v>
      </c>
      <c r="F78" s="27" t="n">
        <v>37909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15227</v>
      </c>
      <c r="C5" s="24" t="n">
        <v>18849</v>
      </c>
      <c r="D5" s="24" t="n">
        <v>20755</v>
      </c>
      <c r="E5" s="24" t="n">
        <v>19950</v>
      </c>
      <c r="F5" s="24" t="n">
        <v>23059</v>
      </c>
    </row>
    <row r="6">
      <c r="A6" s="17" t="inlineStr">
        <is>
          <t>(2)  Capital Expenditures</t>
        </is>
      </c>
      <c r="B6" s="18" t="n">
        <v>-705</v>
      </c>
      <c r="C6" s="18" t="n">
        <v>-970</v>
      </c>
      <c r="D6" s="18" t="n">
        <v>-1059</v>
      </c>
      <c r="E6" s="18" t="n">
        <v>-1257</v>
      </c>
      <c r="F6" s="18" t="n">
        <v>-1482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-3000</v>
      </c>
      <c r="C9" s="18" t="n">
        <v>2218</v>
      </c>
      <c r="D9" s="18" t="n">
        <v>-2250</v>
      </c>
      <c r="E9" s="18" t="n">
        <v>0</v>
      </c>
      <c r="F9" s="18" t="n">
        <v>3924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95</v>
      </c>
    </row>
    <row r="12">
      <c r="A12" s="17" t="inlineStr">
        <is>
          <t>(7)  Dividends Paid</t>
        </is>
      </c>
      <c r="B12" s="18" t="n">
        <v>-2798</v>
      </c>
      <c r="C12" s="18" t="n">
        <v>-3203</v>
      </c>
      <c r="D12" s="18" t="n">
        <v>-3751</v>
      </c>
      <c r="E12" s="18" t="n">
        <v>-4217</v>
      </c>
      <c r="F12" s="18" t="n">
        <v>-4634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14522</v>
      </c>
      <c r="C15" s="24" t="n">
        <v>17879</v>
      </c>
      <c r="D15" s="24" t="n">
        <v>19696</v>
      </c>
      <c r="E15" s="24" t="n">
        <v>18693</v>
      </c>
      <c r="F15" s="24" t="n">
        <v>21577</v>
      </c>
    </row>
    <row r="16">
      <c r="A16" s="15" t="inlineStr">
        <is>
          <t xml:space="preserve">     Net Change in Cash</t>
        </is>
      </c>
      <c r="B16" s="16" t="n">
        <v>628</v>
      </c>
      <c r="C16" s="16" t="n">
        <v>578</v>
      </c>
      <c r="D16" s="16" t="n">
        <v>1613</v>
      </c>
      <c r="E16" s="16" t="n">
        <v>-2227</v>
      </c>
      <c r="F16" s="16" t="n">
        <v>5224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12311</v>
      </c>
      <c r="C21" s="18" t="n">
        <v>14957</v>
      </c>
      <c r="D21" s="18" t="n">
        <v>17273</v>
      </c>
      <c r="E21" s="18" t="n">
        <v>19743</v>
      </c>
      <c r="F21" s="18" t="n">
        <v>20058</v>
      </c>
    </row>
    <row r="22">
      <c r="A22" s="17" t="inlineStr">
        <is>
          <t>Depreciation &amp; Amortisation</t>
        </is>
      </c>
      <c r="B22" s="18" t="n">
        <v>804</v>
      </c>
      <c r="C22" s="18" t="n">
        <v>861</v>
      </c>
      <c r="D22" s="18" t="n">
        <v>943</v>
      </c>
      <c r="E22" s="18" t="n">
        <v>1034</v>
      </c>
      <c r="F22" s="18" t="n">
        <v>1220</v>
      </c>
    </row>
    <row r="23">
      <c r="A23" s="17" t="inlineStr">
        <is>
          <t>Deferred Income Tax</t>
        </is>
      </c>
      <c r="B23" s="18" t="n">
        <v>873</v>
      </c>
      <c r="C23" s="18" t="n">
        <v>-336</v>
      </c>
      <c r="D23" s="18" t="n">
        <v>-483</v>
      </c>
      <c r="E23" s="18" t="n">
        <v>-100</v>
      </c>
      <c r="F23" s="18" t="n">
        <v>152</v>
      </c>
    </row>
    <row r="24">
      <c r="A24" s="17" t="inlineStr">
        <is>
          <t>Stock-Based Compensation</t>
        </is>
      </c>
      <c r="B24" s="18" t="n">
        <v>542</v>
      </c>
      <c r="C24" s="18" t="n">
        <v>602</v>
      </c>
      <c r="D24" s="18" t="n">
        <v>765</v>
      </c>
      <c r="E24" s="18" t="n">
        <v>850</v>
      </c>
      <c r="F24" s="18" t="n">
        <v>897</v>
      </c>
    </row>
    <row r="25">
      <c r="A25" s="17" t="inlineStr">
        <is>
          <t>Change in Working Capital</t>
        </is>
      </c>
      <c r="B25" s="18" t="n">
        <v>-6702</v>
      </c>
      <c r="C25" s="18" t="n">
        <v>-7657</v>
      </c>
      <c r="D25" s="18" t="n">
        <v>-10022</v>
      </c>
      <c r="E25" s="18" t="n">
        <v>-15432</v>
      </c>
      <c r="F25" s="18" t="n">
        <v>-11788</v>
      </c>
    </row>
    <row r="26">
      <c r="A26" s="21" t="inlineStr">
        <is>
          <t xml:space="preserve">  — Accounts Receivable</t>
        </is>
      </c>
      <c r="B26" s="18" t="n">
        <v>-343</v>
      </c>
      <c r="C26" s="18" t="n">
        <v>-97</v>
      </c>
      <c r="D26" s="18" t="n">
        <v>-250</v>
      </c>
      <c r="E26" s="18" t="n">
        <v>-237</v>
      </c>
      <c r="F26" s="18" t="n">
        <v>-542</v>
      </c>
    </row>
    <row r="27">
      <c r="A27" s="21" t="inlineStr">
        <is>
          <t xml:space="preserve">  — Inventory</t>
        </is>
      </c>
      <c r="B27" s="18" t="n">
        <v>1063</v>
      </c>
      <c r="C27" s="18" t="n">
        <v>0</v>
      </c>
      <c r="D27" s="18" t="n">
        <v>1208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88</v>
      </c>
      <c r="C28" s="18" t="n">
        <v>67</v>
      </c>
      <c r="D28" s="18" t="n">
        <v>34</v>
      </c>
      <c r="E28" s="18" t="n">
        <v>109</v>
      </c>
      <c r="F28" s="18" t="n">
        <v>67</v>
      </c>
    </row>
    <row r="29">
      <c r="A29" s="21" t="inlineStr">
        <is>
          <t xml:space="preserve">  — Other Working Capital</t>
        </is>
      </c>
      <c r="B29" s="18" t="n">
        <v>-7510</v>
      </c>
      <c r="C29" s="18" t="n">
        <v>-7627</v>
      </c>
      <c r="D29" s="18" t="n">
        <v>-11014</v>
      </c>
      <c r="E29" s="18" t="n">
        <v>-15304</v>
      </c>
      <c r="F29" s="18" t="n">
        <v>-11313</v>
      </c>
    </row>
    <row r="30">
      <c r="A30" s="17" t="inlineStr">
        <is>
          <t>Other Non-Cash Items</t>
        </is>
      </c>
      <c r="B30" s="18" t="n">
        <v>7399</v>
      </c>
      <c r="C30" s="18" t="n">
        <v>10422</v>
      </c>
      <c r="D30" s="18" t="n">
        <v>12279</v>
      </c>
      <c r="E30" s="18" t="n">
        <v>13855</v>
      </c>
      <c r="F30" s="18" t="n">
        <v>12520</v>
      </c>
    </row>
    <row r="31">
      <c r="A31" s="26" t="inlineStr">
        <is>
          <t>Net Cash from Operations (CFO)</t>
        </is>
      </c>
      <c r="B31" s="27" t="n">
        <v>15227</v>
      </c>
      <c r="C31" s="27" t="n">
        <v>18849</v>
      </c>
      <c r="D31" s="27" t="n">
        <v>20755</v>
      </c>
      <c r="E31" s="27" t="n">
        <v>19950</v>
      </c>
      <c r="F31" s="27" t="n">
        <v>23059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-705</v>
      </c>
      <c r="C33" s="18" t="n">
        <v>-970</v>
      </c>
      <c r="D33" s="18" t="n">
        <v>-1059</v>
      </c>
      <c r="E33" s="18" t="n">
        <v>-1257</v>
      </c>
      <c r="F33" s="18" t="n">
        <v>-1482</v>
      </c>
    </row>
    <row r="34">
      <c r="A34" s="21" t="inlineStr">
        <is>
          <t xml:space="preserve">  (Alt: Invest. in PP&amp;E)</t>
        </is>
      </c>
      <c r="B34" s="18" t="n">
        <v>-705</v>
      </c>
      <c r="C34" s="18" t="n">
        <v>-970</v>
      </c>
      <c r="D34" s="18" t="n">
        <v>-1059</v>
      </c>
      <c r="E34" s="18" t="n">
        <v>-1257</v>
      </c>
      <c r="F34" s="18" t="n">
        <v>-1482</v>
      </c>
    </row>
    <row r="35">
      <c r="A35" s="17" t="inlineStr">
        <is>
          <t>Acquisitions (Net)</t>
        </is>
      </c>
      <c r="B35" s="18" t="n">
        <v>-75</v>
      </c>
      <c r="C35" s="18" t="n">
        <v>-1948</v>
      </c>
      <c r="D35" s="18" t="n">
        <v>0</v>
      </c>
      <c r="E35" s="18" t="n">
        <v>-915</v>
      </c>
      <c r="F35" s="18" t="n">
        <v>-887</v>
      </c>
    </row>
    <row r="36">
      <c r="A36" s="17" t="inlineStr">
        <is>
          <t>Purchases of Investments</t>
        </is>
      </c>
      <c r="B36" s="18" t="n">
        <v>-5182</v>
      </c>
      <c r="C36" s="18" t="n">
        <v>-6083</v>
      </c>
      <c r="D36" s="18" t="n">
        <v>-4484</v>
      </c>
      <c r="E36" s="18" t="n">
        <v>-4674</v>
      </c>
      <c r="F36" s="18" t="n">
        <v>-68</v>
      </c>
    </row>
    <row r="37">
      <c r="A37" s="17" t="inlineStr">
        <is>
          <t>Sales / Maturities of Investments</t>
        </is>
      </c>
      <c r="B37" s="18" t="n">
        <v>5701</v>
      </c>
      <c r="C37" s="18" t="n">
        <v>4585</v>
      </c>
      <c r="D37" s="18" t="n">
        <v>3562</v>
      </c>
      <c r="E37" s="18" t="n">
        <v>5013</v>
      </c>
      <c r="F37" s="18" t="n">
        <v>3024</v>
      </c>
    </row>
    <row r="38">
      <c r="A38" s="17" t="inlineStr">
        <is>
          <t>Other Investing Activities</t>
        </is>
      </c>
      <c r="B38" s="18" t="n">
        <v>109</v>
      </c>
      <c r="C38" s="18" t="n">
        <v>128</v>
      </c>
      <c r="D38" s="18" t="n">
        <v>-25</v>
      </c>
      <c r="E38" s="18" t="n">
        <v>-93</v>
      </c>
      <c r="F38" s="18" t="n">
        <v>121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-3000</v>
      </c>
      <c r="C41" s="18" t="n">
        <v>2218</v>
      </c>
      <c r="D41" s="18" t="n">
        <v>-2250</v>
      </c>
      <c r="E41" s="18" t="n">
        <v>0</v>
      </c>
      <c r="F41" s="18" t="n">
        <v>3924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95</v>
      </c>
    </row>
    <row r="44">
      <c r="A44" s="17" t="inlineStr">
        <is>
          <t>Common Stock Repurchased (Buybacks)</t>
        </is>
      </c>
      <c r="B44" s="18" t="n">
        <v>-8676</v>
      </c>
      <c r="C44" s="18" t="n">
        <v>-11589</v>
      </c>
      <c r="D44" s="18" t="n">
        <v>-12101</v>
      </c>
      <c r="E44" s="18" t="n">
        <v>-16713</v>
      </c>
      <c r="F44" s="18" t="n">
        <v>-13389</v>
      </c>
    </row>
    <row r="45">
      <c r="A45" s="17" t="inlineStr">
        <is>
          <t>Dividends Paid</t>
        </is>
      </c>
      <c r="B45" s="18" t="n">
        <v>-2798</v>
      </c>
      <c r="C45" s="18" t="n">
        <v>-3203</v>
      </c>
      <c r="D45" s="18" t="n">
        <v>-3751</v>
      </c>
      <c r="E45" s="18" t="n">
        <v>-4217</v>
      </c>
      <c r="F45" s="18" t="n">
        <v>-4634</v>
      </c>
    </row>
    <row r="46">
      <c r="A46" s="17" t="inlineStr">
        <is>
          <t>Other Financing Activities</t>
        </is>
      </c>
      <c r="B46" s="18" t="n">
        <v>-144</v>
      </c>
      <c r="C46" s="18" t="n">
        <v>-122</v>
      </c>
      <c r="D46" s="18" t="n">
        <v>70</v>
      </c>
      <c r="E46" s="18" t="n">
        <v>297</v>
      </c>
      <c r="F46" s="18" t="n">
        <v>-4959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-37</v>
      </c>
      <c r="C49" s="18" t="n">
        <v>-1287</v>
      </c>
      <c r="D49" s="18" t="n">
        <v>636</v>
      </c>
      <c r="E49" s="18" t="n">
        <v>382</v>
      </c>
      <c r="F49" s="18" t="n">
        <v>420</v>
      </c>
    </row>
    <row r="50">
      <c r="A50" s="15" t="inlineStr">
        <is>
          <t>Net Change in Cash</t>
        </is>
      </c>
      <c r="B50" s="16" t="n">
        <v>628</v>
      </c>
      <c r="C50" s="16" t="n">
        <v>578</v>
      </c>
      <c r="D50" s="16" t="n">
        <v>1613</v>
      </c>
      <c r="E50" s="16" t="n">
        <v>-2227</v>
      </c>
      <c r="F50" s="16" t="n">
        <v>5224</v>
      </c>
    </row>
    <row r="51">
      <c r="A51" s="17" t="inlineStr">
        <is>
          <t>Cash at Beginning of Period</t>
        </is>
      </c>
      <c r="B51" s="18" t="n">
        <v>19171</v>
      </c>
      <c r="C51" s="18" t="n">
        <v>19799</v>
      </c>
      <c r="D51" s="18" t="n">
        <v>20377</v>
      </c>
      <c r="E51" s="18" t="n">
        <v>21990</v>
      </c>
      <c r="F51" s="18" t="n">
        <v>19763</v>
      </c>
    </row>
    <row r="52">
      <c r="A52" s="26" t="inlineStr">
        <is>
          <t>Cash at End of Period</t>
        </is>
      </c>
      <c r="B52" s="27" t="n">
        <v>19799</v>
      </c>
      <c r="C52" s="27" t="n">
        <v>20377</v>
      </c>
      <c r="D52" s="27" t="n">
        <v>21990</v>
      </c>
      <c r="E52" s="27" t="n">
        <v>19763</v>
      </c>
      <c r="F52" s="27" t="n">
        <v>24987</v>
      </c>
    </row>
    <row r="53">
      <c r="A53" s="26" t="inlineStr">
        <is>
          <t>Free Cash Flow</t>
        </is>
      </c>
      <c r="B53" s="27" t="n">
        <v>14522</v>
      </c>
      <c r="C53" s="27" t="n">
        <v>17879</v>
      </c>
      <c r="D53" s="27" t="n">
        <v>19696</v>
      </c>
      <c r="E53" s="27" t="n">
        <v>18693</v>
      </c>
      <c r="F53" s="27" t="n">
        <v>21577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2188</v>
      </c>
      <c r="C61" s="18" t="n">
        <v>2136</v>
      </c>
      <c r="D61" s="18" t="n">
        <v>2085</v>
      </c>
      <c r="E61" s="18" t="n">
        <v>2029</v>
      </c>
      <c r="F61" s="18" t="n">
        <v>1966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-15751</v>
      </c>
      <c r="C5" s="18" t="n">
        <v>-13764</v>
      </c>
      <c r="D5" s="18" t="n">
        <v>-12297</v>
      </c>
      <c r="E5" s="18" t="n">
        <v>-10295</v>
      </c>
      <c r="F5" s="18" t="n">
        <v>-8367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635044.573399</v>
      </c>
      <c r="C5" s="44" t="inlineStr">
        <is>
          <t>FMP marketCap  |  price $331.3</t>
        </is>
      </c>
    </row>
    <row r="6">
      <c r="A6" s="17" t="inlineStr">
        <is>
          <t>Debt  (gross book value, $mm)</t>
        </is>
      </c>
      <c r="B6" s="43" t="n">
        <v>25171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0.0467</v>
      </c>
      <c r="C12" s="44" t="inlineStr">
        <is>
          <t>FRED series DGS10  |  latest: 2026-05-19</t>
        </is>
      </c>
    </row>
    <row r="13">
      <c r="A13" s="47" t="inlineStr">
        <is>
          <t>► Selected Rf  (override if needed)</t>
        </is>
      </c>
      <c r="B13" s="48" t="n">
        <v>0.0467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0.784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0.855</v>
      </c>
      <c r="C17" s="44" t="inlineStr">
        <is>
          <t>Mean-reversion toward market beta of 1.0</t>
        </is>
      </c>
    </row>
    <row r="18">
      <c r="A18" s="17" t="inlineStr">
        <is>
          <t>Damodaran industry unlevered  (Financial - Credit Services)</t>
        </is>
      </c>
      <c r="B18" s="50" t="n">
        <v>0.55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17.1%)</t>
        </is>
      </c>
      <c r="B19" s="50" t="n">
        <v>0.5679999999999999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0.736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40.7</v>
      </c>
      <c r="C33" s="44" t="inlineStr">
        <is>
          <t>EBIT $23994mm  /  Int Exp $589mm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40.7x  →  AAA</t>
        </is>
      </c>
    </row>
    <row r="35">
      <c r="A35" s="17" t="inlineStr">
        <is>
          <t>Synthetic Rd  (Rf + Damodaran default spread)</t>
        </is>
      </c>
      <c r="B35" s="46" t="n">
        <v>0.0521</v>
      </c>
      <c r="C35" s="44" t="inlineStr">
        <is>
          <t>Rf 4.67% + spread 0.54%</t>
        </is>
      </c>
    </row>
    <row r="36">
      <c r="A36" s="17" t="inlineStr">
        <is>
          <t>Accounting Rd  (Gross int exp / Avg gross debt)</t>
        </is>
      </c>
      <c r="B36" s="46" t="n">
        <v>0.02560479926967636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0.0389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0.171</v>
      </c>
      <c r="C40" s="44" t="inlineStr">
        <is>
          <t>FMP: $4136mm  /  $24194mm</t>
        </is>
      </c>
    </row>
    <row r="41">
      <c r="A41" s="47" t="inlineStr">
        <is>
          <t>► Selected tax rate  (user override)</t>
        </is>
      </c>
      <c r="B41" s="48" t="n">
        <v>0.171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0.1385</v>
      </c>
      <c r="H7" s="71" t="n">
        <v>0.1059</v>
      </c>
      <c r="I7" s="71" t="n">
        <v>0.1025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0.6886</v>
      </c>
      <c r="H8" s="71" t="n">
        <v>0.6886</v>
      </c>
      <c r="I8" s="71" t="n">
        <v>0.6886</v>
      </c>
      <c r="J8" s="72">
        <f>I8</f>
        <v/>
      </c>
      <c r="K8" s="72">
        <f>I8</f>
        <v/>
      </c>
      <c r="L8" s="73" t="n">
        <v>0.6501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45540.9</v>
      </c>
      <c r="H15" s="77" t="n">
        <v>50365.2</v>
      </c>
      <c r="I15" s="77" t="n">
        <v>55528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44,607 — 45,983</t>
        </is>
      </c>
      <c r="H16" s="82" t="inlineStr">
        <is>
          <t>49,188 — 51,191</t>
        </is>
      </c>
      <c r="I16" s="82" t="inlineStr">
        <is>
          <t>55,478 — 55,578</t>
        </is>
      </c>
      <c r="J16" s="82" t="inlineStr">
        <is>
          <t>60,509 — 63,025</t>
        </is>
      </c>
      <c r="K16" s="82" t="inlineStr">
        <is>
          <t>64,001 — 66,663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27</v>
      </c>
      <c r="H17" s="84" t="n">
        <v>28</v>
      </c>
      <c r="I17" s="84" t="n">
        <v>24</v>
      </c>
      <c r="J17" s="84" t="n">
        <v>12</v>
      </c>
      <c r="K17" s="84" t="n">
        <v>12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31357.4</v>
      </c>
      <c r="H20" s="77" t="n">
        <v>34679.2</v>
      </c>
      <c r="I20" s="77" t="n">
        <v>38234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30,714 — 31,662</t>
        </is>
      </c>
      <c r="H21" s="82" t="inlineStr">
        <is>
          <t>33,868 — 35,247</t>
        </is>
      </c>
      <c r="I21" s="82" t="inlineStr">
        <is>
          <t>38,200 — 38,268</t>
        </is>
      </c>
      <c r="J21" s="82" t="inlineStr">
        <is>
          <t>41,663 — 43,396</t>
        </is>
      </c>
      <c r="K21" s="82" t="inlineStr">
        <is>
          <t>44,068 — 45,901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(10.9%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(10.9%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1966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331.28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V  |  Master Prompt v2  |  22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80.4% ✓ (&gt;40%)  |  GM trend -0.1% ✗ (&gt;+1pp)  |  ROIC-WACC +38.8% ✓ (&gt;+5pp)  |  Rev consistency σ=4.7%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80.4% ✓ (&gt;40%)  |  GM trend -0.1% ✗ (&gt;+1pp)  |  ROIC-WACC +38.8% ✓ (&gt;+5pp)  |  Rev consistency σ=4.7%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  <c r="E11" s="134" t="inlineStr">
        <is>
          <t>MOD-LOW</t>
        </is>
      </c>
      <c r="F11" s="131" t="n">
        <v>5</v>
      </c>
      <c r="G11" s="132">
        <f>IF(F11="",0,C11*F11*10)</f>
        <v/>
      </c>
      <c r="H11" s="133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10.9%</t>
        </is>
      </c>
      <c r="E13" s="135" t="inlineStr">
        <is>
          <t>HIGH</t>
        </is>
      </c>
      <c r="F13" s="131" t="n">
        <v>10</v>
      </c>
      <c r="G13" s="132">
        <f>IF(F13="",0,C13*F13*10)</f>
        <v/>
      </c>
      <c r="H13" s="133" t="inlineStr">
        <is>
          <t>10.9%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110%  [through-cycle: 70/30 latest+5yr median, latest 107.6% → smoothed 109.5%]</t>
        </is>
      </c>
      <c r="E14" s="135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110%  [through-cycle: 70/30 latest+5yr median, latest 107.6% → smoothed 109.5%]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$13,389mm latest FY — debt-funded  [payout 62% of FCF]</t>
        </is>
      </c>
      <c r="E15" s="134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$13,389mm latest FY — debt-funded  [payout 62%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44.5%  [through-cycle: 70/30 latest+5yr median, latest 46.3% → smoothed 44.5%]</t>
        </is>
      </c>
      <c r="E16" s="135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44.5%  [through-cycle: 70/30 latest+5yr median, latest 46.3% → smoothed 44.5%]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1.0x</t>
        </is>
      </c>
      <c r="E18" s="135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1.0x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40.7x</t>
        </is>
      </c>
      <c r="E19" s="135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40.7x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σ=4.7%  |  OM trend -5.6%, σ=2.1%  [quality = direction + stability]</t>
        </is>
      </c>
      <c r="E20" s="134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σ=4.7%  |  OM trend -5.6%, σ=2.1%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33.1x  |  5yr avg 30.5x  |  DCF-implied 30.7x [ref only — not used as benchmark]  [+9% vs benchmark]  [trail=5.64 | no_fwd_data(fallback) | abs=4.0 → blended 40/40/20=5.31]  PEG≈303.08 (trailing_pe=33.1x / rev_cagr=11%, revenue proxy)</t>
        </is>
      </c>
      <c r="E22" s="130" t="inlineStr">
        <is>
          <t>MOD-HIGH</t>
        </is>
      </c>
      <c r="F22" s="131" t="n">
        <v>5.31</v>
      </c>
      <c r="G22" s="132">
        <f>IF(F22="",0,C22*F22*10)</f>
        <v/>
      </c>
      <c r="H22" s="133" t="inlineStr">
        <is>
          <t>Current 33.1x  |  5yr avg 30.5x  |  DCF-implied 30.7x [ref only — not used as benchmark]  [+9% vs benchmark]  [trail=5.64 | no_fwd_data(fallback) | abs=4.0 → blended 40/40/20=5.31]  PEG≈303.08 (trailing_pe=33.1x / rev_cagr=11%, revenue proxy)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30.7x  |  5yr avg 27.7x  |  DCF-implied 28.5x [ref only — not used as benchmark]  [+11% vs benchmark]  [trail=5.27 | no_fwd_data(fallback) | abs=4.0 → blended 40/40/20=5.01]  [fcf_yield=3.3% vs rf=4.7%  spread=-1.4%→modifier=-0.25]</t>
        </is>
      </c>
      <c r="E23" s="134" t="inlineStr">
        <is>
          <t>MOD-LOW</t>
        </is>
      </c>
      <c r="F23" s="131" t="n">
        <v>4.76</v>
      </c>
      <c r="G23" s="132">
        <f>IF(F23="",0,C23*F23*10)</f>
        <v/>
      </c>
      <c r="H23" s="133" t="inlineStr">
        <is>
          <t>Current 30.7x  |  5yr avg 27.7x  |  DCF-implied 28.5x [ref only — not used as benchmark]  [+11% vs benchmark]  [trail=5.27 | no_fwd_data(fallback) | abs=4.0 → blended 40/40/20=5.01]  [fcf_yield=3.3% vs rf=4.7%  spread=-1.4%→modifier=-0.25]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2026-05-21T15:29:37Z</dcterms:created>
  <dcterms:modified xmlns:dcterms="http://purl.org/dc/terms/" xmlns:xsi="http://www.w3.org/2001/XMLSchema-instance" xsi:type="dcterms:W3CDTF">2026-05-21T15:29:51Z</dcterms:modified>
</cp:coreProperties>
</file>