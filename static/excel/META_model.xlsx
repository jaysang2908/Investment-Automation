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6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META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200966</v>
      </c>
    </row>
    <row r="7">
      <c r="A7" s="4" t="inlineStr">
        <is>
          <t>Gross Profit ($mm)</t>
        </is>
      </c>
      <c r="B7" s="6" t="n">
        <v>164791</v>
      </c>
    </row>
    <row r="8">
      <c r="A8" s="4" t="inlineStr">
        <is>
          <t>EBITDA ($mm)</t>
        </is>
      </c>
      <c r="B8" s="6" t="n">
        <v>104548</v>
      </c>
    </row>
    <row r="9">
      <c r="A9" s="4" t="inlineStr">
        <is>
          <t>EBIT ($mm)</t>
        </is>
      </c>
      <c r="B9" s="6" t="n">
        <v>83276</v>
      </c>
    </row>
    <row r="10">
      <c r="A10" s="4" t="inlineStr">
        <is>
          <t>Net Income ($mm)</t>
        </is>
      </c>
      <c r="B10" s="6" t="n">
        <v>60458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117929</v>
      </c>
      <c r="C5" s="15" t="n">
        <v>116609</v>
      </c>
      <c r="D5" s="15" t="n">
        <v>134902</v>
      </c>
      <c r="E5" s="15" t="n">
        <v>164501</v>
      </c>
      <c r="F5" s="15" t="n">
        <v>200966</v>
      </c>
    </row>
    <row r="6">
      <c r="A6" s="16" t="inlineStr">
        <is>
          <t>(2)  Cost of Revenue (COGS)</t>
        </is>
      </c>
      <c r="B6" s="17" t="n">
        <v>22649</v>
      </c>
      <c r="C6" s="17" t="n">
        <v>25249</v>
      </c>
      <c r="D6" s="17" t="n">
        <v>25959</v>
      </c>
      <c r="E6" s="17" t="n">
        <v>30161</v>
      </c>
      <c r="F6" s="17" t="n">
        <v>36175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23872</v>
      </c>
      <c r="C9" s="17" t="n">
        <v>27078</v>
      </c>
      <c r="D9" s="17" t="n">
        <v>23709</v>
      </c>
      <c r="E9" s="17" t="n">
        <v>21087</v>
      </c>
      <c r="F9" s="17" t="n">
        <v>24143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48527</v>
      </c>
      <c r="C11" s="17" t="n">
        <v>62416</v>
      </c>
      <c r="D11" s="17" t="n">
        <v>62192</v>
      </c>
      <c r="E11" s="17" t="n">
        <v>64960</v>
      </c>
      <c r="F11" s="17" t="n">
        <v>81515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7967</v>
      </c>
      <c r="C14" s="17" t="n">
        <v>8686</v>
      </c>
      <c r="D14" s="17" t="n">
        <v>11178</v>
      </c>
      <c r="E14" s="17" t="n">
        <v>15498</v>
      </c>
      <c r="F14" s="17" t="n">
        <v>18616</v>
      </c>
    </row>
    <row r="15">
      <c r="A15" s="18" t="inlineStr">
        <is>
          <t>(8)  EBIT (Operating Income)</t>
        </is>
      </c>
      <c r="B15" s="23" t="n">
        <v>46753</v>
      </c>
      <c r="C15" s="23" t="n">
        <v>28944</v>
      </c>
      <c r="D15" s="23" t="n">
        <v>46751</v>
      </c>
      <c r="E15" s="23" t="n">
        <v>69380</v>
      </c>
      <c r="F15" s="23" t="n">
        <v>83276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23</v>
      </c>
      <c r="C17" s="17" t="n">
        <v>185</v>
      </c>
      <c r="D17" s="17" t="n">
        <v>446</v>
      </c>
      <c r="E17" s="17" t="n">
        <v>715</v>
      </c>
      <c r="F17" s="17" t="n">
        <v>0</v>
      </c>
    </row>
    <row r="18">
      <c r="A18" s="20" t="inlineStr">
        <is>
          <t xml:space="preserve">     Interest Income</t>
        </is>
      </c>
      <c r="B18" s="17" t="n">
        <v>484</v>
      </c>
      <c r="C18" s="17" t="n">
        <v>461</v>
      </c>
      <c r="D18" s="17" t="n">
        <v>1639</v>
      </c>
      <c r="E18" s="17" t="n">
        <v>2517</v>
      </c>
      <c r="F18" s="17" t="n">
        <v>2656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47284</v>
      </c>
      <c r="C21" s="23" t="n">
        <v>28819</v>
      </c>
      <c r="D21" s="23" t="n">
        <v>47428</v>
      </c>
      <c r="E21" s="23" t="n">
        <v>70663</v>
      </c>
      <c r="F21" s="23" t="n">
        <v>85932</v>
      </c>
    </row>
    <row r="22">
      <c r="A22" s="16" t="inlineStr">
        <is>
          <t>(11) Income Tax Expense</t>
        </is>
      </c>
      <c r="B22" s="17" t="n">
        <v>7914</v>
      </c>
      <c r="C22" s="17" t="n">
        <v>5619</v>
      </c>
      <c r="D22" s="17" t="n">
        <v>8330</v>
      </c>
      <c r="E22" s="17" t="n">
        <v>8303</v>
      </c>
      <c r="F22" s="17" t="n">
        <v>25474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39370</v>
      </c>
      <c r="C24" s="23" t="n">
        <v>23200</v>
      </c>
      <c r="D24" s="23" t="n">
        <v>39098</v>
      </c>
      <c r="E24" s="23" t="n">
        <v>62360</v>
      </c>
      <c r="F24" s="23" t="n">
        <v>60458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117929</v>
      </c>
      <c r="C30" s="15" t="n">
        <v>116609</v>
      </c>
      <c r="D30" s="15" t="n">
        <v>134902</v>
      </c>
      <c r="E30" s="15" t="n">
        <v>164501</v>
      </c>
      <c r="F30" s="15" t="n">
        <v>200966</v>
      </c>
    </row>
    <row r="31">
      <c r="A31" s="16" t="inlineStr">
        <is>
          <t>Cost of Revenue</t>
        </is>
      </c>
      <c r="B31" s="17" t="n">
        <v>22649</v>
      </c>
      <c r="C31" s="17" t="n">
        <v>25249</v>
      </c>
      <c r="D31" s="17" t="n">
        <v>25959</v>
      </c>
      <c r="E31" s="17" t="n">
        <v>30161</v>
      </c>
      <c r="F31" s="17" t="n">
        <v>36175</v>
      </c>
    </row>
    <row r="32">
      <c r="A32" s="25" t="inlineStr">
        <is>
          <t>Gross Profit</t>
        </is>
      </c>
      <c r="B32" s="26" t="n">
        <v>95280</v>
      </c>
      <c r="C32" s="26" t="n">
        <v>91360</v>
      </c>
      <c r="D32" s="26" t="n">
        <v>108943</v>
      </c>
      <c r="E32" s="26" t="n">
        <v>134340</v>
      </c>
      <c r="F32" s="26" t="n">
        <v>164791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24655</v>
      </c>
      <c r="C34" s="17" t="n">
        <v>35338</v>
      </c>
      <c r="D34" s="17" t="n">
        <v>38483</v>
      </c>
      <c r="E34" s="17" t="n">
        <v>43873</v>
      </c>
      <c r="F34" s="17" t="n">
        <v>57372</v>
      </c>
    </row>
    <row r="35">
      <c r="A35" s="16" t="inlineStr">
        <is>
          <t>General &amp; Administrative</t>
        </is>
      </c>
      <c r="B35" s="17" t="n">
        <v>9829</v>
      </c>
      <c r="C35" s="17" t="n">
        <v>11816</v>
      </c>
      <c r="D35" s="17" t="n">
        <v>11408</v>
      </c>
      <c r="E35" s="17" t="n">
        <v>9740</v>
      </c>
      <c r="F35" s="17" t="n">
        <v>12152</v>
      </c>
    </row>
    <row r="36">
      <c r="A36" s="16" t="inlineStr">
        <is>
          <t>Selling &amp; Marketing</t>
        </is>
      </c>
      <c r="B36" s="17" t="n">
        <v>14043</v>
      </c>
      <c r="C36" s="17" t="n">
        <v>15262</v>
      </c>
      <c r="D36" s="17" t="n">
        <v>12301</v>
      </c>
      <c r="E36" s="17" t="n">
        <v>11347</v>
      </c>
      <c r="F36" s="17" t="n">
        <v>11991</v>
      </c>
    </row>
    <row r="37">
      <c r="A37" s="16" t="inlineStr">
        <is>
          <t>SG&amp;A (Combined)</t>
        </is>
      </c>
      <c r="B37" s="17" t="n">
        <v>23872</v>
      </c>
      <c r="C37" s="17" t="n">
        <v>27078</v>
      </c>
      <c r="D37" s="17" t="n">
        <v>23709</v>
      </c>
      <c r="E37" s="17" t="n">
        <v>21087</v>
      </c>
      <c r="F37" s="17" t="n">
        <v>24143</v>
      </c>
    </row>
    <row r="38">
      <c r="A38" s="16" t="inlineStr">
        <is>
          <t>Other Expenses</t>
        </is>
      </c>
      <c r="B38" s="17" t="n">
        <v>0</v>
      </c>
      <c r="C38" s="17" t="n">
        <v>0</v>
      </c>
      <c r="D38" s="17" t="n">
        <v>0</v>
      </c>
      <c r="E38" s="17" t="n">
        <v>0</v>
      </c>
      <c r="F38" s="17" t="n">
        <v>0</v>
      </c>
    </row>
    <row r="39">
      <c r="A39" s="25" t="inlineStr">
        <is>
          <t>Total Operating Expenses</t>
        </is>
      </c>
      <c r="B39" s="26" t="n">
        <v>48527</v>
      </c>
      <c r="C39" s="26" t="n">
        <v>62416</v>
      </c>
      <c r="D39" s="26" t="n">
        <v>62192</v>
      </c>
      <c r="E39" s="26" t="n">
        <v>64960</v>
      </c>
      <c r="F39" s="26" t="n">
        <v>81515</v>
      </c>
    </row>
    <row r="40">
      <c r="A40" s="16" t="inlineStr">
        <is>
          <t>Cost &amp; Expenses (COGS + Opex)</t>
        </is>
      </c>
      <c r="B40" s="17" t="n">
        <v>71176</v>
      </c>
      <c r="C40" s="17" t="n">
        <v>87665</v>
      </c>
      <c r="D40" s="17" t="n">
        <v>88151</v>
      </c>
      <c r="E40" s="17" t="n">
        <v>95121</v>
      </c>
      <c r="F40" s="17" t="n">
        <v>117690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46753</v>
      </c>
      <c r="C42" s="15" t="n">
        <v>28944</v>
      </c>
      <c r="D42" s="15" t="n">
        <v>46751</v>
      </c>
      <c r="E42" s="15" t="n">
        <v>69380</v>
      </c>
      <c r="F42" s="15" t="n">
        <v>83276</v>
      </c>
    </row>
    <row r="43">
      <c r="A43" s="16" t="inlineStr">
        <is>
          <t>EBIT (FMP field)</t>
        </is>
      </c>
      <c r="B43" s="17" t="n">
        <v>47307</v>
      </c>
      <c r="C43" s="17" t="n">
        <v>29004</v>
      </c>
      <c r="D43" s="17" t="n">
        <v>47874</v>
      </c>
      <c r="E43" s="17" t="n">
        <v>71378</v>
      </c>
      <c r="F43" s="17" t="n">
        <v>85932</v>
      </c>
    </row>
    <row r="44">
      <c r="A44" s="25" t="inlineStr">
        <is>
          <t>EBITDA</t>
        </is>
      </c>
      <c r="B44" s="26" t="n">
        <v>55274</v>
      </c>
      <c r="C44" s="26" t="n">
        <v>37690</v>
      </c>
      <c r="D44" s="26" t="n">
        <v>59052</v>
      </c>
      <c r="E44" s="26" t="n">
        <v>86876</v>
      </c>
      <c r="F44" s="26" t="n">
        <v>104548</v>
      </c>
    </row>
    <row r="45">
      <c r="A45" s="16" t="inlineStr">
        <is>
          <t>Depreciation &amp; Amortisation</t>
        </is>
      </c>
      <c r="B45" s="17" t="n">
        <v>7967</v>
      </c>
      <c r="C45" s="17" t="n">
        <v>8686</v>
      </c>
      <c r="D45" s="17" t="n">
        <v>11178</v>
      </c>
      <c r="E45" s="17" t="n">
        <v>15498</v>
      </c>
      <c r="F45" s="17" t="n">
        <v>18616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484</v>
      </c>
      <c r="C47" s="17" t="n">
        <v>461</v>
      </c>
      <c r="D47" s="17" t="n">
        <v>1639</v>
      </c>
      <c r="E47" s="17" t="n">
        <v>2517</v>
      </c>
      <c r="F47" s="17" t="n">
        <v>2656</v>
      </c>
    </row>
    <row r="48">
      <c r="A48" s="16" t="inlineStr">
        <is>
          <t>Interest Expense</t>
        </is>
      </c>
      <c r="B48" s="17" t="n">
        <v>23</v>
      </c>
      <c r="C48" s="17" t="n">
        <v>185</v>
      </c>
      <c r="D48" s="17" t="n">
        <v>446</v>
      </c>
      <c r="E48" s="17" t="n">
        <v>715</v>
      </c>
      <c r="F48" s="17" t="n">
        <v>0</v>
      </c>
    </row>
    <row r="49">
      <c r="A49" s="16" t="inlineStr">
        <is>
          <t>Net Interest Income</t>
        </is>
      </c>
      <c r="B49" s="17" t="n">
        <v>461</v>
      </c>
      <c r="C49" s="17" t="n">
        <v>276</v>
      </c>
      <c r="D49" s="17" t="n">
        <v>1193</v>
      </c>
      <c r="E49" s="17" t="n">
        <v>1802</v>
      </c>
      <c r="F49" s="17" t="n">
        <v>2656</v>
      </c>
    </row>
    <row r="50">
      <c r="A50" s="16" t="inlineStr">
        <is>
          <t>Non-Operating Income (ex-interest)</t>
        </is>
      </c>
      <c r="B50" s="17" t="n">
        <v>-554</v>
      </c>
      <c r="C50" s="17" t="n">
        <v>-60</v>
      </c>
      <c r="D50" s="17" t="n">
        <v>-1123</v>
      </c>
      <c r="E50" s="17" t="n">
        <v>-1998</v>
      </c>
      <c r="F50" s="17" t="n">
        <v>-2656</v>
      </c>
    </row>
    <row r="51">
      <c r="A51" s="16" t="inlineStr">
        <is>
          <t>Total Other Income / (Expenses)</t>
        </is>
      </c>
      <c r="B51" s="17" t="n">
        <v>531</v>
      </c>
      <c r="C51" s="17" t="n">
        <v>-125</v>
      </c>
      <c r="D51" s="17" t="n">
        <v>677</v>
      </c>
      <c r="E51" s="17" t="n">
        <v>1283</v>
      </c>
      <c r="F51" s="17" t="n">
        <v>2656</v>
      </c>
    </row>
    <row r="52">
      <c r="A52" s="25" t="inlineStr">
        <is>
          <t>EBT / Income Before Tax</t>
        </is>
      </c>
      <c r="B52" s="26" t="n">
        <v>47284</v>
      </c>
      <c r="C52" s="26" t="n">
        <v>28819</v>
      </c>
      <c r="D52" s="26" t="n">
        <v>47428</v>
      </c>
      <c r="E52" s="26" t="n">
        <v>70663</v>
      </c>
      <c r="F52" s="26" t="n">
        <v>85932</v>
      </c>
    </row>
    <row r="53">
      <c r="A53" s="16" t="inlineStr">
        <is>
          <t>Income Tax Expense</t>
        </is>
      </c>
      <c r="B53" s="17" t="n">
        <v>7914</v>
      </c>
      <c r="C53" s="17" t="n">
        <v>5619</v>
      </c>
      <c r="D53" s="17" t="n">
        <v>8330</v>
      </c>
      <c r="E53" s="17" t="n">
        <v>8303</v>
      </c>
      <c r="F53" s="17" t="n">
        <v>25474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39370</v>
      </c>
      <c r="C55" s="17" t="n">
        <v>23200</v>
      </c>
      <c r="D55" s="17" t="n">
        <v>39098</v>
      </c>
      <c r="E55" s="17" t="n">
        <v>62360</v>
      </c>
      <c r="F55" s="17" t="n">
        <v>60458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39370</v>
      </c>
      <c r="C59" s="26" t="n">
        <v>23200</v>
      </c>
      <c r="D59" s="26" t="n">
        <v>39098</v>
      </c>
      <c r="E59" s="26" t="n">
        <v>62360</v>
      </c>
      <c r="F59" s="26" t="n">
        <v>60458</v>
      </c>
    </row>
    <row r="60">
      <c r="A60" s="14" t="inlineStr">
        <is>
          <t>Bottom Line Net Income</t>
        </is>
      </c>
      <c r="B60" s="15" t="n">
        <v>39370</v>
      </c>
      <c r="C60" s="15" t="n">
        <v>23200</v>
      </c>
      <c r="D60" s="15" t="n">
        <v>39098</v>
      </c>
      <c r="E60" s="15" t="n">
        <v>62360</v>
      </c>
      <c r="F60" s="15" t="n">
        <v>60458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13.99</v>
      </c>
      <c r="C62" s="17" t="n">
        <v>8.630000000000001</v>
      </c>
      <c r="D62" s="17" t="n">
        <v>15.19</v>
      </c>
      <c r="E62" s="17" t="n">
        <v>24.61</v>
      </c>
      <c r="F62" s="17" t="n">
        <v>23.98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2815</v>
      </c>
      <c r="C64" s="17" t="n">
        <v>2687</v>
      </c>
      <c r="D64" s="17" t="n">
        <v>2574</v>
      </c>
      <c r="E64" s="17" t="n">
        <v>2534</v>
      </c>
      <c r="F64" s="17" t="n">
        <v>2521</v>
      </c>
    </row>
    <row r="65">
      <c r="A65" s="16" t="inlineStr">
        <is>
          <t>Shares Outstanding — Diluted (mm)</t>
        </is>
      </c>
      <c r="B65" s="17" t="n">
        <v>2859</v>
      </c>
      <c r="C65" s="17" t="n">
        <v>2702</v>
      </c>
      <c r="D65" s="17" t="n">
        <v>2629</v>
      </c>
      <c r="E65" s="17" t="n">
        <v>2614</v>
      </c>
      <c r="F65" s="17" t="n">
        <v>2574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16601</v>
      </c>
      <c r="C5" s="17" t="n">
        <v>14681</v>
      </c>
      <c r="D5" s="17" t="n">
        <v>41862</v>
      </c>
      <c r="E5" s="17" t="n">
        <v>43889</v>
      </c>
      <c r="F5" s="17" t="n">
        <v>35873</v>
      </c>
    </row>
    <row r="6">
      <c r="A6" s="16" t="inlineStr">
        <is>
          <t>(2)  Receivables</t>
        </is>
      </c>
      <c r="B6" s="17" t="n">
        <v>14039</v>
      </c>
      <c r="C6" s="17" t="n">
        <v>13466</v>
      </c>
      <c r="D6" s="17" t="n">
        <v>16169</v>
      </c>
      <c r="E6" s="17" t="n">
        <v>16994</v>
      </c>
      <c r="F6" s="17" t="n">
        <v>19769</v>
      </c>
    </row>
    <row r="7">
      <c r="A7" s="16" t="inlineStr">
        <is>
          <t>(3)  Inventory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66666</v>
      </c>
      <c r="C9" s="23" t="n">
        <v>59549</v>
      </c>
      <c r="D9" s="23" t="n">
        <v>85365</v>
      </c>
      <c r="E9" s="23" t="n">
        <v>100045</v>
      </c>
      <c r="F9" s="23" t="n">
        <v>108722</v>
      </c>
    </row>
    <row r="10">
      <c r="A10" s="16" t="inlineStr">
        <is>
          <t>(6)  PP&amp;E (Net)</t>
        </is>
      </c>
      <c r="B10" s="17" t="n">
        <v>69964</v>
      </c>
      <c r="C10" s="17" t="n">
        <v>92191</v>
      </c>
      <c r="D10" s="17" t="n">
        <v>109881</v>
      </c>
      <c r="E10" s="17" t="n">
        <v>136268</v>
      </c>
      <c r="F10" s="17" t="n">
        <v>196804</v>
      </c>
    </row>
    <row r="11">
      <c r="A11" s="16" t="inlineStr">
        <is>
          <t>(7)  Goodwill</t>
        </is>
      </c>
      <c r="B11" s="17" t="n">
        <v>19197</v>
      </c>
      <c r="C11" s="17" t="n">
        <v>20306</v>
      </c>
      <c r="D11" s="17" t="n">
        <v>20654</v>
      </c>
      <c r="E11" s="17" t="n">
        <v>20654</v>
      </c>
      <c r="F11" s="17" t="n">
        <v>24534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99321</v>
      </c>
      <c r="C14" s="23" t="n">
        <v>126178</v>
      </c>
      <c r="D14" s="23" t="n">
        <v>144258</v>
      </c>
      <c r="E14" s="23" t="n">
        <v>176009</v>
      </c>
      <c r="F14" s="23" t="n">
        <v>257299</v>
      </c>
    </row>
    <row r="15">
      <c r="A15" s="18" t="inlineStr">
        <is>
          <t>(11) Total Assets</t>
        </is>
      </c>
      <c r="B15" s="23" t="n">
        <v>165987</v>
      </c>
      <c r="C15" s="23" t="n">
        <v>185727</v>
      </c>
      <c r="D15" s="23" t="n">
        <v>229623</v>
      </c>
      <c r="E15" s="23" t="n">
        <v>276054</v>
      </c>
      <c r="F15" s="23" t="n">
        <v>366021</v>
      </c>
    </row>
    <row r="16" ht="6" customHeight="1"/>
    <row r="17">
      <c r="A17" s="16" t="inlineStr">
        <is>
          <t>(12) Accounts Payable</t>
        </is>
      </c>
      <c r="B17" s="17" t="n">
        <v>4083</v>
      </c>
      <c r="C17" s="17" t="n">
        <v>4990</v>
      </c>
      <c r="D17" s="17" t="n">
        <v>4849</v>
      </c>
      <c r="E17" s="17" t="n">
        <v>7687</v>
      </c>
      <c r="F17" s="17" t="n">
        <v>8894</v>
      </c>
    </row>
    <row r="18">
      <c r="A18" s="16" t="inlineStr">
        <is>
          <t>(13) Short-Term Borrowings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21135</v>
      </c>
      <c r="C21" s="23" t="n">
        <v>27026</v>
      </c>
      <c r="D21" s="23" t="n">
        <v>31960</v>
      </c>
      <c r="E21" s="23" t="n">
        <v>33596</v>
      </c>
      <c r="F21" s="23" t="n">
        <v>41836</v>
      </c>
    </row>
    <row r="22">
      <c r="A22" s="16" t="inlineStr">
        <is>
          <t>(17) Long-Term Debt</t>
        </is>
      </c>
      <c r="B22" s="17" t="n">
        <v>0</v>
      </c>
      <c r="C22" s="17" t="n">
        <v>9923</v>
      </c>
      <c r="D22" s="17" t="n">
        <v>18385</v>
      </c>
      <c r="E22" s="17" t="n">
        <v>28826</v>
      </c>
      <c r="F22" s="17" t="n">
        <v>58744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41108</v>
      </c>
      <c r="C25" s="23" t="n">
        <v>60014</v>
      </c>
      <c r="D25" s="23" t="n">
        <v>76455</v>
      </c>
      <c r="E25" s="23" t="n">
        <v>93417</v>
      </c>
      <c r="F25" s="23" t="n">
        <v>148778</v>
      </c>
    </row>
    <row r="26" ht="6" customHeight="1"/>
    <row r="27">
      <c r="A27" s="16" t="inlineStr">
        <is>
          <t>(21) Common Stock &amp; APIC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</row>
    <row r="28">
      <c r="A28" s="16" t="inlineStr">
        <is>
          <t>(22) Retained Earnings</t>
        </is>
      </c>
      <c r="B28" s="17" t="n">
        <v>69761</v>
      </c>
      <c r="C28" s="17" t="n">
        <v>64799</v>
      </c>
      <c r="D28" s="17" t="n">
        <v>82070</v>
      </c>
      <c r="E28" s="17" t="n">
        <v>102506</v>
      </c>
      <c r="F28" s="17" t="n">
        <v>121179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124879</v>
      </c>
      <c r="C30" s="23" t="n">
        <v>125713</v>
      </c>
      <c r="D30" s="23" t="n">
        <v>153168</v>
      </c>
      <c r="E30" s="23" t="n">
        <v>182637</v>
      </c>
      <c r="F30" s="23" t="n">
        <v>217243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16601</v>
      </c>
      <c r="C36" s="17" t="n">
        <v>14681</v>
      </c>
      <c r="D36" s="17" t="n">
        <v>41862</v>
      </c>
      <c r="E36" s="17" t="n">
        <v>43889</v>
      </c>
      <c r="F36" s="17" t="n">
        <v>35873</v>
      </c>
    </row>
    <row r="37">
      <c r="A37" s="16" t="inlineStr">
        <is>
          <t>Short-Term Investments</t>
        </is>
      </c>
      <c r="B37" s="17" t="n">
        <v>31397</v>
      </c>
      <c r="C37" s="17" t="n">
        <v>26057</v>
      </c>
      <c r="D37" s="17" t="n">
        <v>23541</v>
      </c>
      <c r="E37" s="17" t="n">
        <v>33926</v>
      </c>
      <c r="F37" s="17" t="n">
        <v>45719</v>
      </c>
    </row>
    <row r="38">
      <c r="A38" s="27" t="inlineStr">
        <is>
          <t>Cash &amp; Short-Term Investments</t>
        </is>
      </c>
      <c r="B38" s="28" t="n">
        <v>47998</v>
      </c>
      <c r="C38" s="28" t="n">
        <v>40738</v>
      </c>
      <c r="D38" s="28" t="n">
        <v>65403</v>
      </c>
      <c r="E38" s="28" t="n">
        <v>77815</v>
      </c>
      <c r="F38" s="28" t="n">
        <v>81592</v>
      </c>
    </row>
    <row r="39">
      <c r="A39" s="16" t="inlineStr">
        <is>
          <t>Accounts Receivable (Trade)</t>
        </is>
      </c>
      <c r="B39" s="17" t="n">
        <v>14039</v>
      </c>
      <c r="C39" s="17" t="n">
        <v>13466</v>
      </c>
      <c r="D39" s="17" t="n">
        <v>16169</v>
      </c>
      <c r="E39" s="17" t="n">
        <v>16994</v>
      </c>
      <c r="F39" s="17" t="n">
        <v>19769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14039</v>
      </c>
      <c r="C41" s="28" t="n">
        <v>13466</v>
      </c>
      <c r="D41" s="28" t="n">
        <v>16169</v>
      </c>
      <c r="E41" s="28" t="n">
        <v>16994</v>
      </c>
      <c r="F41" s="28" t="n">
        <v>19769</v>
      </c>
    </row>
    <row r="42">
      <c r="A42" s="16" t="inlineStr">
        <is>
          <t>Inventory</t>
        </is>
      </c>
      <c r="B42" s="17" t="n">
        <v>0</v>
      </c>
      <c r="C42" s="17" t="n">
        <v>0</v>
      </c>
      <c r="D42" s="17" t="n">
        <v>0</v>
      </c>
      <c r="E42" s="17" t="n">
        <v>0</v>
      </c>
      <c r="F42" s="17" t="n">
        <v>0</v>
      </c>
    </row>
    <row r="43">
      <c r="A43" s="16" t="inlineStr">
        <is>
          <t>Prepaids</t>
        </is>
      </c>
      <c r="B43" s="17" t="n">
        <v>4480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149</v>
      </c>
      <c r="C44" s="17" t="n">
        <v>5345</v>
      </c>
      <c r="D44" s="17" t="n">
        <v>3793</v>
      </c>
      <c r="E44" s="17" t="n">
        <v>5236</v>
      </c>
      <c r="F44" s="17" t="n">
        <v>7361</v>
      </c>
    </row>
    <row r="45">
      <c r="A45" s="25" t="inlineStr">
        <is>
          <t>Total Current Assets</t>
        </is>
      </c>
      <c r="B45" s="26" t="n">
        <v>66666</v>
      </c>
      <c r="C45" s="26" t="n">
        <v>59549</v>
      </c>
      <c r="D45" s="26" t="n">
        <v>85365</v>
      </c>
      <c r="E45" s="26" t="n">
        <v>100045</v>
      </c>
      <c r="F45" s="26" t="n">
        <v>108722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69964</v>
      </c>
      <c r="C47" s="17" t="n">
        <v>92191</v>
      </c>
      <c r="D47" s="17" t="n">
        <v>109881</v>
      </c>
      <c r="E47" s="17" t="n">
        <v>136268</v>
      </c>
      <c r="F47" s="17" t="n">
        <v>196804</v>
      </c>
    </row>
    <row r="48">
      <c r="A48" s="16" t="inlineStr">
        <is>
          <t>Goodwill</t>
        </is>
      </c>
      <c r="B48" s="17" t="n">
        <v>19197</v>
      </c>
      <c r="C48" s="17" t="n">
        <v>20306</v>
      </c>
      <c r="D48" s="17" t="n">
        <v>20654</v>
      </c>
      <c r="E48" s="17" t="n">
        <v>20654</v>
      </c>
      <c r="F48" s="17" t="n">
        <v>24534</v>
      </c>
    </row>
    <row r="49">
      <c r="A49" s="16" t="inlineStr">
        <is>
          <t>Intangible Assets</t>
        </is>
      </c>
      <c r="B49" s="17" t="n">
        <v>634</v>
      </c>
      <c r="C49" s="17" t="n">
        <v>897</v>
      </c>
      <c r="D49" s="17" t="n">
        <v>788</v>
      </c>
      <c r="E49" s="17" t="n">
        <v>915</v>
      </c>
      <c r="F49" s="17" t="n">
        <v>0</v>
      </c>
    </row>
    <row r="50">
      <c r="A50" s="16" t="inlineStr">
        <is>
          <t>Long-Term Investments</t>
        </is>
      </c>
      <c r="B50" s="17" t="n">
        <v>6775</v>
      </c>
      <c r="C50" s="17" t="n">
        <v>6201</v>
      </c>
      <c r="D50" s="17" t="n">
        <v>6141</v>
      </c>
      <c r="E50" s="17" t="n">
        <v>6070</v>
      </c>
      <c r="F50" s="17" t="n">
        <v>27524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38172</v>
      </c>
      <c r="C52" s="17" t="n">
        <v>32258</v>
      </c>
      <c r="D52" s="17" t="n">
        <v>29682</v>
      </c>
      <c r="E52" s="17" t="n">
        <v>39996</v>
      </c>
      <c r="F52" s="17" t="n">
        <v>73243</v>
      </c>
    </row>
    <row r="53">
      <c r="A53" s="16" t="inlineStr">
        <is>
          <t>Other Non-Current Assets</t>
        </is>
      </c>
      <c r="B53" s="17" t="n">
        <v>2751</v>
      </c>
      <c r="C53" s="17" t="n">
        <v>6583</v>
      </c>
      <c r="D53" s="17" t="n">
        <v>6794</v>
      </c>
      <c r="E53" s="17" t="n">
        <v>12102</v>
      </c>
      <c r="F53" s="17" t="n">
        <v>8437</v>
      </c>
    </row>
    <row r="54">
      <c r="A54" s="25" t="inlineStr">
        <is>
          <t>Total Non-Current Assets</t>
        </is>
      </c>
      <c r="B54" s="26" t="n">
        <v>99321</v>
      </c>
      <c r="C54" s="26" t="n">
        <v>126178</v>
      </c>
      <c r="D54" s="26" t="n">
        <v>144258</v>
      </c>
      <c r="E54" s="26" t="n">
        <v>176009</v>
      </c>
      <c r="F54" s="26" t="n">
        <v>257299</v>
      </c>
    </row>
    <row r="55">
      <c r="A55" s="12" t="inlineStr">
        <is>
          <t>TOTAL ASSETS</t>
        </is>
      </c>
      <c r="B55" s="29" t="n">
        <v>165987</v>
      </c>
      <c r="C55" s="29" t="n">
        <v>185727</v>
      </c>
      <c r="D55" s="29" t="n">
        <v>229623</v>
      </c>
      <c r="E55" s="29" t="n">
        <v>276054</v>
      </c>
      <c r="F55" s="29" t="n">
        <v>366021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4083</v>
      </c>
      <c r="C57" s="17" t="n">
        <v>4990</v>
      </c>
      <c r="D57" s="17" t="n">
        <v>4849</v>
      </c>
      <c r="E57" s="17" t="n">
        <v>7687</v>
      </c>
      <c r="F57" s="17" t="n">
        <v>8894</v>
      </c>
    </row>
    <row r="58">
      <c r="A58" s="16" t="inlineStr">
        <is>
          <t>Short-Term Debt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561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8410</v>
      </c>
      <c r="C61" s="17" t="n">
        <v>9497</v>
      </c>
      <c r="D61" s="17" t="n">
        <v>13028</v>
      </c>
      <c r="E61" s="17" t="n">
        <v>12424</v>
      </c>
      <c r="F61" s="17" t="n">
        <v>0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21135</v>
      </c>
      <c r="C63" s="26" t="n">
        <v>27026</v>
      </c>
      <c r="D63" s="26" t="n">
        <v>31960</v>
      </c>
      <c r="E63" s="26" t="n">
        <v>33596</v>
      </c>
      <c r="F63" s="26" t="n">
        <v>41836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0</v>
      </c>
      <c r="C65" s="17" t="n">
        <v>9923</v>
      </c>
      <c r="D65" s="17" t="n">
        <v>18385</v>
      </c>
      <c r="E65" s="17" t="n">
        <v>28826</v>
      </c>
      <c r="F65" s="17" t="n">
        <v>58744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-5490</v>
      </c>
      <c r="D67" s="17" t="n">
        <v>-6950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0</v>
      </c>
      <c r="C68" s="17" t="n">
        <v>5490</v>
      </c>
      <c r="D68" s="17" t="n">
        <v>6950</v>
      </c>
      <c r="E68" s="17" t="n">
        <v>0</v>
      </c>
      <c r="F68" s="17" t="n">
        <v>21005</v>
      </c>
    </row>
    <row r="69">
      <c r="A69" s="16" t="inlineStr">
        <is>
          <t>Other Non-Current Liabilities</t>
        </is>
      </c>
      <c r="B69" s="17" t="n">
        <v>7227</v>
      </c>
      <c r="C69" s="17" t="n">
        <v>7764</v>
      </c>
      <c r="D69" s="17" t="n">
        <v>8884</v>
      </c>
      <c r="E69" s="17" t="n">
        <v>12703</v>
      </c>
      <c r="F69" s="17" t="n">
        <v>4253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41108</v>
      </c>
      <c r="C71" s="29" t="n">
        <v>60014</v>
      </c>
      <c r="D71" s="29" t="n">
        <v>76455</v>
      </c>
      <c r="E71" s="29" t="n">
        <v>93417</v>
      </c>
      <c r="F71" s="29" t="n">
        <v>148778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</row>
    <row r="74">
      <c r="A74" s="16" t="inlineStr">
        <is>
          <t>Retained Earnings</t>
        </is>
      </c>
      <c r="B74" s="17" t="n">
        <v>69761</v>
      </c>
      <c r="C74" s="17" t="n">
        <v>64799</v>
      </c>
      <c r="D74" s="17" t="n">
        <v>82070</v>
      </c>
      <c r="E74" s="17" t="n">
        <v>102506</v>
      </c>
      <c r="F74" s="17" t="n">
        <v>121179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124879</v>
      </c>
      <c r="C78" s="26" t="n">
        <v>125713</v>
      </c>
      <c r="D78" s="26" t="n">
        <v>153168</v>
      </c>
      <c r="E78" s="26" t="n">
        <v>182637</v>
      </c>
      <c r="F78" s="26" t="n">
        <v>217243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13873</v>
      </c>
      <c r="C80" s="15" t="n">
        <v>26591</v>
      </c>
      <c r="D80" s="15" t="n">
        <v>37234</v>
      </c>
      <c r="E80" s="15" t="n">
        <v>49060</v>
      </c>
      <c r="F80" s="15" t="n">
        <v>83897</v>
      </c>
    </row>
    <row r="81">
      <c r="A81" s="14" t="inlineStr">
        <is>
          <t>Net Debt</t>
        </is>
      </c>
      <c r="B81" s="15" t="n">
        <v>-2728</v>
      </c>
      <c r="C81" s="15" t="n">
        <v>11910</v>
      </c>
      <c r="D81" s="15" t="n">
        <v>-4628</v>
      </c>
      <c r="E81" s="15" t="n">
        <v>5171</v>
      </c>
      <c r="F81" s="15" t="n">
        <v>48024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57683</v>
      </c>
      <c r="C5" s="23" t="n">
        <v>50475</v>
      </c>
      <c r="D5" s="23" t="n">
        <v>71113</v>
      </c>
      <c r="E5" s="23" t="n">
        <v>91328</v>
      </c>
      <c r="F5" s="23" t="n">
        <v>115800</v>
      </c>
    </row>
    <row r="6">
      <c r="A6" s="16" t="inlineStr">
        <is>
          <t>(2)  Capital Expenditures</t>
        </is>
      </c>
      <c r="B6" s="17" t="n">
        <v>-18567</v>
      </c>
      <c r="C6" s="17" t="n">
        <v>-31431</v>
      </c>
      <c r="D6" s="17" t="n">
        <v>-27266</v>
      </c>
      <c r="E6" s="17" t="n">
        <v>-37256</v>
      </c>
      <c r="F6" s="17" t="n">
        <v>-69691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-663</v>
      </c>
      <c r="C9" s="17" t="n">
        <v>9071</v>
      </c>
      <c r="D9" s="17" t="n">
        <v>7397</v>
      </c>
      <c r="E9" s="17" t="n">
        <v>8463</v>
      </c>
      <c r="F9" s="17" t="n">
        <v>27382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0</v>
      </c>
      <c r="C12" s="17" t="n">
        <v>0</v>
      </c>
      <c r="D12" s="17" t="n">
        <v>0</v>
      </c>
      <c r="E12" s="17" t="n">
        <v>-5072</v>
      </c>
      <c r="F12" s="17" t="n">
        <v>-5324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39116</v>
      </c>
      <c r="C15" s="23" t="n">
        <v>19044</v>
      </c>
      <c r="D15" s="23" t="n">
        <v>43847</v>
      </c>
      <c r="E15" s="23" t="n">
        <v>54072</v>
      </c>
      <c r="F15" s="23" t="n">
        <v>46109</v>
      </c>
    </row>
    <row r="16">
      <c r="A16" s="14" t="inlineStr">
        <is>
          <t xml:space="preserve">     Net Change in Cash</t>
        </is>
      </c>
      <c r="B16" s="15" t="n">
        <v>-1089</v>
      </c>
      <c r="C16" s="15" t="n">
        <v>-1269</v>
      </c>
      <c r="D16" s="15" t="n">
        <v>27231</v>
      </c>
      <c r="E16" s="15" t="n">
        <v>2611</v>
      </c>
      <c r="F16" s="15" t="n">
        <v>-6338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39370</v>
      </c>
      <c r="C21" s="17" t="n">
        <v>23200</v>
      </c>
      <c r="D21" s="17" t="n">
        <v>39098</v>
      </c>
      <c r="E21" s="17" t="n">
        <v>62360</v>
      </c>
      <c r="F21" s="17" t="n">
        <v>60458</v>
      </c>
    </row>
    <row r="22">
      <c r="A22" s="16" t="inlineStr">
        <is>
          <t>Depreciation &amp; Amortisation</t>
        </is>
      </c>
      <c r="B22" s="17" t="n">
        <v>7967</v>
      </c>
      <c r="C22" s="17" t="n">
        <v>8686</v>
      </c>
      <c r="D22" s="17" t="n">
        <v>11178</v>
      </c>
      <c r="E22" s="17" t="n">
        <v>15498</v>
      </c>
      <c r="F22" s="17" t="n">
        <v>18616</v>
      </c>
    </row>
    <row r="23">
      <c r="A23" s="16" t="inlineStr">
        <is>
          <t>Deferred Income Tax</t>
        </is>
      </c>
      <c r="B23" s="17" t="n">
        <v>609</v>
      </c>
      <c r="C23" s="17" t="n">
        <v>-3286</v>
      </c>
      <c r="D23" s="17" t="n">
        <v>131</v>
      </c>
      <c r="E23" s="17" t="n">
        <v>-4738</v>
      </c>
      <c r="F23" s="17" t="n">
        <v>18738</v>
      </c>
    </row>
    <row r="24">
      <c r="A24" s="16" t="inlineStr">
        <is>
          <t>Stock-Based Compensation</t>
        </is>
      </c>
      <c r="B24" s="17" t="n">
        <v>9164</v>
      </c>
      <c r="C24" s="17" t="n">
        <v>11992</v>
      </c>
      <c r="D24" s="17" t="n">
        <v>14027</v>
      </c>
      <c r="E24" s="17" t="n">
        <v>16690</v>
      </c>
      <c r="F24" s="17" t="n">
        <v>20427</v>
      </c>
    </row>
    <row r="25">
      <c r="A25" s="16" t="inlineStr">
        <is>
          <t>Change in Working Capital</t>
        </is>
      </c>
      <c r="B25" s="17" t="n">
        <v>700</v>
      </c>
      <c r="C25" s="17" t="n">
        <v>5683</v>
      </c>
      <c r="D25" s="17" t="n">
        <v>3836</v>
      </c>
      <c r="E25" s="17" t="n">
        <v>1048</v>
      </c>
      <c r="F25" s="17" t="n">
        <v>-885</v>
      </c>
    </row>
    <row r="26">
      <c r="A26" s="20" t="inlineStr">
        <is>
          <t xml:space="preserve">  — Accounts Receivable</t>
        </is>
      </c>
      <c r="B26" s="17" t="n">
        <v>-3110</v>
      </c>
      <c r="C26" s="17" t="n">
        <v>231</v>
      </c>
      <c r="D26" s="17" t="n">
        <v>-2399</v>
      </c>
      <c r="E26" s="17" t="n">
        <v>-1485</v>
      </c>
      <c r="F26" s="17" t="n">
        <v>-1815</v>
      </c>
    </row>
    <row r="27">
      <c r="A27" s="20" t="inlineStr">
        <is>
          <t xml:space="preserve">  — Inventory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1436</v>
      </c>
      <c r="C28" s="17" t="n">
        <v>210</v>
      </c>
      <c r="D28" s="17" t="n">
        <v>51</v>
      </c>
      <c r="E28" s="17" t="n">
        <v>373</v>
      </c>
      <c r="F28" s="17" t="n">
        <v>-14</v>
      </c>
    </row>
    <row r="29">
      <c r="A29" s="20" t="inlineStr">
        <is>
          <t xml:space="preserve">  — Other Working Capital</t>
        </is>
      </c>
      <c r="B29" s="17" t="n">
        <v>2374</v>
      </c>
      <c r="C29" s="17" t="n">
        <v>5242</v>
      </c>
      <c r="D29" s="17" t="n">
        <v>6184</v>
      </c>
      <c r="E29" s="17" t="n">
        <v>2160</v>
      </c>
      <c r="F29" s="17" t="n">
        <v>944</v>
      </c>
    </row>
    <row r="30">
      <c r="A30" s="16" t="inlineStr">
        <is>
          <t>Other Non-Cash Items</t>
        </is>
      </c>
      <c r="B30" s="17" t="n">
        <v>-127</v>
      </c>
      <c r="C30" s="17" t="n">
        <v>4200</v>
      </c>
      <c r="D30" s="17" t="n">
        <v>2843</v>
      </c>
      <c r="E30" s="17" t="n">
        <v>470</v>
      </c>
      <c r="F30" s="17" t="n">
        <v>-1554</v>
      </c>
    </row>
    <row r="31">
      <c r="A31" s="25" t="inlineStr">
        <is>
          <t>Net Cash from Operations (CFO)</t>
        </is>
      </c>
      <c r="B31" s="26" t="n">
        <v>57683</v>
      </c>
      <c r="C31" s="26" t="n">
        <v>50475</v>
      </c>
      <c r="D31" s="26" t="n">
        <v>71113</v>
      </c>
      <c r="E31" s="26" t="n">
        <v>91328</v>
      </c>
      <c r="F31" s="26" t="n">
        <v>115800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-18567</v>
      </c>
      <c r="C33" s="17" t="n">
        <v>-31431</v>
      </c>
      <c r="D33" s="17" t="n">
        <v>-27266</v>
      </c>
      <c r="E33" s="17" t="n">
        <v>-37256</v>
      </c>
      <c r="F33" s="17" t="n">
        <v>-69691</v>
      </c>
    </row>
    <row r="34">
      <c r="A34" s="20" t="inlineStr">
        <is>
          <t xml:space="preserve">  (Alt: Invest. in PP&amp;E)</t>
        </is>
      </c>
      <c r="B34" s="17" t="n">
        <v>-18567</v>
      </c>
      <c r="C34" s="17" t="n">
        <v>-31431</v>
      </c>
      <c r="D34" s="17" t="n">
        <v>-27266</v>
      </c>
      <c r="E34" s="17" t="n">
        <v>-37256</v>
      </c>
      <c r="F34" s="17" t="n">
        <v>-69691</v>
      </c>
    </row>
    <row r="35">
      <c r="A35" s="16" t="inlineStr">
        <is>
          <t>Acquisitions (Net)</t>
        </is>
      </c>
      <c r="B35" s="17" t="n">
        <v>-898</v>
      </c>
      <c r="C35" s="17" t="n">
        <v>-1312</v>
      </c>
      <c r="D35" s="17" t="n">
        <v>-629</v>
      </c>
      <c r="E35" s="17" t="n">
        <v>-270</v>
      </c>
      <c r="F35" s="17" t="n">
        <v>-4231</v>
      </c>
    </row>
    <row r="36">
      <c r="A36" s="16" t="inlineStr">
        <is>
          <t>Purchases of Investments</t>
        </is>
      </c>
      <c r="B36" s="17" t="n">
        <v>-30407</v>
      </c>
      <c r="C36" s="17" t="n">
        <v>-9631</v>
      </c>
      <c r="D36" s="17" t="n">
        <v>-2982</v>
      </c>
      <c r="E36" s="17" t="n">
        <v>-25542</v>
      </c>
      <c r="F36" s="17" t="n">
        <v>-55259</v>
      </c>
    </row>
    <row r="37">
      <c r="A37" s="16" t="inlineStr">
        <is>
          <t>Sales / Maturities of Investments</t>
        </is>
      </c>
      <c r="B37" s="17" t="n">
        <v>42586</v>
      </c>
      <c r="C37" s="17" t="n">
        <v>13158</v>
      </c>
      <c r="D37" s="17" t="n">
        <v>6184</v>
      </c>
      <c r="E37" s="17" t="n">
        <v>15789</v>
      </c>
      <c r="F37" s="17" t="n">
        <v>29428</v>
      </c>
    </row>
    <row r="38">
      <c r="A38" s="16" t="inlineStr">
        <is>
          <t>Other Investing Activities</t>
        </is>
      </c>
      <c r="B38" s="17" t="n">
        <v>-284</v>
      </c>
      <c r="C38" s="17" t="n">
        <v>246</v>
      </c>
      <c r="D38" s="17" t="n">
        <v>198</v>
      </c>
      <c r="E38" s="17" t="n">
        <v>129</v>
      </c>
      <c r="F38" s="17" t="n">
        <v>-2250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-663</v>
      </c>
      <c r="C41" s="17" t="n">
        <v>9071</v>
      </c>
      <c r="D41" s="17" t="n">
        <v>7397</v>
      </c>
      <c r="E41" s="17" t="n">
        <v>8463</v>
      </c>
      <c r="F41" s="17" t="n">
        <v>27382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-44537</v>
      </c>
      <c r="C44" s="17" t="n">
        <v>-27956</v>
      </c>
      <c r="D44" s="17" t="n">
        <v>-19774</v>
      </c>
      <c r="E44" s="17" t="n">
        <v>-30125</v>
      </c>
      <c r="F44" s="17" t="n">
        <v>-26248</v>
      </c>
    </row>
    <row r="45">
      <c r="A45" s="16" t="inlineStr">
        <is>
          <t>Dividends Paid</t>
        </is>
      </c>
      <c r="B45" s="17" t="n">
        <v>0</v>
      </c>
      <c r="C45" s="17" t="n">
        <v>0</v>
      </c>
      <c r="D45" s="17" t="n">
        <v>0</v>
      </c>
      <c r="E45" s="17" t="n">
        <v>-5072</v>
      </c>
      <c r="F45" s="17" t="n">
        <v>-5324</v>
      </c>
    </row>
    <row r="46">
      <c r="A46" s="16" t="inlineStr">
        <is>
          <t>Other Financing Activities</t>
        </is>
      </c>
      <c r="B46" s="17" t="n">
        <v>-5528</v>
      </c>
      <c r="C46" s="17" t="n">
        <v>344</v>
      </c>
      <c r="D46" s="17" t="n">
        <v>-111</v>
      </c>
      <c r="E46" s="17" t="n">
        <v>-14047</v>
      </c>
      <c r="F46" s="17" t="n">
        <v>-16180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-474</v>
      </c>
      <c r="C49" s="17" t="n">
        <v>-638</v>
      </c>
      <c r="D49" s="17" t="n">
        <v>113</v>
      </c>
      <c r="E49" s="17" t="n">
        <v>-786</v>
      </c>
      <c r="F49" s="17" t="n">
        <v>235</v>
      </c>
    </row>
    <row r="50">
      <c r="A50" s="14" t="inlineStr">
        <is>
          <t>Net Change in Cash</t>
        </is>
      </c>
      <c r="B50" s="15" t="n">
        <v>-1089</v>
      </c>
      <c r="C50" s="15" t="n">
        <v>-1269</v>
      </c>
      <c r="D50" s="15" t="n">
        <v>27231</v>
      </c>
      <c r="E50" s="15" t="n">
        <v>2611</v>
      </c>
      <c r="F50" s="15" t="n">
        <v>-6338</v>
      </c>
    </row>
    <row r="51">
      <c r="A51" s="16" t="inlineStr">
        <is>
          <t>Cash at Beginning of Period</t>
        </is>
      </c>
      <c r="B51" s="17" t="n">
        <v>17954</v>
      </c>
      <c r="C51" s="17" t="n">
        <v>16865</v>
      </c>
      <c r="D51" s="17" t="n">
        <v>15596</v>
      </c>
      <c r="E51" s="17" t="n">
        <v>42827</v>
      </c>
      <c r="F51" s="17" t="n">
        <v>45438</v>
      </c>
    </row>
    <row r="52">
      <c r="A52" s="25" t="inlineStr">
        <is>
          <t>Cash at End of Period</t>
        </is>
      </c>
      <c r="B52" s="26" t="n">
        <v>16865</v>
      </c>
      <c r="C52" s="26" t="n">
        <v>15596</v>
      </c>
      <c r="D52" s="26" t="n">
        <v>42827</v>
      </c>
      <c r="E52" s="26" t="n">
        <v>45438</v>
      </c>
      <c r="F52" s="26" t="n">
        <v>39100</v>
      </c>
    </row>
    <row r="53">
      <c r="A53" s="25" t="inlineStr">
        <is>
          <t>Free Cash Flow</t>
        </is>
      </c>
      <c r="B53" s="26" t="n">
        <v>39116</v>
      </c>
      <c r="C53" s="26" t="n">
        <v>19044</v>
      </c>
      <c r="D53" s="26" t="n">
        <v>43847</v>
      </c>
      <c r="E53" s="26" t="n">
        <v>54072</v>
      </c>
      <c r="F53" s="26" t="n">
        <v>46109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2859</v>
      </c>
      <c r="C61" s="17" t="n">
        <v>2702</v>
      </c>
      <c r="D61" s="17" t="n">
        <v>2629</v>
      </c>
      <c r="E61" s="17" t="n">
        <v>2614</v>
      </c>
      <c r="F61" s="17" t="n">
        <v>2574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198759</v>
      </c>
      <c r="C5" s="17" t="n">
        <v>162355</v>
      </c>
      <c r="D5" s="17" t="n">
        <v>133006</v>
      </c>
      <c r="E5" s="17" t="n">
        <v>114450</v>
      </c>
      <c r="F5" s="17" t="n">
        <v>115655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META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1706384.510927</v>
      </c>
      <c r="C5" s="43" t="inlineStr">
        <is>
          <t>FMP marketCap  |  price $676.87</t>
        </is>
      </c>
    </row>
    <row r="6">
      <c r="A6" s="16" t="inlineStr">
        <is>
          <t>Debt  (gross book value, $mm)</t>
        </is>
      </c>
      <c r="B6" s="42" t="n">
        <v>58744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0.0429</v>
      </c>
      <c r="C12" s="43" t="inlineStr">
        <is>
          <t>FRED series DGS10  |  latest: 2026-04-15</t>
        </is>
      </c>
    </row>
    <row r="13">
      <c r="A13" s="46" t="inlineStr">
        <is>
          <t>► Selected Rf  (override if needed)</t>
        </is>
      </c>
      <c r="B13" s="47" t="n">
        <v>0.0429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1.309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1.207</v>
      </c>
      <c r="C17" s="43" t="inlineStr">
        <is>
          <t>Mean-reversion toward market beta of 1.0</t>
        </is>
      </c>
    </row>
    <row r="18">
      <c r="A18" s="16" t="inlineStr">
        <is>
          <t>Damodaran industry unlevered  (Internet Content &amp; Information)</t>
        </is>
      </c>
      <c r="B18" s="49" t="n">
        <v>1.12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0.03x,  t = 29.6%)</t>
        </is>
      </c>
      <c r="B19" s="49" t="n">
        <v>1.147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1.221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A-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0.0486</v>
      </c>
      <c r="C32" s="43" t="inlineStr">
        <is>
          <t>FRED BAMLC0A3CAEY — A</t>
        </is>
      </c>
    </row>
    <row r="33">
      <c r="A33" s="16" t="inlineStr">
        <is>
          <t>Interest Coverage Ratio  (EBIT / Gross Int Exp)</t>
        </is>
      </c>
      <c r="B33" s="52" t="n"/>
      <c r="C33" s="43" t="inlineStr">
        <is>
          <t>EBIT $83276mm  /  Int Exp $0mm</t>
        </is>
      </c>
    </row>
    <row r="34">
      <c r="A34" s="16" t="inlineStr">
        <is>
          <t>Synthetic rating  (Damodaran ICR table)</t>
        </is>
      </c>
      <c r="B34" s="52" t="inlineStr">
        <is>
          <t>AAA</t>
        </is>
      </c>
      <c r="C34" s="43" t="inlineStr">
        <is>
          <t>ICR 999.0x  →  AAA</t>
        </is>
      </c>
    </row>
    <row r="35">
      <c r="A35" s="16" t="inlineStr">
        <is>
          <t>Synthetic Rd  (Rf + Damodaran default spread)</t>
        </is>
      </c>
      <c r="B35" s="45" t="n">
        <v>0.0483</v>
      </c>
      <c r="C35" s="43" t="inlineStr">
        <is>
          <t>Rf 4.29% + spread 0.54%</t>
        </is>
      </c>
    </row>
    <row r="36">
      <c r="A36" s="16" t="inlineStr">
        <is>
          <t>Accounting Rd  (Gross int exp / Avg gross debt)</t>
        </is>
      </c>
      <c r="B36" s="45" t="n">
        <v>0</v>
      </c>
      <c r="C36" s="43" t="inlineStr">
        <is>
          <t>Cross-check only — backward-looking</t>
        </is>
      </c>
    </row>
    <row r="37">
      <c r="A37" s="16" t="inlineStr">
        <is>
          <t xml:space="preserve">  Note: net interest INCOME of $2656mm  (int inc $2656mm &gt; int exp $0mm)</t>
        </is>
      </c>
      <c r="B37" s="52" t="n"/>
      <c r="C37" s="43" t="inlineStr">
        <is>
          <t>Gross Rd is the correct basis here — net figure is distorted</t>
        </is>
      </c>
    </row>
    <row r="38">
      <c r="A38" s="46" t="inlineStr">
        <is>
          <t>► Selected pre-tax Rd  (user override)</t>
        </is>
      </c>
      <c r="B38" s="47" t="n">
        <v>0.0323</v>
      </c>
      <c r="C38" s="48" t="inlineStr">
        <is>
          <t>Default = average of 3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0.2964</v>
      </c>
      <c r="C41" s="43" t="inlineStr">
        <is>
          <t>FMP: $25474mm  /  $85932mm</t>
        </is>
      </c>
    </row>
    <row r="42">
      <c r="A42" s="46" t="inlineStr">
        <is>
          <t>► Selected tax rate  (user override)</t>
        </is>
      </c>
      <c r="B42" s="47" t="n">
        <v>0.2964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B8*B28+B9*B38*(1-B42)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B8*(B13+(B20+(-1.0))*(B25+(-0.01)))+B9*B38*(1-B42)</f>
        <v/>
      </c>
      <c r="C49" s="58">
        <f>B8*(B13+(B20+(-1.0))*(B25+(-0.005)))+B9*B38*(1-B42)</f>
        <v/>
      </c>
      <c r="D49" s="58">
        <f>B8*(B13+(B20+(-1.0))*(B25+(0.0)))+B9*B38*(1-B42)</f>
        <v/>
      </c>
      <c r="E49" s="58">
        <f>B8*(B13+(B20+(-1.0))*(B25+(0.005)))+B9*B38*(1-B42)</f>
        <v/>
      </c>
      <c r="F49" s="58">
        <f>B8*(B13+(B20+(-1.0))*(B25+(0.01)))+B9*B38*(1-B42)</f>
        <v/>
      </c>
    </row>
    <row r="50">
      <c r="A50" s="57" t="inlineStr">
        <is>
          <t>-0.5</t>
        </is>
      </c>
      <c r="B50" s="58">
        <f>B8*(B13+(B20+(-0.5))*(B25+(-0.01)))+B9*B38*(1-B42)</f>
        <v/>
      </c>
      <c r="C50" s="58">
        <f>B8*(B13+(B20+(-0.5))*(B25+(-0.005)))+B9*B38*(1-B42)</f>
        <v/>
      </c>
      <c r="D50" s="58">
        <f>B8*(B13+(B20+(-0.5))*(B25+(0.0)))+B9*B38*(1-B42)</f>
        <v/>
      </c>
      <c r="E50" s="58">
        <f>B8*(B13+(B20+(-0.5))*(B25+(0.005)))+B9*B38*(1-B42)</f>
        <v/>
      </c>
      <c r="F50" s="58">
        <f>B8*(B13+(B20+(-0.5))*(B25+(0.01)))+B9*B38*(1-B42)</f>
        <v/>
      </c>
    </row>
    <row r="51">
      <c r="A51" s="59" t="inlineStr">
        <is>
          <t>Base β</t>
        </is>
      </c>
      <c r="B51" s="60">
        <f>B8*(B13+(B20+(0.0))*(B25+(-0.01)))+B9*B38*(1-B42)</f>
        <v/>
      </c>
      <c r="C51" s="60">
        <f>B8*(B13+(B20+(0.0))*(B25+(-0.005)))+B9*B38*(1-B42)</f>
        <v/>
      </c>
      <c r="D51" s="61">
        <f>B8*(B13+(B20+(0.0))*(B25+(0.0)))+B9*B38*(1-B42)</f>
        <v/>
      </c>
      <c r="E51" s="60">
        <f>B8*(B13+(B20+(0.0))*(B25+(0.005)))+B9*B38*(1-B42)</f>
        <v/>
      </c>
      <c r="F51" s="60">
        <f>B8*(B13+(B20+(0.0))*(B25+(0.01)))+B9*B38*(1-B42)</f>
        <v/>
      </c>
    </row>
    <row r="52">
      <c r="A52" s="57" t="inlineStr">
        <is>
          <t>+0.5</t>
        </is>
      </c>
      <c r="B52" s="58">
        <f>B8*(B13+(B20+(0.5))*(B25+(-0.01)))+B9*B38*(1-B42)</f>
        <v/>
      </c>
      <c r="C52" s="58">
        <f>B8*(B13+(B20+(0.5))*(B25+(-0.005)))+B9*B38*(1-B42)</f>
        <v/>
      </c>
      <c r="D52" s="58">
        <f>B8*(B13+(B20+(0.5))*(B25+(0.0)))+B9*B38*(1-B42)</f>
        <v/>
      </c>
      <c r="E52" s="58">
        <f>B8*(B13+(B20+(0.5))*(B25+(0.005)))+B9*B38*(1-B42)</f>
        <v/>
      </c>
      <c r="F52" s="58">
        <f>B8*(B13+(B20+(0.5))*(B25+(0.01)))+B9*B38*(1-B42)</f>
        <v/>
      </c>
    </row>
    <row r="53">
      <c r="A53" s="57" t="inlineStr">
        <is>
          <t>+1.0</t>
        </is>
      </c>
      <c r="B53" s="58">
        <f>B8*(B13+(B20+(1.0))*(B25+(-0.01)))+B9*B38*(1-B42)</f>
        <v/>
      </c>
      <c r="C53" s="58">
        <f>B8*(B13+(B20+(1.0))*(B25+(-0.005)))+B9*B38*(1-B42)</f>
        <v/>
      </c>
      <c r="D53" s="58">
        <f>B8*(B13+(B20+(1.0))*(B25+(0.0)))+B9*B38*(1-B42)</f>
        <v/>
      </c>
      <c r="E53" s="58">
        <f>B8*(B13+(B20+(1.0))*(B25+(0.005)))+B9*B38*(1-B42)</f>
        <v/>
      </c>
      <c r="F53" s="58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META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-0.0112</v>
      </c>
      <c r="D7" s="69" t="n">
        <v>0.1569</v>
      </c>
      <c r="E7" s="69" t="n">
        <v>0.2194</v>
      </c>
      <c r="F7" s="69" t="n">
        <v>0.2217</v>
      </c>
      <c r="G7" s="70" t="n">
        <v>0.2462</v>
      </c>
      <c r="H7" s="70" t="n">
        <v>0.1845</v>
      </c>
      <c r="I7" s="70" t="n">
        <v>0.1641</v>
      </c>
      <c r="J7" s="70" t="n">
        <v>0.1604</v>
      </c>
      <c r="K7" s="70" t="n">
        <v>0.1375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0.4687</v>
      </c>
      <c r="C8" s="69" t="n">
        <v>0.3232</v>
      </c>
      <c r="D8" s="69" t="n">
        <v>0.4377</v>
      </c>
      <c r="E8" s="69" t="n">
        <v>0.5281</v>
      </c>
      <c r="F8" s="69" t="n">
        <v>0.5202</v>
      </c>
      <c r="G8" s="70" t="n">
        <v>0.4556</v>
      </c>
      <c r="H8" s="70" t="n">
        <v>0.4556</v>
      </c>
      <c r="I8" s="70" t="n">
        <v>0.4556</v>
      </c>
      <c r="J8" s="70" t="n">
        <v>0.4556</v>
      </c>
      <c r="K8" s="70" t="n">
        <v>0.4556</v>
      </c>
      <c r="L8" s="71" t="n">
        <v>0.5202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0.06759999999999999</v>
      </c>
      <c r="C9" s="69" t="n">
        <v>0.0745</v>
      </c>
      <c r="D9" s="69" t="n">
        <v>0.0829</v>
      </c>
      <c r="E9" s="69" t="n">
        <v>0.09420000000000001</v>
      </c>
      <c r="F9" s="69" t="n">
        <v>0.0926</v>
      </c>
      <c r="G9" s="73" t="n">
        <v>0.0926</v>
      </c>
      <c r="H9" s="73" t="n">
        <v>0.0926</v>
      </c>
      <c r="I9" s="73" t="n">
        <v>0.0926</v>
      </c>
      <c r="J9" s="73" t="n">
        <v>0.0926</v>
      </c>
      <c r="K9" s="73" t="n">
        <v>0.0926</v>
      </c>
      <c r="L9" s="71" t="n">
        <v>0.0926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0.1574</v>
      </c>
      <c r="C10" s="69" t="n">
        <v>0.2695</v>
      </c>
      <c r="D10" s="69" t="n">
        <v>0.2021</v>
      </c>
      <c r="E10" s="69" t="n">
        <v>0.2265</v>
      </c>
      <c r="F10" s="69" t="n">
        <v>0.3468</v>
      </c>
      <c r="G10" s="73" t="n">
        <v>0.3468</v>
      </c>
      <c r="H10" s="73" t="n">
        <v>0.3468</v>
      </c>
      <c r="I10" s="73" t="n">
        <v>0.3468</v>
      </c>
      <c r="J10" s="73" t="n">
        <v>0.3468</v>
      </c>
      <c r="K10" s="73" t="n">
        <v>0.3468</v>
      </c>
      <c r="L10" s="71" t="n">
        <v>0.3468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0.1674</v>
      </c>
      <c r="C12" s="69" t="n">
        <v>0.195</v>
      </c>
      <c r="D12" s="69" t="n">
        <v>0.1756</v>
      </c>
      <c r="E12" s="69" t="n">
        <v>0.1175</v>
      </c>
      <c r="F12" s="69" t="n">
        <v>0.2964</v>
      </c>
      <c r="G12" s="73" t="n">
        <v>0.2964</v>
      </c>
      <c r="H12" s="73" t="n">
        <v>0.2964</v>
      </c>
      <c r="I12" s="73" t="n">
        <v>0.2964</v>
      </c>
      <c r="J12" s="73" t="n">
        <v>0.2964</v>
      </c>
      <c r="K12" s="73" t="n">
        <v>0.2964</v>
      </c>
      <c r="L12" s="71" t="n">
        <v>0.2964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117929</v>
      </c>
      <c r="C15" s="75" t="n">
        <v>116609</v>
      </c>
      <c r="D15" s="75" t="n">
        <v>134902</v>
      </c>
      <c r="E15" s="75" t="n">
        <v>164501</v>
      </c>
      <c r="F15" s="75" t="n">
        <v>200966</v>
      </c>
      <c r="G15" s="76" t="n">
        <v>250443.1</v>
      </c>
      <c r="H15" s="76" t="n">
        <v>296640.1</v>
      </c>
      <c r="I15" s="76" t="n">
        <v>345320.3</v>
      </c>
      <c r="J15" s="76" t="n">
        <v>400716.4</v>
      </c>
      <c r="K15" s="76" t="n">
        <v>455824.6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229,834 — 259,340</t>
        </is>
      </c>
      <c r="H16" s="80" t="inlineStr">
        <is>
          <t>261,540 — 313,331</t>
        </is>
      </c>
      <c r="I16" s="80" t="inlineStr">
        <is>
          <t>344,780 — 345,861</t>
        </is>
      </c>
      <c r="J16" s="80" t="inlineStr">
        <is>
          <t>357,210 — 429,908</t>
        </is>
      </c>
      <c r="K16" s="80" t="inlineStr">
        <is>
          <t>406,335 — 489,030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44</v>
      </c>
      <c r="H17" s="82" t="n">
        <v>46</v>
      </c>
      <c r="I17" s="82" t="n">
        <v>32</v>
      </c>
      <c r="J17" s="82" t="n">
        <v>31</v>
      </c>
      <c r="K17" s="82" t="n">
        <v>16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3" t="inlineStr">
        <is>
          <t>—</t>
        </is>
      </c>
      <c r="C18" s="84">
        <f>IFERROR(C15/B15-1,"")</f>
        <v/>
      </c>
      <c r="D18" s="84">
        <f>IFERROR(D15/C15-1,"")</f>
        <v/>
      </c>
      <c r="E18" s="84">
        <f>IFERROR(E15/D15-1,"")</f>
        <v/>
      </c>
      <c r="F18" s="84">
        <f>IFERROR(F15/E15-1,"")</f>
        <v/>
      </c>
      <c r="G18" s="85">
        <f>IFERROR(G15/F15-1,"")</f>
        <v/>
      </c>
      <c r="H18" s="85">
        <f>IFERROR(H15/G15-1,"")</f>
        <v/>
      </c>
      <c r="I18" s="85">
        <f>IFERROR(I15/H15-1,"")</f>
        <v/>
      </c>
      <c r="J18" s="85">
        <f>IFERROR(J15/I15-1,"")</f>
        <v/>
      </c>
      <c r="K18" s="85">
        <f>IFERROR(K15/J15-1,"")</f>
        <v/>
      </c>
      <c r="L18" s="86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55274</v>
      </c>
      <c r="C20" s="75" t="n">
        <v>37690</v>
      </c>
      <c r="D20" s="75" t="n">
        <v>59052</v>
      </c>
      <c r="E20" s="75" t="n">
        <v>86876</v>
      </c>
      <c r="F20" s="75" t="n">
        <v>104548</v>
      </c>
      <c r="G20" s="76" t="n">
        <v>114102.3</v>
      </c>
      <c r="H20" s="76" t="n">
        <v>135149.7</v>
      </c>
      <c r="I20" s="76" t="n">
        <v>157328.5</v>
      </c>
      <c r="J20" s="76" t="n">
        <v>182567.1</v>
      </c>
      <c r="K20" s="76" t="n">
        <v>207674.4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104,713 — 118,156</t>
        </is>
      </c>
      <c r="H21" s="80" t="inlineStr">
        <is>
          <t>119,158 — 142,754</t>
        </is>
      </c>
      <c r="I21" s="80" t="inlineStr">
        <is>
          <t>157,082 — 157,575</t>
        </is>
      </c>
      <c r="J21" s="80" t="inlineStr">
        <is>
          <t>162,745 — 195,867</t>
        </is>
      </c>
      <c r="K21" s="80" t="inlineStr">
        <is>
          <t>185,127 — 222,803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4">
        <f>IFERROR(B20/B15,"")</f>
        <v/>
      </c>
      <c r="C22" s="84">
        <f>IFERROR(C20/C15,"")</f>
        <v/>
      </c>
      <c r="D22" s="84">
        <f>IFERROR(D20/D15,"")</f>
        <v/>
      </c>
      <c r="E22" s="84">
        <f>IFERROR(E20/E15,"")</f>
        <v/>
      </c>
      <c r="F22" s="84">
        <f>IFERROR(F20/F15,"")</f>
        <v/>
      </c>
      <c r="G22" s="85">
        <f>IFERROR(G20/G15,"")</f>
        <v/>
      </c>
      <c r="H22" s="85">
        <f>IFERROR(H20/H15,"")</f>
        <v/>
      </c>
      <c r="I22" s="85">
        <f>IFERROR(I20/I15,"")</f>
        <v/>
      </c>
      <c r="J22" s="85">
        <f>IFERROR(J20/J15,"")</f>
        <v/>
      </c>
      <c r="K22" s="85">
        <f>IFERROR(K20/K15,"")</f>
        <v/>
      </c>
      <c r="L22" s="86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7" t="inlineStr">
        <is>
          <t xml:space="preserve">  Less: D&amp;A</t>
        </is>
      </c>
      <c r="B25" s="75" t="n">
        <v>-7967</v>
      </c>
      <c r="C25" s="75" t="n">
        <v>-8686</v>
      </c>
      <c r="D25" s="75" t="n">
        <v>-11178</v>
      </c>
      <c r="E25" s="75" t="n">
        <v>-15498</v>
      </c>
      <c r="F25" s="75" t="n">
        <v>-18616</v>
      </c>
      <c r="G25" s="88">
        <f>-G15*G9</f>
        <v/>
      </c>
      <c r="H25" s="88">
        <f>-H15*H9</f>
        <v/>
      </c>
      <c r="I25" s="88">
        <f>-I15*I9</f>
        <v/>
      </c>
      <c r="J25" s="88">
        <f>-J15*J9</f>
        <v/>
      </c>
      <c r="K25" s="88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89" t="n">
        <v>47307</v>
      </c>
      <c r="C26" s="89" t="n">
        <v>29004</v>
      </c>
      <c r="D26" s="89" t="n">
        <v>47874</v>
      </c>
      <c r="E26" s="89" t="n">
        <v>71378</v>
      </c>
      <c r="F26" s="89" t="n">
        <v>85932</v>
      </c>
      <c r="G26" s="90">
        <f>G20+G25</f>
        <v/>
      </c>
      <c r="H26" s="90">
        <f>H20+H25</f>
        <v/>
      </c>
      <c r="I26" s="90">
        <f>I20+I25</f>
        <v/>
      </c>
      <c r="J26" s="90">
        <f>J20+J25</f>
        <v/>
      </c>
      <c r="K26" s="90">
        <f>K20+K25</f>
        <v/>
      </c>
      <c r="L26" s="90">
        <f>L20+L25</f>
        <v/>
      </c>
      <c r="M26" s="78">
        <f> EBITDA + D&amp;A  (GAAP operating income, EBIT)</f>
        <v/>
      </c>
    </row>
    <row r="27" ht="20" customHeight="1">
      <c r="A27" s="87" t="inlineStr">
        <is>
          <t xml:space="preserve">  Less: Tax on EBIT  (unlevered)</t>
        </is>
      </c>
      <c r="B27" s="91" t="n">
        <v>-7917.8</v>
      </c>
      <c r="C27" s="91" t="n">
        <v>-5655.1</v>
      </c>
      <c r="D27" s="91" t="n">
        <v>-8408.299999999999</v>
      </c>
      <c r="E27" s="91" t="n">
        <v>-8387</v>
      </c>
      <c r="F27" s="91" t="n">
        <v>-25474</v>
      </c>
      <c r="G27" s="92">
        <f>-G26*G12</f>
        <v/>
      </c>
      <c r="H27" s="92">
        <f>-H26*H12</f>
        <v/>
      </c>
      <c r="I27" s="92">
        <f>-I26*I12</f>
        <v/>
      </c>
      <c r="J27" s="92">
        <f>-J26*J12</f>
        <v/>
      </c>
      <c r="K27" s="92">
        <f>-K26*K12</f>
        <v/>
      </c>
      <c r="L27" s="92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89" t="n">
        <v>39389.2</v>
      </c>
      <c r="C28" s="89" t="n">
        <v>23348.9</v>
      </c>
      <c r="D28" s="89" t="n">
        <v>39465.7</v>
      </c>
      <c r="E28" s="89" t="n">
        <v>62991</v>
      </c>
      <c r="F28" s="89" t="n">
        <v>60458</v>
      </c>
      <c r="G28" s="93">
        <f>G26+G27</f>
        <v/>
      </c>
      <c r="H28" s="93">
        <f>H26+H27</f>
        <v/>
      </c>
      <c r="I28" s="93">
        <f>I26+I27</f>
        <v/>
      </c>
      <c r="J28" s="93">
        <f>J26+J27</f>
        <v/>
      </c>
      <c r="K28" s="93">
        <f>K26+K27</f>
        <v/>
      </c>
      <c r="L28" s="93">
        <f>L26+L27</f>
        <v/>
      </c>
      <c r="M28" s="78">
        <f> EBIT × (1 − tax rate)</f>
        <v/>
      </c>
    </row>
    <row r="29" ht="20" customHeight="1">
      <c r="A29" s="87" t="inlineStr">
        <is>
          <t xml:space="preserve">  (+) D&amp;A add-back  (non-cash)</t>
        </is>
      </c>
      <c r="B29" s="91" t="n">
        <v>7967</v>
      </c>
      <c r="C29" s="91" t="n">
        <v>8686</v>
      </c>
      <c r="D29" s="91" t="n">
        <v>11178</v>
      </c>
      <c r="E29" s="91" t="n">
        <v>15498</v>
      </c>
      <c r="F29" s="91" t="n">
        <v>18616</v>
      </c>
      <c r="G29" s="92">
        <f>-G25</f>
        <v/>
      </c>
      <c r="H29" s="92">
        <f>-H25</f>
        <v/>
      </c>
      <c r="I29" s="92">
        <f>-I25</f>
        <v/>
      </c>
      <c r="J29" s="92">
        <f>-J25</f>
        <v/>
      </c>
      <c r="K29" s="92">
        <f>-K25</f>
        <v/>
      </c>
      <c r="L29" s="92">
        <f>-L25</f>
        <v/>
      </c>
      <c r="M29" s="78">
        <f> D&amp;A added back (non-cash charge — converts NOPAT to cash basis)</f>
        <v/>
      </c>
    </row>
    <row r="30" ht="20" customHeight="1">
      <c r="A30" s="87" t="inlineStr">
        <is>
          <t xml:space="preserve">  (−) Capital Expenditures</t>
        </is>
      </c>
      <c r="B30" s="75" t="n">
        <v>-18567</v>
      </c>
      <c r="C30" s="75" t="n">
        <v>-31431</v>
      </c>
      <c r="D30" s="75" t="n">
        <v>-27266</v>
      </c>
      <c r="E30" s="75" t="n">
        <v>-37256</v>
      </c>
      <c r="F30" s="75" t="n">
        <v>-69691</v>
      </c>
      <c r="G30" s="92">
        <f>-G15*G10</f>
        <v/>
      </c>
      <c r="H30" s="92">
        <f>-H15*H10</f>
        <v/>
      </c>
      <c r="I30" s="92">
        <f>-I15*I10</f>
        <v/>
      </c>
      <c r="J30" s="92">
        <f>-J15*J10</f>
        <v/>
      </c>
      <c r="K30" s="92">
        <f>-K15*K10</f>
        <v/>
      </c>
      <c r="L30" s="92">
        <f>-L15*L10</f>
        <v/>
      </c>
      <c r="M30" s="78">
        <f> Revenue × CapEx % assumption  (negative = cash outflow)</f>
        <v/>
      </c>
    </row>
    <row r="31" ht="20" customHeight="1">
      <c r="A31" s="87" t="inlineStr">
        <is>
          <t xml:space="preserve">  (−) Increase in Net Working Capital</t>
        </is>
      </c>
      <c r="B31" s="91" t="n"/>
      <c r="C31" s="91" t="n"/>
      <c r="D31" s="91" t="n"/>
      <c r="E31" s="91" t="n"/>
      <c r="F31" s="91" t="n"/>
      <c r="G31" s="92">
        <f>-G15*G11</f>
        <v/>
      </c>
      <c r="H31" s="92">
        <f>-H15*H11</f>
        <v/>
      </c>
      <c r="I31" s="92">
        <f>-I15*I11</f>
        <v/>
      </c>
      <c r="J31" s="92">
        <f>-J15*J11</f>
        <v/>
      </c>
      <c r="K31" s="92">
        <f>-K15*K11</f>
        <v/>
      </c>
      <c r="L31" s="92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89" t="n">
        <v>28789.2</v>
      </c>
      <c r="C32" s="89" t="n">
        <v>603.9</v>
      </c>
      <c r="D32" s="89" t="n">
        <v>23377.7</v>
      </c>
      <c r="E32" s="89" t="n">
        <v>41233</v>
      </c>
      <c r="F32" s="89" t="n">
        <v>9383</v>
      </c>
      <c r="G32" s="93">
        <f>G28+G29+G30+G31</f>
        <v/>
      </c>
      <c r="H32" s="93">
        <f>H28+H29+H30+H31</f>
        <v/>
      </c>
      <c r="I32" s="93">
        <f>I28+I29+I30+I31</f>
        <v/>
      </c>
      <c r="J32" s="93">
        <f>J28+J29+J30+J31</f>
        <v/>
      </c>
      <c r="K32" s="93">
        <f>K28+K29+K30+K31</f>
        <v/>
      </c>
      <c r="L32" s="93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4" t="n">
        <v>0.2441</v>
      </c>
      <c r="C33" s="84" t="n">
        <v>0.0052</v>
      </c>
      <c r="D33" s="84" t="n">
        <v>0.1733</v>
      </c>
      <c r="E33" s="84" t="n">
        <v>0.2507</v>
      </c>
      <c r="F33" s="84" t="n">
        <v>0.0467</v>
      </c>
      <c r="G33" s="94">
        <f>IFERROR(G32/G15,"")</f>
        <v/>
      </c>
      <c r="H33" s="94">
        <f>IFERROR(H32/H15,"")</f>
        <v/>
      </c>
      <c r="I33" s="94">
        <f>IFERROR(I32/I15,"")</f>
        <v/>
      </c>
      <c r="J33" s="94">
        <f>IFERROR(J32/J15,"")</f>
        <v/>
      </c>
      <c r="K33" s="94">
        <f>IFERROR(K32/K15,"")</f>
        <v/>
      </c>
      <c r="L33" s="94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5">
        <f>WACC!B45</f>
        <v/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7" t="n">
        <v>0.03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8" t="n">
        <v>20</v>
      </c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99" t="inlineStr">
        <is>
          <t>Terminal Year UFCF  (grown by g)</t>
        </is>
      </c>
      <c r="B40" s="100">
        <f>L32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3">
        <f>B40/(B36-B37)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3">
        <f>L20*B38</f>
        <v/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99" t="inlineStr">
        <is>
          <t>Discount Period  (mid-year convention)</t>
        </is>
      </c>
      <c r="G45" s="103" t="n">
        <v>0.5</v>
      </c>
      <c r="H45" s="103" t="n">
        <v>1.5</v>
      </c>
      <c r="I45" s="103" t="n">
        <v>2.5</v>
      </c>
      <c r="J45" s="103" t="n">
        <v>3.5</v>
      </c>
      <c r="K45" s="103" t="n">
        <v>4.5</v>
      </c>
      <c r="L45" s="104" t="n">
        <v>5</v>
      </c>
      <c r="M45" s="78" t="inlineStr">
        <is>
          <t>Mid-year: 0.5, 1.5, 2.5...  assumes FCF received evenly through each year</t>
        </is>
      </c>
    </row>
    <row r="46" ht="20" customHeight="1">
      <c r="A46" s="99" t="inlineStr">
        <is>
          <t>Discount Factor  =  1 / (1 + WACC) ^ period</t>
        </is>
      </c>
      <c r="G46" s="105">
        <f>1/(1+B36)^G45</f>
        <v/>
      </c>
      <c r="H46" s="105">
        <f>1/(1+B36)^H45</f>
        <v/>
      </c>
      <c r="I46" s="105">
        <f>1/(1+B36)^I45</f>
        <v/>
      </c>
      <c r="J46" s="105">
        <f>1/(1+B36)^J45</f>
        <v/>
      </c>
      <c r="K46" s="105">
        <f>1/(1+B36)^K45</f>
        <v/>
      </c>
      <c r="L46" s="106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3">
        <f>G32*G46</f>
        <v/>
      </c>
      <c r="H47" s="93">
        <f>H32*H46</f>
        <v/>
      </c>
      <c r="I47" s="93">
        <f>I32*I46</f>
        <v/>
      </c>
      <c r="J47" s="93">
        <f>J32*J46</f>
        <v/>
      </c>
      <c r="K47" s="93">
        <f>K32*K46</f>
        <v/>
      </c>
      <c r="L47" s="102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0">
        <f>G47+H47+I47+J47+K47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0">
        <f>B41*L46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0">
        <f>B42*L46</f>
        <v/>
      </c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3">
        <f>B48+B49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>
      <c r="A54" s="74" t="inlineStr">
        <is>
          <t>Enterprise Value  [Exit Multiple]</t>
        </is>
      </c>
      <c r="B54" s="93">
        <f>B48+B50</f>
        <v/>
      </c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</row>
    <row r="55" ht="20" customHeight="1">
      <c r="A55" s="87" t="inlineStr">
        <is>
          <t xml:space="preserve">  Less: Net Debt  (Debt − Cash)</t>
        </is>
      </c>
      <c r="B55" s="100" t="n">
        <v>22871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78" t="inlineStr">
        <is>
          <t>Auto-linked from Balance Sheet: Debt $58,744mm − Cash $35,873mm = $22,871mm  (negative = net cash)</t>
        </is>
      </c>
    </row>
    <row r="56" ht="20" customHeight="1">
      <c r="A56" s="87" t="inlineStr">
        <is>
          <t xml:space="preserve">  Less: Minority Interest</t>
        </is>
      </c>
      <c r="B56" s="100" t="n">
        <v>0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78" t="inlineStr">
        <is>
          <t>Auto-linked from Balance Sheet: minorityInterest</t>
        </is>
      </c>
    </row>
    <row r="57" ht="20" customHeight="1">
      <c r="A57" s="87" t="inlineStr">
        <is>
          <t xml:space="preserve">  Shares Outstanding — Diluted  (mm)</t>
        </is>
      </c>
      <c r="B57" s="100" t="n">
        <v>2574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8">
        <f>IFERROR((B53-B55-B56)/B57,"")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>
      <c r="A60" s="74" t="inlineStr">
        <is>
          <t>Implied Share Price  [Exit Multiple]  ($)</t>
        </is>
      </c>
      <c r="B60" s="108">
        <f>IFERROR((B54-B55-B56)/B57,"")</f>
        <v/>
      </c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20" customHeight="1">
      <c r="A61" s="99" t="inlineStr">
        <is>
          <t>Current Market Price  ($)</t>
        </is>
      </c>
      <c r="B61" s="109" t="n">
        <v>676.87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0">
        <f>IFERROR(B59/B61-1,"")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  <row r="63">
      <c r="A63" s="62" t="inlineStr">
        <is>
          <t>Upside / (Downside)  [Exit Multiple]</t>
        </is>
      </c>
      <c r="B63" s="110">
        <f>IFERROR(B60/B61-1,"")</f>
        <v/>
      </c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1" t="inlineStr">
        <is>
          <t>JS SCORECARD — META  |  Master Prompt v2  |  17 Apr 2026</t>
        </is>
      </c>
    </row>
    <row r="2" ht="18" customHeight="1">
      <c r="A2" s="112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3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4" t="inlineStr">
        <is>
          <t>CRITERION</t>
        </is>
      </c>
      <c r="B6" s="115" t="inlineStr">
        <is>
          <t>PART</t>
        </is>
      </c>
      <c r="C6" s="115" t="inlineStr">
        <is>
          <t>WEIGHT %</t>
        </is>
      </c>
      <c r="D6" s="115" t="inlineStr">
        <is>
          <t>CALCULATED VALUE</t>
        </is>
      </c>
      <c r="E6" s="115" t="inlineStr">
        <is>
          <t>TIER  ▼</t>
        </is>
      </c>
      <c r="F6" s="115" t="inlineStr">
        <is>
          <t>SCORE</t>
        </is>
      </c>
      <c r="G6" s="115" t="inlineStr">
        <is>
          <t>WTD SCORE</t>
        </is>
      </c>
      <c r="H6" s="114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6" t="inlineStr">
        <is>
          <t xml:space="preserve">  Business Clarity</t>
        </is>
      </c>
      <c r="B8" s="117" t="inlineStr">
        <is>
          <t>P1</t>
        </is>
      </c>
      <c r="C8" s="118" t="n">
        <v>0.025</v>
      </c>
      <c r="D8" s="119" t="inlineStr">
        <is>
          <t>— user input required</t>
        </is>
      </c>
      <c r="E8" s="120" t="n"/>
      <c r="F8" s="121">
        <f>IF(E8="HIGH",10,IF(E8="MOD-HIGH",7,IF(E8="MOD-LOW",3,IF(E8="LOW",0,""))))</f>
        <v/>
      </c>
      <c r="G8" s="122">
        <f>IF(F8="","",C8*F8)</f>
        <v/>
      </c>
      <c r="H8" s="123" t="inlineStr"/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GM 82.0% ✓ (&gt;40%)  |  GM trend +3.7% ✓ (&gt;+1pp)  |  ROIC-WACC +14.6% ✓ (&gt;+5pp)  |  Rev consistency σ=9.5% ✗ (&lt;8%)  [3/4 indicators positive — proxy score]</t>
        </is>
      </c>
      <c r="E9" s="128" t="inlineStr">
        <is>
          <t>MOD-HIGH</t>
        </is>
      </c>
      <c r="F9" s="129">
        <f>IF(E9="HIGH",10,IF(E9="MOD-HIGH",7,IF(E9="MOD-LOW",3,IF(E9="LOW",0,""))))</f>
        <v/>
      </c>
      <c r="G9" s="130">
        <f>IF(F9="","",C9*F9)</f>
        <v/>
      </c>
      <c r="H9" s="131" t="inlineStr">
        <is>
          <t>GM 82.0% ✓ (&gt;40%)  |  GM trend +3.7% ✓ (&gt;+1pp)  |  ROIC-WACC +14.6% ✓ (&gt;+5pp)  |  Rev consistency σ=9.5% ✗ (&lt;8%)  [3/4 indicators positive — proxy score]</t>
        </is>
      </c>
    </row>
    <row r="10" ht="18" customHeight="1">
      <c r="A10" s="116" t="inlineStr">
        <is>
          <t xml:space="preserve">  Long-Term Potential</t>
        </is>
      </c>
      <c r="B10" s="117" t="inlineStr">
        <is>
          <t>P1</t>
        </is>
      </c>
      <c r="C10" s="118" t="n">
        <v>0.1</v>
      </c>
      <c r="D10" s="119" t="inlineStr">
        <is>
          <t>— user input required</t>
        </is>
      </c>
      <c r="E10" s="120" t="n"/>
      <c r="F10" s="121">
        <f>IF(E10="HIGH",10,IF(E10="MOD-HIGH",7,IF(E10="MOD-LOW",3,IF(E10="LOW",0,""))))</f>
        <v/>
      </c>
      <c r="G10" s="122">
        <f>IF(F10="","",C10*F10)</f>
        <v/>
      </c>
      <c r="H10" s="123" t="inlineStr"/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ROIC trend +5.1% ✓ (≥-2pp)  |  GM maintained +3.7% ✓  |  Op margin +16.6% ✓ (≥-2pp)  |  Capital returns MOD-LOW ✗  [3/4 indicators positive — proxy score]</t>
        </is>
      </c>
      <c r="E11" s="128" t="inlineStr">
        <is>
          <t>MOD-HIGH</t>
        </is>
      </c>
      <c r="F11" s="129">
        <f>IF(E11="HIGH",10,IF(E11="MOD-HIGH",7,IF(E11="MOD-LOW",3,IF(E11="LOW",0,""))))</f>
        <v/>
      </c>
      <c r="G11" s="130">
        <f>IF(F11="","",C11*F11)</f>
        <v/>
      </c>
      <c r="H11" s="131" t="inlineStr">
        <is>
          <t>ROIC trend +5.1% ✓ (≥-2pp)  |  GM maintained +3.7% ✓  |  Op margin +16.6% ✓ (≥-2pp)  |  Capital returns MOD-LOW ✗  [3/4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19.9%</t>
        </is>
      </c>
      <c r="E13" s="132" t="inlineStr">
        <is>
          <t>HIGH</t>
        </is>
      </c>
      <c r="F13" s="129">
        <f>IF(E13="HIGH",10,IF(E13="MOD-HIGH",7,IF(E13="MOD-LOW",3,IF(E13="LOW",0,""))))</f>
        <v/>
      </c>
      <c r="G13" s="130">
        <f>IF(F13="","",C13*F13)</f>
        <v/>
      </c>
      <c r="H13" s="131" t="inlineStr">
        <is>
          <t>19.9%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76%</t>
        </is>
      </c>
      <c r="E14" s="128" t="inlineStr">
        <is>
          <t>MOD-HIGH</t>
        </is>
      </c>
      <c r="F14" s="129">
        <f>IF(E14="HIGH",10,IF(E14="MOD-HIGH",7,IF(E14="MOD-LOW",3,IF(E14="LOW",0,""))))</f>
        <v/>
      </c>
      <c r="G14" s="130">
        <f>IF(F14="","",C14*F14)</f>
        <v/>
      </c>
      <c r="H14" s="131" t="inlineStr">
        <is>
          <t>76%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$26,248mm latest FY — debt-funded</t>
        </is>
      </c>
      <c r="E15" s="133" t="inlineStr">
        <is>
          <t>MOD-LOW</t>
        </is>
      </c>
      <c r="F15" s="129">
        <f>IF(E15="HIGH",10,IF(E15="MOD-HIGH",7,IF(E15="MOD-LOW",3,IF(E15="LOW",0,""))))</f>
        <v/>
      </c>
      <c r="G15" s="130">
        <f>IF(F15="","",C15*F15)</f>
        <v/>
      </c>
      <c r="H15" s="131" t="inlineStr">
        <is>
          <t>$26,248mm latest FY — debt-funded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24.4%</t>
        </is>
      </c>
      <c r="E16" s="128" t="inlineStr">
        <is>
          <t>MOD-HIGH</t>
        </is>
      </c>
      <c r="F16" s="129">
        <f>IF(E16="HIGH",10,IF(E16="MOD-HIGH",7,IF(E16="MOD-LOW",3,IF(E16="LOW",0,""))))</f>
        <v/>
      </c>
      <c r="G16" s="130">
        <f>IF(F16="","",C16*F16)</f>
        <v/>
      </c>
      <c r="H16" s="131" t="inlineStr">
        <is>
          <t>24.4%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4" t="inlineStr">
        <is>
          <t xml:space="preserve">  Credit Risk  (D / EBITDA)</t>
        </is>
      </c>
      <c r="B18" s="125" t="inlineStr">
        <is>
          <t>P3</t>
        </is>
      </c>
      <c r="C18" s="126" t="n">
        <v>0.05</v>
      </c>
      <c r="D18" s="127" t="inlineStr">
        <is>
          <t>0.6x</t>
        </is>
      </c>
      <c r="E18" s="132" t="inlineStr">
        <is>
          <t>HIGH</t>
        </is>
      </c>
      <c r="F18" s="129">
        <f>IF(E18="HIGH",10,IF(E18="MOD-HIGH",7,IF(E18="MOD-LOW",3,IF(E18="LOW",0,""))))</f>
        <v/>
      </c>
      <c r="G18" s="130">
        <f>IF(F18="","",C18*F18)</f>
        <v/>
      </c>
      <c r="H18" s="131" t="inlineStr">
        <is>
          <t>0.6x</t>
        </is>
      </c>
    </row>
    <row r="19" ht="18" customHeight="1">
      <c r="A19" s="124" t="inlineStr">
        <is>
          <t xml:space="preserve">  Interest Cover  (EBIT / Interest)</t>
        </is>
      </c>
      <c r="B19" s="125" t="inlineStr">
        <is>
          <t>P3</t>
        </is>
      </c>
      <c r="C19" s="126" t="n">
        <v>0.075</v>
      </c>
      <c r="D19" s="127" t="inlineStr">
        <is>
          <t>No interest expense — debt-free</t>
        </is>
      </c>
      <c r="E19" s="132" t="inlineStr">
        <is>
          <t>HIGH</t>
        </is>
      </c>
      <c r="F19" s="129">
        <f>IF(E19="HIGH",10,IF(E19="MOD-HIGH",7,IF(E19="MOD-LOW",3,IF(E19="LOW",0,""))))</f>
        <v/>
      </c>
      <c r="G19" s="130">
        <f>IF(F19="","",C19*F19)</f>
        <v/>
      </c>
      <c r="H19" s="131" t="inlineStr">
        <is>
          <t>No interest expense — debt-free</t>
        </is>
      </c>
    </row>
    <row r="20" ht="18" customHeight="1">
      <c r="A20" s="124" t="inlineStr">
        <is>
          <t xml:space="preserve">  Execution Risk</t>
        </is>
      </c>
      <c r="B20" s="125" t="inlineStr">
        <is>
          <t>P3</t>
        </is>
      </c>
      <c r="C20" s="126" t="n">
        <v>0.05</v>
      </c>
      <c r="D20" s="127" t="inlineStr">
        <is>
          <t>Rev growth σ=9.5%  |  Op margin σ=6.4%  [proxy — lower σ = lower risk = higher score]</t>
        </is>
      </c>
      <c r="E20" s="133" t="inlineStr">
        <is>
          <t>MOD-LOW</t>
        </is>
      </c>
      <c r="F20" s="129">
        <f>IF(E20="HIGH",10,IF(E20="MOD-HIGH",7,IF(E20="MOD-LOW",3,IF(E20="LOW",0,""))))</f>
        <v/>
      </c>
      <c r="G20" s="130">
        <f>IF(F20="","",C20*F20)</f>
        <v/>
      </c>
      <c r="H20" s="131" t="inlineStr">
        <is>
          <t>Rev growth σ=9.5%  |  Op margin σ=6.4%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4" t="inlineStr">
        <is>
          <t xml:space="preserve">  Valuation vs Median  (P/E)</t>
        </is>
      </c>
      <c r="B22" s="125" t="inlineStr">
        <is>
          <t>P4</t>
        </is>
      </c>
      <c r="C22" s="126" t="n">
        <v>0.1</v>
      </c>
      <c r="D22" s="127" t="inlineStr">
        <is>
          <t>Current 27.5x  |  5yr avg 22.5x  [+22% vs benchmark]</t>
        </is>
      </c>
      <c r="E22" s="133" t="inlineStr">
        <is>
          <t>MOD-LOW</t>
        </is>
      </c>
      <c r="F22" s="129">
        <f>IF(E22="HIGH",10,IF(E22="MOD-HIGH",7,IF(E22="MOD-LOW",3,IF(E22="LOW",0,""))))</f>
        <v/>
      </c>
      <c r="G22" s="130">
        <f>IF(F22="","",C22*F22)</f>
        <v/>
      </c>
      <c r="H22" s="131" t="inlineStr">
        <is>
          <t>Current 27.5x  |  5yr avg 22.5x  [+22% vs benchmark]</t>
        </is>
      </c>
    </row>
    <row r="23" ht="18" customHeight="1">
      <c r="A23" s="124" t="inlineStr">
        <is>
          <t xml:space="preserve">  Valuation vs Median  (P/FCF)</t>
        </is>
      </c>
      <c r="B23" s="125" t="inlineStr">
        <is>
          <t>P4</t>
        </is>
      </c>
      <c r="C23" s="126" t="n">
        <v>0.1</v>
      </c>
      <c r="D23" s="127" t="inlineStr">
        <is>
          <t>Current 36.1x  |  5yr avg 25.1x  [+44% vs benchmark]</t>
        </is>
      </c>
      <c r="E23" s="134" t="inlineStr">
        <is>
          <t>LOW</t>
        </is>
      </c>
      <c r="F23" s="129">
        <f>IF(E23="HIGH",10,IF(E23="MOD-HIGH",7,IF(E23="MOD-LOW",3,IF(E23="LOW",0,""))))</f>
        <v/>
      </c>
      <c r="G23" s="130">
        <f>IF(F23="","",C23*F23)</f>
        <v/>
      </c>
      <c r="H23" s="131" t="inlineStr">
        <is>
          <t>Current 36.1x  |  5yr avg 25.1x  [+44%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0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2026-04-17T05:42:03Z</dcterms:created>
  <dcterms:modified xsi:type="dcterms:W3CDTF">2026-04-17T05:42:17Z</dcterms:modified>
</cp:coreProperties>
</file>