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META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200966</v>
      </c>
    </row>
    <row r="8">
      <c r="A8" s="3" t="inlineStr">
        <is>
          <t>Gross Profit ($mm)</t>
        </is>
      </c>
      <c r="B8" s="7" t="n">
        <v>164791</v>
      </c>
    </row>
    <row r="9">
      <c r="A9" s="3" t="inlineStr">
        <is>
          <t>EBITDA ($mm)</t>
        </is>
      </c>
      <c r="B9" s="7" t="n">
        <v>104548</v>
      </c>
    </row>
    <row r="10">
      <c r="A10" s="3" t="inlineStr">
        <is>
          <t>EBIT ($mm)</t>
        </is>
      </c>
      <c r="B10" s="7" t="n">
        <v>83276</v>
      </c>
    </row>
    <row r="11">
      <c r="A11" s="3" t="inlineStr">
        <is>
          <t>Net Income ($mm)</t>
        </is>
      </c>
      <c r="B11" s="7" t="n">
        <v>60458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117929</v>
      </c>
      <c r="C5" s="16" t="n">
        <v>116609</v>
      </c>
      <c r="D5" s="16" t="n">
        <v>134902</v>
      </c>
      <c r="E5" s="16" t="n">
        <v>164501</v>
      </c>
      <c r="F5" s="16" t="n">
        <v>200966</v>
      </c>
    </row>
    <row r="6">
      <c r="A6" s="17" t="inlineStr">
        <is>
          <t>(2)  Cost of Revenue (COGS)</t>
        </is>
      </c>
      <c r="B6" s="18" t="n">
        <v>22649</v>
      </c>
      <c r="C6" s="18" t="n">
        <v>25249</v>
      </c>
      <c r="D6" s="18" t="n">
        <v>25959</v>
      </c>
      <c r="E6" s="18" t="n">
        <v>30161</v>
      </c>
      <c r="F6" s="18" t="n">
        <v>36175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23872</v>
      </c>
      <c r="C9" s="18" t="n">
        <v>27078</v>
      </c>
      <c r="D9" s="18" t="n">
        <v>23709</v>
      </c>
      <c r="E9" s="18" t="n">
        <v>21087</v>
      </c>
      <c r="F9" s="18" t="n">
        <v>24143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48527</v>
      </c>
      <c r="C11" s="18" t="n">
        <v>62416</v>
      </c>
      <c r="D11" s="18" t="n">
        <v>62192</v>
      </c>
      <c r="E11" s="18" t="n">
        <v>64960</v>
      </c>
      <c r="F11" s="18" t="n">
        <v>81515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7967</v>
      </c>
      <c r="C14" s="18" t="n">
        <v>8686</v>
      </c>
      <c r="D14" s="18" t="n">
        <v>11178</v>
      </c>
      <c r="E14" s="18" t="n">
        <v>15498</v>
      </c>
      <c r="F14" s="18" t="n">
        <v>18616</v>
      </c>
    </row>
    <row r="15">
      <c r="A15" s="19" t="inlineStr">
        <is>
          <t>(8)  EBIT (Operating Income)</t>
        </is>
      </c>
      <c r="B15" s="24" t="n">
        <v>46753</v>
      </c>
      <c r="C15" s="24" t="n">
        <v>28944</v>
      </c>
      <c r="D15" s="24" t="n">
        <v>46751</v>
      </c>
      <c r="E15" s="24" t="n">
        <v>69380</v>
      </c>
      <c r="F15" s="24" t="n">
        <v>83276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</v>
      </c>
      <c r="C17" s="18" t="n">
        <v>185</v>
      </c>
      <c r="D17" s="18" t="n">
        <v>446</v>
      </c>
      <c r="E17" s="18" t="n">
        <v>715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484</v>
      </c>
      <c r="C18" s="18" t="n">
        <v>461</v>
      </c>
      <c r="D18" s="18" t="n">
        <v>1639</v>
      </c>
      <c r="E18" s="18" t="n">
        <v>2517</v>
      </c>
      <c r="F18" s="18" t="n">
        <v>2656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47284</v>
      </c>
      <c r="C21" s="24" t="n">
        <v>28819</v>
      </c>
      <c r="D21" s="24" t="n">
        <v>47428</v>
      </c>
      <c r="E21" s="24" t="n">
        <v>70663</v>
      </c>
      <c r="F21" s="24" t="n">
        <v>85932</v>
      </c>
    </row>
    <row r="22">
      <c r="A22" s="17" t="inlineStr">
        <is>
          <t>(11) Income Tax Expense</t>
        </is>
      </c>
      <c r="B22" s="18" t="n">
        <v>7914</v>
      </c>
      <c r="C22" s="18" t="n">
        <v>5619</v>
      </c>
      <c r="D22" s="18" t="n">
        <v>8330</v>
      </c>
      <c r="E22" s="18" t="n">
        <v>8303</v>
      </c>
      <c r="F22" s="18" t="n">
        <v>25474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39370</v>
      </c>
      <c r="C24" s="24" t="n">
        <v>23200</v>
      </c>
      <c r="D24" s="24" t="n">
        <v>39098</v>
      </c>
      <c r="E24" s="24" t="n">
        <v>62360</v>
      </c>
      <c r="F24" s="24" t="n">
        <v>60458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117929</v>
      </c>
      <c r="C30" s="16" t="n">
        <v>116609</v>
      </c>
      <c r="D30" s="16" t="n">
        <v>134902</v>
      </c>
      <c r="E30" s="16" t="n">
        <v>164501</v>
      </c>
      <c r="F30" s="16" t="n">
        <v>200966</v>
      </c>
    </row>
    <row r="31">
      <c r="A31" s="17" t="inlineStr">
        <is>
          <t>Cost of Revenue</t>
        </is>
      </c>
      <c r="B31" s="18" t="n">
        <v>22649</v>
      </c>
      <c r="C31" s="18" t="n">
        <v>25249</v>
      </c>
      <c r="D31" s="18" t="n">
        <v>25959</v>
      </c>
      <c r="E31" s="18" t="n">
        <v>30161</v>
      </c>
      <c r="F31" s="18" t="n">
        <v>36175</v>
      </c>
    </row>
    <row r="32">
      <c r="A32" s="26" t="inlineStr">
        <is>
          <t>Gross Profit</t>
        </is>
      </c>
      <c r="B32" s="27" t="n">
        <v>95280</v>
      </c>
      <c r="C32" s="27" t="n">
        <v>91360</v>
      </c>
      <c r="D32" s="27" t="n">
        <v>108943</v>
      </c>
      <c r="E32" s="27" t="n">
        <v>134340</v>
      </c>
      <c r="F32" s="27" t="n">
        <v>164791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24655</v>
      </c>
      <c r="C34" s="18" t="n">
        <v>35338</v>
      </c>
      <c r="D34" s="18" t="n">
        <v>38483</v>
      </c>
      <c r="E34" s="18" t="n">
        <v>43873</v>
      </c>
      <c r="F34" s="18" t="n">
        <v>57372</v>
      </c>
    </row>
    <row r="35">
      <c r="A35" s="17" t="inlineStr">
        <is>
          <t>General &amp; Administrative</t>
        </is>
      </c>
      <c r="B35" s="18" t="n">
        <v>9829</v>
      </c>
      <c r="C35" s="18" t="n">
        <v>11816</v>
      </c>
      <c r="D35" s="18" t="n">
        <v>11408</v>
      </c>
      <c r="E35" s="18" t="n">
        <v>9740</v>
      </c>
      <c r="F35" s="18" t="n">
        <v>12152</v>
      </c>
    </row>
    <row r="36">
      <c r="A36" s="17" t="inlineStr">
        <is>
          <t>Selling &amp; Marketing</t>
        </is>
      </c>
      <c r="B36" s="18" t="n">
        <v>14043</v>
      </c>
      <c r="C36" s="18" t="n">
        <v>15262</v>
      </c>
      <c r="D36" s="18" t="n">
        <v>12301</v>
      </c>
      <c r="E36" s="18" t="n">
        <v>11347</v>
      </c>
      <c r="F36" s="18" t="n">
        <v>11991</v>
      </c>
    </row>
    <row r="37">
      <c r="A37" s="17" t="inlineStr">
        <is>
          <t>SG&amp;A (Combined)</t>
        </is>
      </c>
      <c r="B37" s="18" t="n">
        <v>23872</v>
      </c>
      <c r="C37" s="18" t="n">
        <v>27078</v>
      </c>
      <c r="D37" s="18" t="n">
        <v>23709</v>
      </c>
      <c r="E37" s="18" t="n">
        <v>21087</v>
      </c>
      <c r="F37" s="18" t="n">
        <v>24143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48527</v>
      </c>
      <c r="C39" s="27" t="n">
        <v>62416</v>
      </c>
      <c r="D39" s="27" t="n">
        <v>62192</v>
      </c>
      <c r="E39" s="27" t="n">
        <v>64960</v>
      </c>
      <c r="F39" s="27" t="n">
        <v>81515</v>
      </c>
    </row>
    <row r="40">
      <c r="A40" s="17" t="inlineStr">
        <is>
          <t>Cost &amp; Expenses (COGS + Opex)</t>
        </is>
      </c>
      <c r="B40" s="18" t="n">
        <v>71176</v>
      </c>
      <c r="C40" s="18" t="n">
        <v>87665</v>
      </c>
      <c r="D40" s="18" t="n">
        <v>88151</v>
      </c>
      <c r="E40" s="18" t="n">
        <v>95121</v>
      </c>
      <c r="F40" s="18" t="n">
        <v>117690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46753</v>
      </c>
      <c r="C42" s="16" t="n">
        <v>28944</v>
      </c>
      <c r="D42" s="16" t="n">
        <v>46751</v>
      </c>
      <c r="E42" s="16" t="n">
        <v>69380</v>
      </c>
      <c r="F42" s="16" t="n">
        <v>83276</v>
      </c>
    </row>
    <row r="43">
      <c r="A43" s="17" t="inlineStr">
        <is>
          <t>EBIT (FMP field)</t>
        </is>
      </c>
      <c r="B43" s="18" t="n">
        <v>47307</v>
      </c>
      <c r="C43" s="18" t="n">
        <v>29004</v>
      </c>
      <c r="D43" s="18" t="n">
        <v>47874</v>
      </c>
      <c r="E43" s="18" t="n">
        <v>71378</v>
      </c>
      <c r="F43" s="18" t="n">
        <v>85932</v>
      </c>
    </row>
    <row r="44">
      <c r="A44" s="26" t="inlineStr">
        <is>
          <t>EBITDA</t>
        </is>
      </c>
      <c r="B44" s="27" t="n">
        <v>55274</v>
      </c>
      <c r="C44" s="27" t="n">
        <v>37690</v>
      </c>
      <c r="D44" s="27" t="n">
        <v>59052</v>
      </c>
      <c r="E44" s="27" t="n">
        <v>86876</v>
      </c>
      <c r="F44" s="27" t="n">
        <v>104548</v>
      </c>
    </row>
    <row r="45">
      <c r="A45" s="17" t="inlineStr">
        <is>
          <t>Depreciation &amp; Amortisation</t>
        </is>
      </c>
      <c r="B45" s="18" t="n">
        <v>7967</v>
      </c>
      <c r="C45" s="18" t="n">
        <v>8686</v>
      </c>
      <c r="D45" s="18" t="n">
        <v>11178</v>
      </c>
      <c r="E45" s="18" t="n">
        <v>15498</v>
      </c>
      <c r="F45" s="18" t="n">
        <v>18616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484</v>
      </c>
      <c r="C47" s="18" t="n">
        <v>461</v>
      </c>
      <c r="D47" s="18" t="n">
        <v>1639</v>
      </c>
      <c r="E47" s="18" t="n">
        <v>2517</v>
      </c>
      <c r="F47" s="18" t="n">
        <v>2656</v>
      </c>
    </row>
    <row r="48">
      <c r="A48" s="17" t="inlineStr">
        <is>
          <t>Interest Expense</t>
        </is>
      </c>
      <c r="B48" s="18" t="n">
        <v>23</v>
      </c>
      <c r="C48" s="18" t="n">
        <v>185</v>
      </c>
      <c r="D48" s="18" t="n">
        <v>446</v>
      </c>
      <c r="E48" s="18" t="n">
        <v>715</v>
      </c>
      <c r="F48" s="18" t="n">
        <v>0</v>
      </c>
    </row>
    <row r="49">
      <c r="A49" s="17" t="inlineStr">
        <is>
          <t>Net Interest Income</t>
        </is>
      </c>
      <c r="B49" s="18" t="n">
        <v>461</v>
      </c>
      <c r="C49" s="18" t="n">
        <v>276</v>
      </c>
      <c r="D49" s="18" t="n">
        <v>1193</v>
      </c>
      <c r="E49" s="18" t="n">
        <v>1802</v>
      </c>
      <c r="F49" s="18" t="n">
        <v>2656</v>
      </c>
    </row>
    <row r="50">
      <c r="A50" s="17" t="inlineStr">
        <is>
          <t>Non-Operating Income (ex-interest)</t>
        </is>
      </c>
      <c r="B50" s="18" t="n">
        <v>-554</v>
      </c>
      <c r="C50" s="18" t="n">
        <v>-60</v>
      </c>
      <c r="D50" s="18" t="n">
        <v>-1123</v>
      </c>
      <c r="E50" s="18" t="n">
        <v>-1998</v>
      </c>
      <c r="F50" s="18" t="n">
        <v>-2656</v>
      </c>
    </row>
    <row r="51">
      <c r="A51" s="17" t="inlineStr">
        <is>
          <t>Total Other Income / (Expenses)</t>
        </is>
      </c>
      <c r="B51" s="18" t="n">
        <v>531</v>
      </c>
      <c r="C51" s="18" t="n">
        <v>-125</v>
      </c>
      <c r="D51" s="18" t="n">
        <v>677</v>
      </c>
      <c r="E51" s="18" t="n">
        <v>1283</v>
      </c>
      <c r="F51" s="18" t="n">
        <v>2656</v>
      </c>
    </row>
    <row r="52">
      <c r="A52" s="26" t="inlineStr">
        <is>
          <t>EBT / Income Before Tax</t>
        </is>
      </c>
      <c r="B52" s="27" t="n">
        <v>47284</v>
      </c>
      <c r="C52" s="27" t="n">
        <v>28819</v>
      </c>
      <c r="D52" s="27" t="n">
        <v>47428</v>
      </c>
      <c r="E52" s="27" t="n">
        <v>70663</v>
      </c>
      <c r="F52" s="27" t="n">
        <v>85932</v>
      </c>
    </row>
    <row r="53">
      <c r="A53" s="17" t="inlineStr">
        <is>
          <t>Income Tax Expense</t>
        </is>
      </c>
      <c r="B53" s="18" t="n">
        <v>7914</v>
      </c>
      <c r="C53" s="18" t="n">
        <v>5619</v>
      </c>
      <c r="D53" s="18" t="n">
        <v>8330</v>
      </c>
      <c r="E53" s="18" t="n">
        <v>8303</v>
      </c>
      <c r="F53" s="18" t="n">
        <v>25474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39370</v>
      </c>
      <c r="C55" s="18" t="n">
        <v>23200</v>
      </c>
      <c r="D55" s="18" t="n">
        <v>39098</v>
      </c>
      <c r="E55" s="18" t="n">
        <v>62360</v>
      </c>
      <c r="F55" s="18" t="n">
        <v>60458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39370</v>
      </c>
      <c r="C59" s="27" t="n">
        <v>23200</v>
      </c>
      <c r="D59" s="27" t="n">
        <v>39098</v>
      </c>
      <c r="E59" s="27" t="n">
        <v>62360</v>
      </c>
      <c r="F59" s="27" t="n">
        <v>60458</v>
      </c>
    </row>
    <row r="60">
      <c r="A60" s="15" t="inlineStr">
        <is>
          <t>Bottom Line Net Income</t>
        </is>
      </c>
      <c r="B60" s="16" t="n">
        <v>39370</v>
      </c>
      <c r="C60" s="16" t="n">
        <v>23200</v>
      </c>
      <c r="D60" s="16" t="n">
        <v>39098</v>
      </c>
      <c r="E60" s="16" t="n">
        <v>62360</v>
      </c>
      <c r="F60" s="16" t="n">
        <v>60458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13.99</v>
      </c>
      <c r="C62" s="18" t="n">
        <v>8.630000000000001</v>
      </c>
      <c r="D62" s="18" t="n">
        <v>15.19</v>
      </c>
      <c r="E62" s="18" t="n">
        <v>24.61</v>
      </c>
      <c r="F62" s="18" t="n">
        <v>23.98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2815</v>
      </c>
      <c r="C64" s="18" t="n">
        <v>2687</v>
      </c>
      <c r="D64" s="18" t="n">
        <v>2574</v>
      </c>
      <c r="E64" s="18" t="n">
        <v>2534</v>
      </c>
      <c r="F64" s="18" t="n">
        <v>2521</v>
      </c>
    </row>
    <row r="65">
      <c r="A65" s="17" t="inlineStr">
        <is>
          <t>Shares Outstanding — Diluted (mm)</t>
        </is>
      </c>
      <c r="B65" s="18" t="n">
        <v>2859</v>
      </c>
      <c r="C65" s="18" t="n">
        <v>2702</v>
      </c>
      <c r="D65" s="18" t="n">
        <v>2629</v>
      </c>
      <c r="E65" s="18" t="n">
        <v>2614</v>
      </c>
      <c r="F65" s="18" t="n">
        <v>2574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16601</v>
      </c>
      <c r="C5" s="18" t="n">
        <v>14681</v>
      </c>
      <c r="D5" s="18" t="n">
        <v>41862</v>
      </c>
      <c r="E5" s="18" t="n">
        <v>43889</v>
      </c>
      <c r="F5" s="18" t="n">
        <v>35873</v>
      </c>
    </row>
    <row r="6">
      <c r="A6" s="17" t="inlineStr">
        <is>
          <t>(2)  Receivables</t>
        </is>
      </c>
      <c r="B6" s="18" t="n">
        <v>14039</v>
      </c>
      <c r="C6" s="18" t="n">
        <v>13466</v>
      </c>
      <c r="D6" s="18" t="n">
        <v>16169</v>
      </c>
      <c r="E6" s="18" t="n">
        <v>16994</v>
      </c>
      <c r="F6" s="18" t="n">
        <v>19769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66666</v>
      </c>
      <c r="C9" s="24" t="n">
        <v>59549</v>
      </c>
      <c r="D9" s="24" t="n">
        <v>85365</v>
      </c>
      <c r="E9" s="24" t="n">
        <v>100045</v>
      </c>
      <c r="F9" s="24" t="n">
        <v>108722</v>
      </c>
    </row>
    <row r="10">
      <c r="A10" s="17" t="inlineStr">
        <is>
          <t>(6)  PP&amp;E (Net)</t>
        </is>
      </c>
      <c r="B10" s="18" t="n">
        <v>69964</v>
      </c>
      <c r="C10" s="18" t="n">
        <v>92191</v>
      </c>
      <c r="D10" s="18" t="n">
        <v>109881</v>
      </c>
      <c r="E10" s="18" t="n">
        <v>136268</v>
      </c>
      <c r="F10" s="18" t="n">
        <v>196804</v>
      </c>
    </row>
    <row r="11">
      <c r="A11" s="17" t="inlineStr">
        <is>
          <t>(7)  Goodwill</t>
        </is>
      </c>
      <c r="B11" s="18" t="n">
        <v>19197</v>
      </c>
      <c r="C11" s="18" t="n">
        <v>20306</v>
      </c>
      <c r="D11" s="18" t="n">
        <v>20654</v>
      </c>
      <c r="E11" s="18" t="n">
        <v>20654</v>
      </c>
      <c r="F11" s="18" t="n">
        <v>24534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99321</v>
      </c>
      <c r="C14" s="24" t="n">
        <v>126178</v>
      </c>
      <c r="D14" s="24" t="n">
        <v>144258</v>
      </c>
      <c r="E14" s="24" t="n">
        <v>176009</v>
      </c>
      <c r="F14" s="24" t="n">
        <v>257299</v>
      </c>
    </row>
    <row r="15">
      <c r="A15" s="19" t="inlineStr">
        <is>
          <t>(11) Total Assets</t>
        </is>
      </c>
      <c r="B15" s="24" t="n">
        <v>165987</v>
      </c>
      <c r="C15" s="24" t="n">
        <v>185727</v>
      </c>
      <c r="D15" s="24" t="n">
        <v>229623</v>
      </c>
      <c r="E15" s="24" t="n">
        <v>276054</v>
      </c>
      <c r="F15" s="24" t="n">
        <v>366021</v>
      </c>
    </row>
    <row r="16" ht="6" customHeight="1"/>
    <row r="17">
      <c r="A17" s="17" t="inlineStr">
        <is>
          <t>(12) Accounts Payable</t>
        </is>
      </c>
      <c r="B17" s="18" t="n">
        <v>4083</v>
      </c>
      <c r="C17" s="18" t="n">
        <v>4990</v>
      </c>
      <c r="D17" s="18" t="n">
        <v>4849</v>
      </c>
      <c r="E17" s="18" t="n">
        <v>7687</v>
      </c>
      <c r="F17" s="18" t="n">
        <v>8894</v>
      </c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21135</v>
      </c>
      <c r="C21" s="24" t="n">
        <v>27026</v>
      </c>
      <c r="D21" s="24" t="n">
        <v>31960</v>
      </c>
      <c r="E21" s="24" t="n">
        <v>33596</v>
      </c>
      <c r="F21" s="24" t="n">
        <v>41836</v>
      </c>
    </row>
    <row r="22">
      <c r="A22" s="17" t="inlineStr">
        <is>
          <t>(17) Long-Term Debt</t>
        </is>
      </c>
      <c r="B22" s="18" t="n">
        <v>0</v>
      </c>
      <c r="C22" s="18" t="n">
        <v>9923</v>
      </c>
      <c r="D22" s="18" t="n">
        <v>18385</v>
      </c>
      <c r="E22" s="18" t="n">
        <v>28826</v>
      </c>
      <c r="F22" s="18" t="n">
        <v>58744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41108</v>
      </c>
      <c r="C25" s="24" t="n">
        <v>60014</v>
      </c>
      <c r="D25" s="24" t="n">
        <v>76455</v>
      </c>
      <c r="E25" s="24" t="n">
        <v>93417</v>
      </c>
      <c r="F25" s="24" t="n">
        <v>148778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69761</v>
      </c>
      <c r="C28" s="18" t="n">
        <v>64799</v>
      </c>
      <c r="D28" s="18" t="n">
        <v>82070</v>
      </c>
      <c r="E28" s="18" t="n">
        <v>102506</v>
      </c>
      <c r="F28" s="18" t="n">
        <v>121179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124879</v>
      </c>
      <c r="C30" s="24" t="n">
        <v>125713</v>
      </c>
      <c r="D30" s="24" t="n">
        <v>153168</v>
      </c>
      <c r="E30" s="24" t="n">
        <v>182637</v>
      </c>
      <c r="F30" s="24" t="n">
        <v>217243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16601</v>
      </c>
      <c r="C36" s="18" t="n">
        <v>14681</v>
      </c>
      <c r="D36" s="18" t="n">
        <v>41862</v>
      </c>
      <c r="E36" s="18" t="n">
        <v>43889</v>
      </c>
      <c r="F36" s="18" t="n">
        <v>35873</v>
      </c>
    </row>
    <row r="37">
      <c r="A37" s="17" t="inlineStr">
        <is>
          <t>Short-Term Investments</t>
        </is>
      </c>
      <c r="B37" s="18" t="n">
        <v>31397</v>
      </c>
      <c r="C37" s="18" t="n">
        <v>26057</v>
      </c>
      <c r="D37" s="18" t="n">
        <v>23541</v>
      </c>
      <c r="E37" s="18" t="n">
        <v>33926</v>
      </c>
      <c r="F37" s="18" t="n">
        <v>45719</v>
      </c>
    </row>
    <row r="38">
      <c r="A38" s="28" t="inlineStr">
        <is>
          <t>Cash &amp; Short-Term Investments</t>
        </is>
      </c>
      <c r="B38" s="29" t="n">
        <v>47998</v>
      </c>
      <c r="C38" s="29" t="n">
        <v>40738</v>
      </c>
      <c r="D38" s="29" t="n">
        <v>65403</v>
      </c>
      <c r="E38" s="29" t="n">
        <v>77815</v>
      </c>
      <c r="F38" s="29" t="n">
        <v>81592</v>
      </c>
    </row>
    <row r="39">
      <c r="A39" s="17" t="inlineStr">
        <is>
          <t>Accounts Receivable (Trade)</t>
        </is>
      </c>
      <c r="B39" s="18" t="n">
        <v>14039</v>
      </c>
      <c r="C39" s="18" t="n">
        <v>13466</v>
      </c>
      <c r="D39" s="18" t="n">
        <v>16169</v>
      </c>
      <c r="E39" s="18" t="n">
        <v>16994</v>
      </c>
      <c r="F39" s="18" t="n">
        <v>19769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14039</v>
      </c>
      <c r="C41" s="29" t="n">
        <v>13466</v>
      </c>
      <c r="D41" s="29" t="n">
        <v>16169</v>
      </c>
      <c r="E41" s="29" t="n">
        <v>16994</v>
      </c>
      <c r="F41" s="29" t="n">
        <v>19769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4480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149</v>
      </c>
      <c r="C44" s="18" t="n">
        <v>5345</v>
      </c>
      <c r="D44" s="18" t="n">
        <v>3793</v>
      </c>
      <c r="E44" s="18" t="n">
        <v>5236</v>
      </c>
      <c r="F44" s="18" t="n">
        <v>7361</v>
      </c>
    </row>
    <row r="45">
      <c r="A45" s="26" t="inlineStr">
        <is>
          <t>Total Current Assets</t>
        </is>
      </c>
      <c r="B45" s="27" t="n">
        <v>66666</v>
      </c>
      <c r="C45" s="27" t="n">
        <v>59549</v>
      </c>
      <c r="D45" s="27" t="n">
        <v>85365</v>
      </c>
      <c r="E45" s="27" t="n">
        <v>100045</v>
      </c>
      <c r="F45" s="27" t="n">
        <v>108722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69964</v>
      </c>
      <c r="C47" s="18" t="n">
        <v>92191</v>
      </c>
      <c r="D47" s="18" t="n">
        <v>109881</v>
      </c>
      <c r="E47" s="18" t="n">
        <v>136268</v>
      </c>
      <c r="F47" s="18" t="n">
        <v>196804</v>
      </c>
    </row>
    <row r="48">
      <c r="A48" s="17" t="inlineStr">
        <is>
          <t>Goodwill</t>
        </is>
      </c>
      <c r="B48" s="18" t="n">
        <v>19197</v>
      </c>
      <c r="C48" s="18" t="n">
        <v>20306</v>
      </c>
      <c r="D48" s="18" t="n">
        <v>20654</v>
      </c>
      <c r="E48" s="18" t="n">
        <v>20654</v>
      </c>
      <c r="F48" s="18" t="n">
        <v>24534</v>
      </c>
    </row>
    <row r="49">
      <c r="A49" s="17" t="inlineStr">
        <is>
          <t>Intangible Assets</t>
        </is>
      </c>
      <c r="B49" s="18" t="n">
        <v>634</v>
      </c>
      <c r="C49" s="18" t="n">
        <v>897</v>
      </c>
      <c r="D49" s="18" t="n">
        <v>788</v>
      </c>
      <c r="E49" s="18" t="n">
        <v>915</v>
      </c>
      <c r="F49" s="18" t="n">
        <v>0</v>
      </c>
    </row>
    <row r="50">
      <c r="A50" s="17" t="inlineStr">
        <is>
          <t>Long-Term Investments</t>
        </is>
      </c>
      <c r="B50" s="18" t="n">
        <v>6775</v>
      </c>
      <c r="C50" s="18" t="n">
        <v>6201</v>
      </c>
      <c r="D50" s="18" t="n">
        <v>6141</v>
      </c>
      <c r="E50" s="18" t="n">
        <v>6070</v>
      </c>
      <c r="F50" s="18" t="n">
        <v>27524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38172</v>
      </c>
      <c r="C52" s="18" t="n">
        <v>32258</v>
      </c>
      <c r="D52" s="18" t="n">
        <v>29682</v>
      </c>
      <c r="E52" s="18" t="n">
        <v>39996</v>
      </c>
      <c r="F52" s="18" t="n">
        <v>73243</v>
      </c>
    </row>
    <row r="53">
      <c r="A53" s="17" t="inlineStr">
        <is>
          <t>Other Non-Current Assets</t>
        </is>
      </c>
      <c r="B53" s="18" t="n">
        <v>2751</v>
      </c>
      <c r="C53" s="18" t="n">
        <v>6583</v>
      </c>
      <c r="D53" s="18" t="n">
        <v>6794</v>
      </c>
      <c r="E53" s="18" t="n">
        <v>12102</v>
      </c>
      <c r="F53" s="18" t="n">
        <v>8437</v>
      </c>
    </row>
    <row r="54">
      <c r="A54" s="26" t="inlineStr">
        <is>
          <t>Total Non-Current Assets</t>
        </is>
      </c>
      <c r="B54" s="27" t="n">
        <v>99321</v>
      </c>
      <c r="C54" s="27" t="n">
        <v>126178</v>
      </c>
      <c r="D54" s="27" t="n">
        <v>144258</v>
      </c>
      <c r="E54" s="27" t="n">
        <v>176009</v>
      </c>
      <c r="F54" s="27" t="n">
        <v>257299</v>
      </c>
    </row>
    <row r="55">
      <c r="A55" s="13" t="inlineStr">
        <is>
          <t>TOTAL ASSETS</t>
        </is>
      </c>
      <c r="B55" s="30" t="n">
        <v>165987</v>
      </c>
      <c r="C55" s="30" t="n">
        <v>185727</v>
      </c>
      <c r="D55" s="30" t="n">
        <v>229623</v>
      </c>
      <c r="E55" s="30" t="n">
        <v>276054</v>
      </c>
      <c r="F55" s="30" t="n">
        <v>366021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4083</v>
      </c>
      <c r="C57" s="18" t="n">
        <v>4990</v>
      </c>
      <c r="D57" s="18" t="n">
        <v>4849</v>
      </c>
      <c r="E57" s="18" t="n">
        <v>7687</v>
      </c>
      <c r="F57" s="18" t="n">
        <v>8894</v>
      </c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561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8410</v>
      </c>
      <c r="C61" s="18" t="n">
        <v>9497</v>
      </c>
      <c r="D61" s="18" t="n">
        <v>13028</v>
      </c>
      <c r="E61" s="18" t="n">
        <v>12424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21135</v>
      </c>
      <c r="C63" s="27" t="n">
        <v>27026</v>
      </c>
      <c r="D63" s="27" t="n">
        <v>31960</v>
      </c>
      <c r="E63" s="27" t="n">
        <v>33596</v>
      </c>
      <c r="F63" s="27" t="n">
        <v>41836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0</v>
      </c>
      <c r="C65" s="18" t="n">
        <v>9923</v>
      </c>
      <c r="D65" s="18" t="n">
        <v>18385</v>
      </c>
      <c r="E65" s="18" t="n">
        <v>28826</v>
      </c>
      <c r="F65" s="18" t="n">
        <v>58744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-5490</v>
      </c>
      <c r="D67" s="18" t="n">
        <v>-6950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5490</v>
      </c>
      <c r="D68" s="18" t="n">
        <v>6950</v>
      </c>
      <c r="E68" s="18" t="n">
        <v>0</v>
      </c>
      <c r="F68" s="18" t="n">
        <v>21005</v>
      </c>
    </row>
    <row r="69">
      <c r="A69" s="17" t="inlineStr">
        <is>
          <t>Other Non-Current Liabilities</t>
        </is>
      </c>
      <c r="B69" s="18" t="n">
        <v>7227</v>
      </c>
      <c r="C69" s="18" t="n">
        <v>7764</v>
      </c>
      <c r="D69" s="18" t="n">
        <v>8884</v>
      </c>
      <c r="E69" s="18" t="n">
        <v>12703</v>
      </c>
      <c r="F69" s="18" t="n">
        <v>4253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41108</v>
      </c>
      <c r="C71" s="30" t="n">
        <v>60014</v>
      </c>
      <c r="D71" s="30" t="n">
        <v>76455</v>
      </c>
      <c r="E71" s="30" t="n">
        <v>93417</v>
      </c>
      <c r="F71" s="30" t="n">
        <v>148778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69761</v>
      </c>
      <c r="C74" s="18" t="n">
        <v>64799</v>
      </c>
      <c r="D74" s="18" t="n">
        <v>82070</v>
      </c>
      <c r="E74" s="18" t="n">
        <v>102506</v>
      </c>
      <c r="F74" s="18" t="n">
        <v>121179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124879</v>
      </c>
      <c r="C78" s="27" t="n">
        <v>125713</v>
      </c>
      <c r="D78" s="27" t="n">
        <v>153168</v>
      </c>
      <c r="E78" s="27" t="n">
        <v>182637</v>
      </c>
      <c r="F78" s="27" t="n">
        <v>217243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57683</v>
      </c>
      <c r="C5" s="24" t="n">
        <v>50475</v>
      </c>
      <c r="D5" s="24" t="n">
        <v>71113</v>
      </c>
      <c r="E5" s="24" t="n">
        <v>91328</v>
      </c>
      <c r="F5" s="24" t="n">
        <v>115800</v>
      </c>
    </row>
    <row r="6">
      <c r="A6" s="17" t="inlineStr">
        <is>
          <t>(2)  Capital Expenditures</t>
        </is>
      </c>
      <c r="B6" s="18" t="n">
        <v>-18567</v>
      </c>
      <c r="C6" s="18" t="n">
        <v>-31431</v>
      </c>
      <c r="D6" s="18" t="n">
        <v>-27266</v>
      </c>
      <c r="E6" s="18" t="n">
        <v>-37256</v>
      </c>
      <c r="F6" s="18" t="n">
        <v>-69691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-663</v>
      </c>
      <c r="C9" s="18" t="n">
        <v>9071</v>
      </c>
      <c r="D9" s="18" t="n">
        <v>7397</v>
      </c>
      <c r="E9" s="18" t="n">
        <v>8463</v>
      </c>
      <c r="F9" s="18" t="n">
        <v>27382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-5072</v>
      </c>
      <c r="F12" s="18" t="n">
        <v>-5324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39116</v>
      </c>
      <c r="C15" s="24" t="n">
        <v>19044</v>
      </c>
      <c r="D15" s="24" t="n">
        <v>43847</v>
      </c>
      <c r="E15" s="24" t="n">
        <v>54072</v>
      </c>
      <c r="F15" s="24" t="n">
        <v>46109</v>
      </c>
    </row>
    <row r="16">
      <c r="A16" s="15" t="inlineStr">
        <is>
          <t xml:space="preserve">     Net Change in Cash</t>
        </is>
      </c>
      <c r="B16" s="16" t="n">
        <v>-1089</v>
      </c>
      <c r="C16" s="16" t="n">
        <v>-1269</v>
      </c>
      <c r="D16" s="16" t="n">
        <v>27231</v>
      </c>
      <c r="E16" s="16" t="n">
        <v>2611</v>
      </c>
      <c r="F16" s="16" t="n">
        <v>-6338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39370</v>
      </c>
      <c r="C21" s="18" t="n">
        <v>23200</v>
      </c>
      <c r="D21" s="18" t="n">
        <v>39098</v>
      </c>
      <c r="E21" s="18" t="n">
        <v>62360</v>
      </c>
      <c r="F21" s="18" t="n">
        <v>60458</v>
      </c>
    </row>
    <row r="22">
      <c r="A22" s="17" t="inlineStr">
        <is>
          <t>Depreciation &amp; Amortisation</t>
        </is>
      </c>
      <c r="B22" s="18" t="n">
        <v>7967</v>
      </c>
      <c r="C22" s="18" t="n">
        <v>8686</v>
      </c>
      <c r="D22" s="18" t="n">
        <v>11178</v>
      </c>
      <c r="E22" s="18" t="n">
        <v>15498</v>
      </c>
      <c r="F22" s="18" t="n">
        <v>18616</v>
      </c>
    </row>
    <row r="23">
      <c r="A23" s="17" t="inlineStr">
        <is>
          <t>Deferred Income Tax</t>
        </is>
      </c>
      <c r="B23" s="18" t="n">
        <v>609</v>
      </c>
      <c r="C23" s="18" t="n">
        <v>-3286</v>
      </c>
      <c r="D23" s="18" t="n">
        <v>131</v>
      </c>
      <c r="E23" s="18" t="n">
        <v>-4738</v>
      </c>
      <c r="F23" s="18" t="n">
        <v>18738</v>
      </c>
    </row>
    <row r="24">
      <c r="A24" s="17" t="inlineStr">
        <is>
          <t>Stock-Based Compensation</t>
        </is>
      </c>
      <c r="B24" s="18" t="n">
        <v>9164</v>
      </c>
      <c r="C24" s="18" t="n">
        <v>11992</v>
      </c>
      <c r="D24" s="18" t="n">
        <v>14027</v>
      </c>
      <c r="E24" s="18" t="n">
        <v>16690</v>
      </c>
      <c r="F24" s="18" t="n">
        <v>20427</v>
      </c>
    </row>
    <row r="25">
      <c r="A25" s="17" t="inlineStr">
        <is>
          <t>Change in Working Capital</t>
        </is>
      </c>
      <c r="B25" s="18" t="n">
        <v>700</v>
      </c>
      <c r="C25" s="18" t="n">
        <v>5683</v>
      </c>
      <c r="D25" s="18" t="n">
        <v>3836</v>
      </c>
      <c r="E25" s="18" t="n">
        <v>1048</v>
      </c>
      <c r="F25" s="18" t="n">
        <v>-885</v>
      </c>
    </row>
    <row r="26">
      <c r="A26" s="21" t="inlineStr">
        <is>
          <t xml:space="preserve">  — Accounts Receivable</t>
        </is>
      </c>
      <c r="B26" s="18" t="n">
        <v>-3110</v>
      </c>
      <c r="C26" s="18" t="n">
        <v>231</v>
      </c>
      <c r="D26" s="18" t="n">
        <v>-2399</v>
      </c>
      <c r="E26" s="18" t="n">
        <v>-1485</v>
      </c>
      <c r="F26" s="18" t="n">
        <v>-1815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1436</v>
      </c>
      <c r="C28" s="18" t="n">
        <v>210</v>
      </c>
      <c r="D28" s="18" t="n">
        <v>51</v>
      </c>
      <c r="E28" s="18" t="n">
        <v>373</v>
      </c>
      <c r="F28" s="18" t="n">
        <v>-14</v>
      </c>
    </row>
    <row r="29">
      <c r="A29" s="21" t="inlineStr">
        <is>
          <t xml:space="preserve">  — Other Working Capital</t>
        </is>
      </c>
      <c r="B29" s="18" t="n">
        <v>2374</v>
      </c>
      <c r="C29" s="18" t="n">
        <v>5242</v>
      </c>
      <c r="D29" s="18" t="n">
        <v>6184</v>
      </c>
      <c r="E29" s="18" t="n">
        <v>2160</v>
      </c>
      <c r="F29" s="18" t="n">
        <v>944</v>
      </c>
    </row>
    <row r="30">
      <c r="A30" s="17" t="inlineStr">
        <is>
          <t>Other Non-Cash Items</t>
        </is>
      </c>
      <c r="B30" s="18" t="n">
        <v>-127</v>
      </c>
      <c r="C30" s="18" t="n">
        <v>4200</v>
      </c>
      <c r="D30" s="18" t="n">
        <v>2843</v>
      </c>
      <c r="E30" s="18" t="n">
        <v>470</v>
      </c>
      <c r="F30" s="18" t="n">
        <v>-1554</v>
      </c>
    </row>
    <row r="31">
      <c r="A31" s="26" t="inlineStr">
        <is>
          <t>Net Cash from Operations (CFO)</t>
        </is>
      </c>
      <c r="B31" s="27" t="n">
        <v>57683</v>
      </c>
      <c r="C31" s="27" t="n">
        <v>50475</v>
      </c>
      <c r="D31" s="27" t="n">
        <v>71113</v>
      </c>
      <c r="E31" s="27" t="n">
        <v>91328</v>
      </c>
      <c r="F31" s="27" t="n">
        <v>115800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-18567</v>
      </c>
      <c r="C33" s="18" t="n">
        <v>-31431</v>
      </c>
      <c r="D33" s="18" t="n">
        <v>-27266</v>
      </c>
      <c r="E33" s="18" t="n">
        <v>-37256</v>
      </c>
      <c r="F33" s="18" t="n">
        <v>-69691</v>
      </c>
    </row>
    <row r="34">
      <c r="A34" s="21" t="inlineStr">
        <is>
          <t xml:space="preserve">  (Alt: Invest. in PP&amp;E)</t>
        </is>
      </c>
      <c r="B34" s="18" t="n">
        <v>-18567</v>
      </c>
      <c r="C34" s="18" t="n">
        <v>-31431</v>
      </c>
      <c r="D34" s="18" t="n">
        <v>-27266</v>
      </c>
      <c r="E34" s="18" t="n">
        <v>-37256</v>
      </c>
      <c r="F34" s="18" t="n">
        <v>-69691</v>
      </c>
    </row>
    <row r="35">
      <c r="A35" s="17" t="inlineStr">
        <is>
          <t>Acquisitions (Net)</t>
        </is>
      </c>
      <c r="B35" s="18" t="n">
        <v>-898</v>
      </c>
      <c r="C35" s="18" t="n">
        <v>-1312</v>
      </c>
      <c r="D35" s="18" t="n">
        <v>-629</v>
      </c>
      <c r="E35" s="18" t="n">
        <v>-270</v>
      </c>
      <c r="F35" s="18" t="n">
        <v>-4231</v>
      </c>
    </row>
    <row r="36">
      <c r="A36" s="17" t="inlineStr">
        <is>
          <t>Purchases of Investments</t>
        </is>
      </c>
      <c r="B36" s="18" t="n">
        <v>-30407</v>
      </c>
      <c r="C36" s="18" t="n">
        <v>-9631</v>
      </c>
      <c r="D36" s="18" t="n">
        <v>-2982</v>
      </c>
      <c r="E36" s="18" t="n">
        <v>-25542</v>
      </c>
      <c r="F36" s="18" t="n">
        <v>-55259</v>
      </c>
    </row>
    <row r="37">
      <c r="A37" s="17" t="inlineStr">
        <is>
          <t>Sales / Maturities of Investments</t>
        </is>
      </c>
      <c r="B37" s="18" t="n">
        <v>42586</v>
      </c>
      <c r="C37" s="18" t="n">
        <v>13158</v>
      </c>
      <c r="D37" s="18" t="n">
        <v>6184</v>
      </c>
      <c r="E37" s="18" t="n">
        <v>15789</v>
      </c>
      <c r="F37" s="18" t="n">
        <v>29428</v>
      </c>
    </row>
    <row r="38">
      <c r="A38" s="17" t="inlineStr">
        <is>
          <t>Other Investing Activities</t>
        </is>
      </c>
      <c r="B38" s="18" t="n">
        <v>-284</v>
      </c>
      <c r="C38" s="18" t="n">
        <v>246</v>
      </c>
      <c r="D38" s="18" t="n">
        <v>198</v>
      </c>
      <c r="E38" s="18" t="n">
        <v>129</v>
      </c>
      <c r="F38" s="18" t="n">
        <v>-2250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-663</v>
      </c>
      <c r="C41" s="18" t="n">
        <v>9071</v>
      </c>
      <c r="D41" s="18" t="n">
        <v>7397</v>
      </c>
      <c r="E41" s="18" t="n">
        <v>8463</v>
      </c>
      <c r="F41" s="18" t="n">
        <v>27382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-44537</v>
      </c>
      <c r="C44" s="18" t="n">
        <v>-27956</v>
      </c>
      <c r="D44" s="18" t="n">
        <v>-19774</v>
      </c>
      <c r="E44" s="18" t="n">
        <v>-30125</v>
      </c>
      <c r="F44" s="18" t="n">
        <v>-26248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-5072</v>
      </c>
      <c r="F45" s="18" t="n">
        <v>-5324</v>
      </c>
    </row>
    <row r="46">
      <c r="A46" s="17" t="inlineStr">
        <is>
          <t>Other Financing Activities</t>
        </is>
      </c>
      <c r="B46" s="18" t="n">
        <v>-5528</v>
      </c>
      <c r="C46" s="18" t="n">
        <v>344</v>
      </c>
      <c r="D46" s="18" t="n">
        <v>-111</v>
      </c>
      <c r="E46" s="18" t="n">
        <v>-14047</v>
      </c>
      <c r="F46" s="18" t="n">
        <v>-16180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-474</v>
      </c>
      <c r="C49" s="18" t="n">
        <v>-638</v>
      </c>
      <c r="D49" s="18" t="n">
        <v>113</v>
      </c>
      <c r="E49" s="18" t="n">
        <v>-786</v>
      </c>
      <c r="F49" s="18" t="n">
        <v>235</v>
      </c>
    </row>
    <row r="50">
      <c r="A50" s="15" t="inlineStr">
        <is>
          <t>Net Change in Cash</t>
        </is>
      </c>
      <c r="B50" s="16" t="n">
        <v>-1089</v>
      </c>
      <c r="C50" s="16" t="n">
        <v>-1269</v>
      </c>
      <c r="D50" s="16" t="n">
        <v>27231</v>
      </c>
      <c r="E50" s="16" t="n">
        <v>2611</v>
      </c>
      <c r="F50" s="16" t="n">
        <v>-6338</v>
      </c>
    </row>
    <row r="51">
      <c r="A51" s="17" t="inlineStr">
        <is>
          <t>Cash at Beginning of Period</t>
        </is>
      </c>
      <c r="B51" s="18" t="n">
        <v>17954</v>
      </c>
      <c r="C51" s="18" t="n">
        <v>16865</v>
      </c>
      <c r="D51" s="18" t="n">
        <v>15596</v>
      </c>
      <c r="E51" s="18" t="n">
        <v>42827</v>
      </c>
      <c r="F51" s="18" t="n">
        <v>45438</v>
      </c>
    </row>
    <row r="52">
      <c r="A52" s="26" t="inlineStr">
        <is>
          <t>Cash at End of Period</t>
        </is>
      </c>
      <c r="B52" s="27" t="n">
        <v>16865</v>
      </c>
      <c r="C52" s="27" t="n">
        <v>15596</v>
      </c>
      <c r="D52" s="27" t="n">
        <v>42827</v>
      </c>
      <c r="E52" s="27" t="n">
        <v>45438</v>
      </c>
      <c r="F52" s="27" t="n">
        <v>39100</v>
      </c>
    </row>
    <row r="53">
      <c r="A53" s="26" t="inlineStr">
        <is>
          <t>Free Cash Flow</t>
        </is>
      </c>
      <c r="B53" s="27" t="n">
        <v>39116</v>
      </c>
      <c r="C53" s="27" t="n">
        <v>19044</v>
      </c>
      <c r="D53" s="27" t="n">
        <v>43847</v>
      </c>
      <c r="E53" s="27" t="n">
        <v>54072</v>
      </c>
      <c r="F53" s="27" t="n">
        <v>46109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2859</v>
      </c>
      <c r="C61" s="18" t="n">
        <v>2702</v>
      </c>
      <c r="D61" s="18" t="n">
        <v>2629</v>
      </c>
      <c r="E61" s="18" t="n">
        <v>2614</v>
      </c>
      <c r="F61" s="18" t="n">
        <v>2574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198759</v>
      </c>
      <c r="C5" s="18" t="n">
        <v>162355</v>
      </c>
      <c r="D5" s="18" t="n">
        <v>133006</v>
      </c>
      <c r="E5" s="18" t="n">
        <v>114450</v>
      </c>
      <c r="F5" s="18" t="n">
        <v>115655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META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1559175.768128</v>
      </c>
      <c r="C5" s="44" t="inlineStr">
        <is>
          <t>FMP marketCap  |  price $614.23</t>
        </is>
      </c>
    </row>
    <row r="6">
      <c r="A6" s="17" t="inlineStr">
        <is>
          <t>Debt  (gross book value, $mm)</t>
        </is>
      </c>
      <c r="B6" s="43" t="n">
        <v>58744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0.0447</v>
      </c>
      <c r="C12" s="44" t="inlineStr">
        <is>
          <t>FRED series DGS10  |  latest: 2026-05-14</t>
        </is>
      </c>
    </row>
    <row r="13">
      <c r="A13" s="47" t="inlineStr">
        <is>
          <t>► Selected Rf  (override if needed)</t>
        </is>
      </c>
      <c r="B13" s="48" t="n">
        <v>0.0447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1.243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1.163</v>
      </c>
      <c r="C17" s="44" t="inlineStr">
        <is>
          <t>Mean-reversion toward market beta of 1.0</t>
        </is>
      </c>
    </row>
    <row r="18">
      <c r="A18" s="17" t="inlineStr">
        <is>
          <t>Damodaran industry unlevered  (Internet Content &amp; Information)</t>
        </is>
      </c>
      <c r="B18" s="50" t="n">
        <v>1.12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29.6%)</t>
        </is>
      </c>
      <c r="B19" s="50" t="n">
        <v>1.15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1.185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3" t="n"/>
      <c r="C33" s="44" t="inlineStr">
        <is>
          <t>EBIT $83276mm  /  Int Exp $0mm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999.0x  →  AAA</t>
        </is>
      </c>
    </row>
    <row r="35">
      <c r="A35" s="17" t="inlineStr">
        <is>
          <t>Synthetic Rd  (Rf + Damodaran default spread)</t>
        </is>
      </c>
      <c r="B35" s="46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6" t="n">
        <v>0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$2656mm  (int inc $2656mm &gt; int exp $0mm)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0.025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0.2964</v>
      </c>
      <c r="C41" s="44" t="inlineStr">
        <is>
          <t>FMP: $25474mm  /  $85932mm</t>
        </is>
      </c>
    </row>
    <row r="42">
      <c r="A42" s="47" t="inlineStr">
        <is>
          <t>► Selected tax rate  (user override)</t>
        </is>
      </c>
      <c r="B42" s="48" t="n">
        <v>0.2964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META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0.2579</v>
      </c>
      <c r="H7" s="71" t="n">
        <v>0.1907</v>
      </c>
      <c r="I7" s="71" t="n">
        <v>0.1669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0.4556</v>
      </c>
      <c r="H8" s="71" t="n">
        <v>0.4556</v>
      </c>
      <c r="I8" s="71" t="n">
        <v>0.4556</v>
      </c>
      <c r="J8" s="72">
        <f>I8</f>
        <v/>
      </c>
      <c r="K8" s="72">
        <f>I8</f>
        <v/>
      </c>
      <c r="L8" s="73" t="n">
        <v>0.5202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252803.5</v>
      </c>
      <c r="H15" s="77" t="n">
        <v>301024.4</v>
      </c>
      <c r="I15" s="77" t="n">
        <v>351265.2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249,218 — 257,897</t>
        </is>
      </c>
      <c r="H16" s="82" t="inlineStr">
        <is>
          <t>292,004 — 317,257</t>
        </is>
      </c>
      <c r="I16" s="82" t="inlineStr">
        <is>
          <t>350,559 — 351,972</t>
        </is>
      </c>
      <c r="J16" s="82" t="inlineStr">
        <is>
          <t>390,781 — 423,617</t>
        </is>
      </c>
      <c r="K16" s="82" t="inlineStr">
        <is>
          <t>448,044 — 485,692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42</v>
      </c>
      <c r="H17" s="84" t="n">
        <v>44</v>
      </c>
      <c r="I17" s="84" t="n">
        <v>35</v>
      </c>
      <c r="J17" s="84" t="n">
        <v>17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115177.7</v>
      </c>
      <c r="H20" s="77" t="n">
        <v>137147.2</v>
      </c>
      <c r="I20" s="77" t="n">
        <v>160037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113,544 — 117,498</t>
        </is>
      </c>
      <c r="H21" s="82" t="inlineStr">
        <is>
          <t>133,037 — 144,543</t>
        </is>
      </c>
      <c r="I21" s="82" t="inlineStr">
        <is>
          <t>159,715 — 160,359</t>
        </is>
      </c>
      <c r="J21" s="82" t="inlineStr">
        <is>
          <t>178,040 — 193,000</t>
        </is>
      </c>
      <c r="K21" s="82" t="inlineStr">
        <is>
          <t>204,130 — 221,282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(19.9%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(19.9%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2574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614.23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META  |  Master Prompt v2  |  16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82.0% ✓ (&gt;40%)  |  GM trend +3.7% ✓ (&gt;+1pp)  |  ROIC-WACC +24.4% ✓ (&gt;+5pp)  |  Rev consistency σ=9.5% ✗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82.0% ✓ (&gt;40%)  |  GM trend +3.7% ✓ (&gt;+1pp)  |  ROIC-WACC +24.4% ✓ (&gt;+5pp)  |  Rev consistency σ=9.5% ✗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+5.1% ✓ (&gt;=-2pp)  |  GM maintained +3.7% ✓  |  Op margin +16.6% ✓ (≥-2pp)  |  Capital returns MOD-LOW ✗  |  Share count -2.7%/yr ✓ (net buyback)  |  Goodwill/Equity 11% ✓ (&lt;40%)  [5/6 indicators positive — proxy score]</t>
        </is>
      </c>
      <c r="E11" s="130" t="inlineStr">
        <is>
          <t>MOD-HIGH</t>
        </is>
      </c>
      <c r="F11" s="131" t="n">
        <v>8.33</v>
      </c>
      <c r="G11" s="132">
        <f>IF(F11="",0,C11*F11*10)</f>
        <v/>
      </c>
      <c r="H11" s="133" t="inlineStr">
        <is>
          <t>ROIC trend +5.1% ✓ (&gt;=-2pp)  |  GM maintained +3.7% ✓  |  Op margin +16.6% ✓ (≥-2pp)  |  Capital returns MOD-LOW ✗  |  Share count -2.7%/yr ✓ (net buyback)  |  Goodwill/Equity 11%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19.9%</t>
        </is>
      </c>
      <c r="E13" s="134" t="inlineStr">
        <is>
          <t>HIGH</t>
        </is>
      </c>
      <c r="F13" s="131" t="n">
        <v>12</v>
      </c>
      <c r="G13" s="132">
        <f>IF(F13="",0,C13*F13*10)</f>
        <v/>
      </c>
      <c r="H13" s="133" t="inlineStr">
        <is>
          <t>19.9%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79%  [through-cycle: 70/30 latest+5yr median, latest 76.3% → smoothed 79.4%]</t>
        </is>
      </c>
      <c r="E14" s="130" t="inlineStr">
        <is>
          <t>MOD-HIGH</t>
        </is>
      </c>
      <c r="F14" s="131" t="n">
        <v>9.91</v>
      </c>
      <c r="G14" s="132">
        <f>IF(F14="",0,C14*F14*10)</f>
        <v/>
      </c>
      <c r="H14" s="133" t="inlineStr">
        <is>
          <t>79%  [through-cycle: 70/30 latest+5yr median, latest 76.3% → smoothed 79.4%]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$26,248mm latest FY — debt-funded  [payout 57%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$26,248mm latest FY — debt-funded  [payout 57%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26.0%  [through-cycle: 70/30 latest+5yr median, latest 24.4% → smoothed 26.0%]</t>
        </is>
      </c>
      <c r="E16" s="134" t="inlineStr">
        <is>
          <t>HIGH</t>
        </is>
      </c>
      <c r="F16" s="131" t="n">
        <v>10.3</v>
      </c>
      <c r="G16" s="132">
        <f>IF(F16="",0,C16*F16*10)</f>
        <v/>
      </c>
      <c r="H16" s="133" t="inlineStr">
        <is>
          <t>26.0%  [through-cycle: 70/30 latest+5yr median, latest 24.4% → smoothed 26.0%]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0.5x  [through-cycle: 70/30 latest+5yr median, latest 0.6x → smoothed 0.5x]</t>
        </is>
      </c>
      <c r="E18" s="134" t="inlineStr">
        <is>
          <t>HIGH</t>
        </is>
      </c>
      <c r="F18" s="131" t="n">
        <v>11.54</v>
      </c>
      <c r="G18" s="132">
        <f>IF(F18="",0,C18*F18*10)</f>
        <v/>
      </c>
      <c r="H18" s="133" t="inlineStr">
        <is>
          <t>0.5x  [through-cycle: 70/30 latest+5yr median, latest 0.6x → smoothed 0.5x]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4" t="inlineStr">
        <is>
          <t>HIGH</t>
        </is>
      </c>
      <c r="F19" s="131" t="n">
        <v>12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σ=9.5%  |  Op margin σ=6.4%  [proxy — lower σ = lower risk = higher score]</t>
        </is>
      </c>
      <c r="E20" s="135" t="inlineStr">
        <is>
          <t>MOD-LOW</t>
        </is>
      </c>
      <c r="F20" s="131" t="n">
        <v>5</v>
      </c>
      <c r="G20" s="132">
        <f>IF(F20="",0,C20*F20*10)</f>
        <v/>
      </c>
      <c r="H20" s="133" t="inlineStr">
        <is>
          <t>Rev growth σ=9.5%  |  Op margin σ=6.4%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27.5x  |  5yr avg 22.5x  |  DCF-implied 20.9x  [+32% vs benchmark]</t>
        </is>
      </c>
      <c r="E22" s="136" t="inlineStr">
        <is>
          <t>LOW</t>
        </is>
      </c>
      <c r="F22" s="131" t="n">
        <v>2.21</v>
      </c>
      <c r="G22" s="132">
        <f>IF(F22="",0,C22*F22*10)</f>
        <v/>
      </c>
      <c r="H22" s="133" t="inlineStr">
        <is>
          <t>Current 27.5x  |  5yr avg 22.5x  |  DCF-implied 20.9x  [+32%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36.1x  |  5yr avg 25.1x  |  DCF-implied 27.5x  [+44% vs benchmark]</t>
        </is>
      </c>
      <c r="E23" s="136" t="inlineStr">
        <is>
          <t>LOW</t>
        </is>
      </c>
      <c r="F23" s="131" t="n">
        <v>0.74</v>
      </c>
      <c r="G23" s="132">
        <f>IF(F23="",0,C23*F23*10)</f>
        <v/>
      </c>
      <c r="H23" s="133" t="inlineStr">
        <is>
          <t>Current 36.1x  |  5yr avg 25.1x  |  DCF-implied 27.5x  [+44%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2026-05-16T03:57:10Z</dcterms:created>
  <dcterms:modified xsi:type="dcterms:W3CDTF">2026-05-16T03:57:22Z</dcterms:modified>
</cp:coreProperties>
</file>