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565C0"/>
      <sz val="10"/>
    </font>
    <font>
      <name val="Arial"/>
      <b val="1"/>
      <color rgb="001B5E20"/>
      <sz val="10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color rgb="001B5E20"/>
      <sz val="10"/>
    </font>
    <font>
      <name val="Arial"/>
      <color rgb="00444444"/>
      <sz val="8"/>
    </font>
  </fonts>
  <fills count="21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2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3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3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5" fillId="16" borderId="0" applyAlignment="1" pivotButton="0" quotePrefix="0" xfId="0">
      <alignment horizontal="left" vertical="center" wrapText="1" indent="1"/>
    </xf>
    <xf numFmtId="0" fontId="26" fillId="7" borderId="1" applyAlignment="1" pivotButton="0" quotePrefix="0" xfId="0">
      <alignment horizontal="left" vertical="center" indent="1"/>
    </xf>
    <xf numFmtId="0" fontId="26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7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7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left" vertical="center"/>
    </xf>
    <xf numFmtId="0" fontId="29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0" fillId="16" borderId="1" applyAlignment="1" pivotButton="0" quotePrefix="0" xfId="0">
      <alignment horizontal="center" vertical="center"/>
    </xf>
    <xf numFmtId="0" fontId="31" fillId="19" borderId="1" applyAlignment="1" pivotButton="0" quotePrefix="0" xfId="0">
      <alignment horizontal="center" vertical="center"/>
    </xf>
    <xf numFmtId="0" fontId="32" fillId="2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 indent="1"/>
    </xf>
    <xf numFmtId="0" fontId="24" fillId="4" borderId="0" applyAlignment="1" pivotButton="0" quotePrefix="0" xfId="0">
      <alignment horizontal="center" vertical="center"/>
    </xf>
    <xf numFmtId="0" fontId="34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META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200966</v>
      </c>
    </row>
    <row r="8">
      <c r="A8" s="3" t="inlineStr">
        <is>
          <t>Gross Profit ($mm)</t>
        </is>
      </c>
      <c r="B8" s="7" t="n">
        <v>164791</v>
      </c>
    </row>
    <row r="9">
      <c r="A9" s="3" t="inlineStr">
        <is>
          <t>EBITDA ($mm)</t>
        </is>
      </c>
      <c r="B9" s="7" t="n">
        <v>104548</v>
      </c>
    </row>
    <row r="10">
      <c r="A10" s="3" t="inlineStr">
        <is>
          <t>EBIT ($mm)</t>
        </is>
      </c>
      <c r="B10" s="7" t="n">
        <v>83276</v>
      </c>
    </row>
    <row r="11">
      <c r="A11" s="3" t="inlineStr">
        <is>
          <t>Net Income ($mm)</t>
        </is>
      </c>
      <c r="B11" s="7" t="n">
        <v>60458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META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117929</v>
      </c>
      <c r="C5" s="16" t="n">
        <v>116609</v>
      </c>
      <c r="D5" s="16" t="n">
        <v>134902</v>
      </c>
      <c r="E5" s="16" t="n">
        <v>164501</v>
      </c>
      <c r="F5" s="16" t="n">
        <v>200966</v>
      </c>
    </row>
    <row r="6">
      <c r="A6" s="17" t="inlineStr">
        <is>
          <t>(2)  Cost of Revenue (COGS)</t>
        </is>
      </c>
      <c r="B6" s="18" t="n">
        <v>22649</v>
      </c>
      <c r="C6" s="18" t="n">
        <v>25249</v>
      </c>
      <c r="D6" s="18" t="n">
        <v>25959</v>
      </c>
      <c r="E6" s="18" t="n">
        <v>30161</v>
      </c>
      <c r="F6" s="18" t="n">
        <v>36175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23872</v>
      </c>
      <c r="C9" s="18" t="n">
        <v>27078</v>
      </c>
      <c r="D9" s="18" t="n">
        <v>23709</v>
      </c>
      <c r="E9" s="18" t="n">
        <v>21087</v>
      </c>
      <c r="F9" s="18" t="n">
        <v>24143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48527</v>
      </c>
      <c r="C11" s="18" t="n">
        <v>62416</v>
      </c>
      <c r="D11" s="18" t="n">
        <v>62192</v>
      </c>
      <c r="E11" s="18" t="n">
        <v>64960</v>
      </c>
      <c r="F11" s="18" t="n">
        <v>81515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7967</v>
      </c>
      <c r="C14" s="18" t="n">
        <v>8686</v>
      </c>
      <c r="D14" s="18" t="n">
        <v>11178</v>
      </c>
      <c r="E14" s="18" t="n">
        <v>15498</v>
      </c>
      <c r="F14" s="18" t="n">
        <v>18616</v>
      </c>
    </row>
    <row r="15">
      <c r="A15" s="19" t="inlineStr">
        <is>
          <t>(8)  EBIT (Operating Income)</t>
        </is>
      </c>
      <c r="B15" s="24" t="n">
        <v>46753</v>
      </c>
      <c r="C15" s="24" t="n">
        <v>28944</v>
      </c>
      <c r="D15" s="24" t="n">
        <v>46751</v>
      </c>
      <c r="E15" s="24" t="n">
        <v>69380</v>
      </c>
      <c r="F15" s="24" t="n">
        <v>83276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23</v>
      </c>
      <c r="C17" s="18" t="n">
        <v>185</v>
      </c>
      <c r="D17" s="18" t="n">
        <v>446</v>
      </c>
      <c r="E17" s="18" t="n">
        <v>715</v>
      </c>
      <c r="F17" s="18" t="n">
        <v>0</v>
      </c>
    </row>
    <row r="18">
      <c r="A18" s="21" t="inlineStr">
        <is>
          <t xml:space="preserve">     Interest Income</t>
        </is>
      </c>
      <c r="B18" s="18" t="n">
        <v>484</v>
      </c>
      <c r="C18" s="18" t="n">
        <v>461</v>
      </c>
      <c r="D18" s="18" t="n">
        <v>1639</v>
      </c>
      <c r="E18" s="18" t="n">
        <v>2517</v>
      </c>
      <c r="F18" s="18" t="n">
        <v>2656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47284</v>
      </c>
      <c r="C21" s="24" t="n">
        <v>28819</v>
      </c>
      <c r="D21" s="24" t="n">
        <v>47428</v>
      </c>
      <c r="E21" s="24" t="n">
        <v>70663</v>
      </c>
      <c r="F21" s="24" t="n">
        <v>85932</v>
      </c>
    </row>
    <row r="22">
      <c r="A22" s="17" t="inlineStr">
        <is>
          <t>(11) Income Tax Expense</t>
        </is>
      </c>
      <c r="B22" s="18" t="n">
        <v>7914</v>
      </c>
      <c r="C22" s="18" t="n">
        <v>5619</v>
      </c>
      <c r="D22" s="18" t="n">
        <v>8330</v>
      </c>
      <c r="E22" s="18" t="n">
        <v>8303</v>
      </c>
      <c r="F22" s="18" t="n">
        <v>25474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39370</v>
      </c>
      <c r="C24" s="24" t="n">
        <v>23200</v>
      </c>
      <c r="D24" s="24" t="n">
        <v>39098</v>
      </c>
      <c r="E24" s="24" t="n">
        <v>62360</v>
      </c>
      <c r="F24" s="24" t="n">
        <v>60458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117929</v>
      </c>
      <c r="C30" s="16" t="n">
        <v>116609</v>
      </c>
      <c r="D30" s="16" t="n">
        <v>134902</v>
      </c>
      <c r="E30" s="16" t="n">
        <v>164501</v>
      </c>
      <c r="F30" s="16" t="n">
        <v>200966</v>
      </c>
    </row>
    <row r="31">
      <c r="A31" s="17" t="inlineStr">
        <is>
          <t>Cost of Revenue</t>
        </is>
      </c>
      <c r="B31" s="18" t="n">
        <v>22649</v>
      </c>
      <c r="C31" s="18" t="n">
        <v>25249</v>
      </c>
      <c r="D31" s="18" t="n">
        <v>25959</v>
      </c>
      <c r="E31" s="18" t="n">
        <v>30161</v>
      </c>
      <c r="F31" s="18" t="n">
        <v>36175</v>
      </c>
    </row>
    <row r="32">
      <c r="A32" s="26" t="inlineStr">
        <is>
          <t>Gross Profit</t>
        </is>
      </c>
      <c r="B32" s="27" t="n">
        <v>95280</v>
      </c>
      <c r="C32" s="27" t="n">
        <v>91360</v>
      </c>
      <c r="D32" s="27" t="n">
        <v>108943</v>
      </c>
      <c r="E32" s="27" t="n">
        <v>134340</v>
      </c>
      <c r="F32" s="27" t="n">
        <v>164791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24655</v>
      </c>
      <c r="C34" s="18" t="n">
        <v>35338</v>
      </c>
      <c r="D34" s="18" t="n">
        <v>38483</v>
      </c>
      <c r="E34" s="18" t="n">
        <v>43873</v>
      </c>
      <c r="F34" s="18" t="n">
        <v>57372</v>
      </c>
    </row>
    <row r="35">
      <c r="A35" s="17" t="inlineStr">
        <is>
          <t>General &amp; Administrative</t>
        </is>
      </c>
      <c r="B35" s="18" t="n">
        <v>9829</v>
      </c>
      <c r="C35" s="18" t="n">
        <v>11816</v>
      </c>
      <c r="D35" s="18" t="n">
        <v>11408</v>
      </c>
      <c r="E35" s="18" t="n">
        <v>9740</v>
      </c>
      <c r="F35" s="18" t="n">
        <v>12152</v>
      </c>
    </row>
    <row r="36">
      <c r="A36" s="17" t="inlineStr">
        <is>
          <t>Selling &amp; Marketing</t>
        </is>
      </c>
      <c r="B36" s="18" t="n">
        <v>14043</v>
      </c>
      <c r="C36" s="18" t="n">
        <v>15262</v>
      </c>
      <c r="D36" s="18" t="n">
        <v>12301</v>
      </c>
      <c r="E36" s="18" t="n">
        <v>11347</v>
      </c>
      <c r="F36" s="18" t="n">
        <v>11991</v>
      </c>
    </row>
    <row r="37">
      <c r="A37" s="17" t="inlineStr">
        <is>
          <t>SG&amp;A (Combined)</t>
        </is>
      </c>
      <c r="B37" s="18" t="n">
        <v>23872</v>
      </c>
      <c r="C37" s="18" t="n">
        <v>27078</v>
      </c>
      <c r="D37" s="18" t="n">
        <v>23709</v>
      </c>
      <c r="E37" s="18" t="n">
        <v>21087</v>
      </c>
      <c r="F37" s="18" t="n">
        <v>24143</v>
      </c>
    </row>
    <row r="38">
      <c r="A38" s="17" t="inlineStr">
        <is>
          <t>Other Expenses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0</v>
      </c>
    </row>
    <row r="39">
      <c r="A39" s="26" t="inlineStr">
        <is>
          <t>Total Operating Expenses</t>
        </is>
      </c>
      <c r="B39" s="27" t="n">
        <v>48527</v>
      </c>
      <c r="C39" s="27" t="n">
        <v>62416</v>
      </c>
      <c r="D39" s="27" t="n">
        <v>62192</v>
      </c>
      <c r="E39" s="27" t="n">
        <v>64960</v>
      </c>
      <c r="F39" s="27" t="n">
        <v>81515</v>
      </c>
    </row>
    <row r="40">
      <c r="A40" s="17" t="inlineStr">
        <is>
          <t>Cost &amp; Expenses (COGS + Opex)</t>
        </is>
      </c>
      <c r="B40" s="18" t="n">
        <v>71176</v>
      </c>
      <c r="C40" s="18" t="n">
        <v>87665</v>
      </c>
      <c r="D40" s="18" t="n">
        <v>88151</v>
      </c>
      <c r="E40" s="18" t="n">
        <v>95121</v>
      </c>
      <c r="F40" s="18" t="n">
        <v>117690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46753</v>
      </c>
      <c r="C42" s="16" t="n">
        <v>28944</v>
      </c>
      <c r="D42" s="16" t="n">
        <v>46751</v>
      </c>
      <c r="E42" s="16" t="n">
        <v>69380</v>
      </c>
      <c r="F42" s="16" t="n">
        <v>83276</v>
      </c>
    </row>
    <row r="43">
      <c r="A43" s="17" t="inlineStr">
        <is>
          <t>EBIT (FMP field)</t>
        </is>
      </c>
      <c r="B43" s="18" t="n">
        <v>47307</v>
      </c>
      <c r="C43" s="18" t="n">
        <v>29004</v>
      </c>
      <c r="D43" s="18" t="n">
        <v>47874</v>
      </c>
      <c r="E43" s="18" t="n">
        <v>71378</v>
      </c>
      <c r="F43" s="18" t="n">
        <v>85932</v>
      </c>
    </row>
    <row r="44">
      <c r="A44" s="26" t="inlineStr">
        <is>
          <t>EBITDA</t>
        </is>
      </c>
      <c r="B44" s="27" t="n">
        <v>55274</v>
      </c>
      <c r="C44" s="27" t="n">
        <v>37690</v>
      </c>
      <c r="D44" s="27" t="n">
        <v>59052</v>
      </c>
      <c r="E44" s="27" t="n">
        <v>86876</v>
      </c>
      <c r="F44" s="27" t="n">
        <v>104548</v>
      </c>
    </row>
    <row r="45">
      <c r="A45" s="17" t="inlineStr">
        <is>
          <t>Depreciation &amp; Amortisation</t>
        </is>
      </c>
      <c r="B45" s="18" t="n">
        <v>7967</v>
      </c>
      <c r="C45" s="18" t="n">
        <v>8686</v>
      </c>
      <c r="D45" s="18" t="n">
        <v>11178</v>
      </c>
      <c r="E45" s="18" t="n">
        <v>15498</v>
      </c>
      <c r="F45" s="18" t="n">
        <v>18616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484</v>
      </c>
      <c r="C47" s="18" t="n">
        <v>461</v>
      </c>
      <c r="D47" s="18" t="n">
        <v>1639</v>
      </c>
      <c r="E47" s="18" t="n">
        <v>2517</v>
      </c>
      <c r="F47" s="18" t="n">
        <v>2656</v>
      </c>
    </row>
    <row r="48">
      <c r="A48" s="17" t="inlineStr">
        <is>
          <t>Interest Expense</t>
        </is>
      </c>
      <c r="B48" s="18" t="n">
        <v>23</v>
      </c>
      <c r="C48" s="18" t="n">
        <v>185</v>
      </c>
      <c r="D48" s="18" t="n">
        <v>446</v>
      </c>
      <c r="E48" s="18" t="n">
        <v>715</v>
      </c>
      <c r="F48" s="18" t="n">
        <v>0</v>
      </c>
    </row>
    <row r="49">
      <c r="A49" s="17" t="inlineStr">
        <is>
          <t>Net Interest Income</t>
        </is>
      </c>
      <c r="B49" s="18" t="n">
        <v>461</v>
      </c>
      <c r="C49" s="18" t="n">
        <v>276</v>
      </c>
      <c r="D49" s="18" t="n">
        <v>1193</v>
      </c>
      <c r="E49" s="18" t="n">
        <v>1802</v>
      </c>
      <c r="F49" s="18" t="n">
        <v>2656</v>
      </c>
    </row>
    <row r="50">
      <c r="A50" s="17" t="inlineStr">
        <is>
          <t>Non-Operating Income (ex-interest)</t>
        </is>
      </c>
      <c r="B50" s="18" t="n">
        <v>-554</v>
      </c>
      <c r="C50" s="18" t="n">
        <v>-60</v>
      </c>
      <c r="D50" s="18" t="n">
        <v>-1123</v>
      </c>
      <c r="E50" s="18" t="n">
        <v>-1998</v>
      </c>
      <c r="F50" s="18" t="n">
        <v>-2656</v>
      </c>
    </row>
    <row r="51">
      <c r="A51" s="17" t="inlineStr">
        <is>
          <t>Total Other Income / (Expenses)</t>
        </is>
      </c>
      <c r="B51" s="18" t="n">
        <v>531</v>
      </c>
      <c r="C51" s="18" t="n">
        <v>-125</v>
      </c>
      <c r="D51" s="18" t="n">
        <v>677</v>
      </c>
      <c r="E51" s="18" t="n">
        <v>1283</v>
      </c>
      <c r="F51" s="18" t="n">
        <v>2656</v>
      </c>
    </row>
    <row r="52">
      <c r="A52" s="26" t="inlineStr">
        <is>
          <t>EBT / Income Before Tax</t>
        </is>
      </c>
      <c r="B52" s="27" t="n">
        <v>47284</v>
      </c>
      <c r="C52" s="27" t="n">
        <v>28819</v>
      </c>
      <c r="D52" s="27" t="n">
        <v>47428</v>
      </c>
      <c r="E52" s="27" t="n">
        <v>70663</v>
      </c>
      <c r="F52" s="27" t="n">
        <v>85932</v>
      </c>
    </row>
    <row r="53">
      <c r="A53" s="17" t="inlineStr">
        <is>
          <t>Income Tax Expense</t>
        </is>
      </c>
      <c r="B53" s="18" t="n">
        <v>7914</v>
      </c>
      <c r="C53" s="18" t="n">
        <v>5619</v>
      </c>
      <c r="D53" s="18" t="n">
        <v>8330</v>
      </c>
      <c r="E53" s="18" t="n">
        <v>8303</v>
      </c>
      <c r="F53" s="18" t="n">
        <v>25474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39370</v>
      </c>
      <c r="C55" s="18" t="n">
        <v>23200</v>
      </c>
      <c r="D55" s="18" t="n">
        <v>39098</v>
      </c>
      <c r="E55" s="18" t="n">
        <v>62360</v>
      </c>
      <c r="F55" s="18" t="n">
        <v>60458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39370</v>
      </c>
      <c r="C59" s="27" t="n">
        <v>23200</v>
      </c>
      <c r="D59" s="27" t="n">
        <v>39098</v>
      </c>
      <c r="E59" s="27" t="n">
        <v>62360</v>
      </c>
      <c r="F59" s="27" t="n">
        <v>60458</v>
      </c>
    </row>
    <row r="60">
      <c r="A60" s="15" t="inlineStr">
        <is>
          <t>Bottom Line Net Income</t>
        </is>
      </c>
      <c r="B60" s="16" t="n">
        <v>39370</v>
      </c>
      <c r="C60" s="16" t="n">
        <v>23200</v>
      </c>
      <c r="D60" s="16" t="n">
        <v>39098</v>
      </c>
      <c r="E60" s="16" t="n">
        <v>62360</v>
      </c>
      <c r="F60" s="16" t="n">
        <v>60458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13.99</v>
      </c>
      <c r="C62" s="18" t="n">
        <v>8.630000000000001</v>
      </c>
      <c r="D62" s="18" t="n">
        <v>15.19</v>
      </c>
      <c r="E62" s="18" t="n">
        <v>24.61</v>
      </c>
      <c r="F62" s="18" t="n">
        <v>23.98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2815</v>
      </c>
      <c r="C64" s="18" t="n">
        <v>2687</v>
      </c>
      <c r="D64" s="18" t="n">
        <v>2574</v>
      </c>
      <c r="E64" s="18" t="n">
        <v>2534</v>
      </c>
      <c r="F64" s="18" t="n">
        <v>2521</v>
      </c>
    </row>
    <row r="65">
      <c r="A65" s="17" t="inlineStr">
        <is>
          <t>Shares Outstanding — Diluted (mm)</t>
        </is>
      </c>
      <c r="B65" s="18" t="n">
        <v>2859</v>
      </c>
      <c r="C65" s="18" t="n">
        <v>2702</v>
      </c>
      <c r="D65" s="18" t="n">
        <v>2629</v>
      </c>
      <c r="E65" s="18" t="n">
        <v>2614</v>
      </c>
      <c r="F65" s="18" t="n">
        <v>2574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META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16601</v>
      </c>
      <c r="C5" s="18" t="n">
        <v>14681</v>
      </c>
      <c r="D5" s="18" t="n">
        <v>41862</v>
      </c>
      <c r="E5" s="18" t="n">
        <v>43889</v>
      </c>
      <c r="F5" s="18" t="n">
        <v>35873</v>
      </c>
    </row>
    <row r="6">
      <c r="A6" s="17" t="inlineStr">
        <is>
          <t>(2)  Receivables</t>
        </is>
      </c>
      <c r="B6" s="18" t="n">
        <v>14039</v>
      </c>
      <c r="C6" s="18" t="n">
        <v>13466</v>
      </c>
      <c r="D6" s="18" t="n">
        <v>16169</v>
      </c>
      <c r="E6" s="18" t="n">
        <v>16994</v>
      </c>
      <c r="F6" s="18" t="n">
        <v>19769</v>
      </c>
    </row>
    <row r="7">
      <c r="A7" s="17" t="inlineStr">
        <is>
          <t>(3)  Inventory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66666</v>
      </c>
      <c r="C9" s="24" t="n">
        <v>59549</v>
      </c>
      <c r="D9" s="24" t="n">
        <v>85365</v>
      </c>
      <c r="E9" s="24" t="n">
        <v>100045</v>
      </c>
      <c r="F9" s="24" t="n">
        <v>108722</v>
      </c>
    </row>
    <row r="10">
      <c r="A10" s="17" t="inlineStr">
        <is>
          <t>(6)  PP&amp;E (Net)</t>
        </is>
      </c>
      <c r="B10" s="18" t="n">
        <v>69964</v>
      </c>
      <c r="C10" s="18" t="n">
        <v>92191</v>
      </c>
      <c r="D10" s="18" t="n">
        <v>109881</v>
      </c>
      <c r="E10" s="18" t="n">
        <v>136268</v>
      </c>
      <c r="F10" s="18" t="n">
        <v>196804</v>
      </c>
    </row>
    <row r="11">
      <c r="A11" s="17" t="inlineStr">
        <is>
          <t>(7)  Goodwill</t>
        </is>
      </c>
      <c r="B11" s="18" t="n">
        <v>19197</v>
      </c>
      <c r="C11" s="18" t="n">
        <v>20306</v>
      </c>
      <c r="D11" s="18" t="n">
        <v>20654</v>
      </c>
      <c r="E11" s="18" t="n">
        <v>20654</v>
      </c>
      <c r="F11" s="18" t="n">
        <v>24534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99321</v>
      </c>
      <c r="C14" s="24" t="n">
        <v>126178</v>
      </c>
      <c r="D14" s="24" t="n">
        <v>144258</v>
      </c>
      <c r="E14" s="24" t="n">
        <v>176009</v>
      </c>
      <c r="F14" s="24" t="n">
        <v>257299</v>
      </c>
    </row>
    <row r="15">
      <c r="A15" s="19" t="inlineStr">
        <is>
          <t>(11) Total Assets</t>
        </is>
      </c>
      <c r="B15" s="24" t="n">
        <v>165987</v>
      </c>
      <c r="C15" s="24" t="n">
        <v>185727</v>
      </c>
      <c r="D15" s="24" t="n">
        <v>229623</v>
      </c>
      <c r="E15" s="24" t="n">
        <v>276054</v>
      </c>
      <c r="F15" s="24" t="n">
        <v>366021</v>
      </c>
    </row>
    <row r="16" ht="6" customHeight="1"/>
    <row r="17">
      <c r="A17" s="17" t="inlineStr">
        <is>
          <t>(12) Accounts Payable</t>
        </is>
      </c>
      <c r="B17" s="18" t="n">
        <v>4083</v>
      </c>
      <c r="C17" s="18" t="n">
        <v>4990</v>
      </c>
      <c r="D17" s="18" t="n">
        <v>4849</v>
      </c>
      <c r="E17" s="18" t="n">
        <v>7687</v>
      </c>
      <c r="F17" s="18" t="n">
        <v>8894</v>
      </c>
    </row>
    <row r="18">
      <c r="A18" s="17" t="inlineStr">
        <is>
          <t>(13) Short-Term Borrowings</t>
        </is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0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21135</v>
      </c>
      <c r="C21" s="24" t="n">
        <v>27026</v>
      </c>
      <c r="D21" s="24" t="n">
        <v>31960</v>
      </c>
      <c r="E21" s="24" t="n">
        <v>33596</v>
      </c>
      <c r="F21" s="24" t="n">
        <v>41836</v>
      </c>
    </row>
    <row r="22">
      <c r="A22" s="17" t="inlineStr">
        <is>
          <t>(17) Long-Term Debt</t>
        </is>
      </c>
      <c r="B22" s="18" t="n">
        <v>0</v>
      </c>
      <c r="C22" s="18" t="n">
        <v>9923</v>
      </c>
      <c r="D22" s="18" t="n">
        <v>18385</v>
      </c>
      <c r="E22" s="18" t="n">
        <v>28826</v>
      </c>
      <c r="F22" s="18" t="n">
        <v>58744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41108</v>
      </c>
      <c r="C25" s="24" t="n">
        <v>60014</v>
      </c>
      <c r="D25" s="24" t="n">
        <v>76455</v>
      </c>
      <c r="E25" s="24" t="n">
        <v>93417</v>
      </c>
      <c r="F25" s="24" t="n">
        <v>148778</v>
      </c>
    </row>
    <row r="26" ht="6" customHeight="1"/>
    <row r="27">
      <c r="A27" s="17" t="inlineStr">
        <is>
          <t>(21) Common Stock &amp; APIC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</row>
    <row r="28">
      <c r="A28" s="17" t="inlineStr">
        <is>
          <t>(22) Retained Earnings</t>
        </is>
      </c>
      <c r="B28" s="18" t="n">
        <v>69761</v>
      </c>
      <c r="C28" s="18" t="n">
        <v>64799</v>
      </c>
      <c r="D28" s="18" t="n">
        <v>82070</v>
      </c>
      <c r="E28" s="18" t="n">
        <v>102506</v>
      </c>
      <c r="F28" s="18" t="n">
        <v>121179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124879</v>
      </c>
      <c r="C30" s="24" t="n">
        <v>125713</v>
      </c>
      <c r="D30" s="24" t="n">
        <v>153168</v>
      </c>
      <c r="E30" s="24" t="n">
        <v>182637</v>
      </c>
      <c r="F30" s="24" t="n">
        <v>217243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16601</v>
      </c>
      <c r="C36" s="18" t="n">
        <v>14681</v>
      </c>
      <c r="D36" s="18" t="n">
        <v>41862</v>
      </c>
      <c r="E36" s="18" t="n">
        <v>43889</v>
      </c>
      <c r="F36" s="18" t="n">
        <v>35873</v>
      </c>
    </row>
    <row r="37">
      <c r="A37" s="17" t="inlineStr">
        <is>
          <t>Short-Term Investments</t>
        </is>
      </c>
      <c r="B37" s="18" t="n">
        <v>31397</v>
      </c>
      <c r="C37" s="18" t="n">
        <v>26057</v>
      </c>
      <c r="D37" s="18" t="n">
        <v>23541</v>
      </c>
      <c r="E37" s="18" t="n">
        <v>33926</v>
      </c>
      <c r="F37" s="18" t="n">
        <v>45719</v>
      </c>
    </row>
    <row r="38">
      <c r="A38" s="28" t="inlineStr">
        <is>
          <t>Cash &amp; Short-Term Investments</t>
        </is>
      </c>
      <c r="B38" s="29" t="n">
        <v>47998</v>
      </c>
      <c r="C38" s="29" t="n">
        <v>40738</v>
      </c>
      <c r="D38" s="29" t="n">
        <v>65403</v>
      </c>
      <c r="E38" s="29" t="n">
        <v>77815</v>
      </c>
      <c r="F38" s="29" t="n">
        <v>81592</v>
      </c>
    </row>
    <row r="39">
      <c r="A39" s="17" t="inlineStr">
        <is>
          <t>Accounts Receivable (Trade)</t>
        </is>
      </c>
      <c r="B39" s="18" t="n">
        <v>14039</v>
      </c>
      <c r="C39" s="18" t="n">
        <v>13466</v>
      </c>
      <c r="D39" s="18" t="n">
        <v>16169</v>
      </c>
      <c r="E39" s="18" t="n">
        <v>16994</v>
      </c>
      <c r="F39" s="18" t="n">
        <v>19769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14039</v>
      </c>
      <c r="C41" s="29" t="n">
        <v>13466</v>
      </c>
      <c r="D41" s="29" t="n">
        <v>16169</v>
      </c>
      <c r="E41" s="29" t="n">
        <v>16994</v>
      </c>
      <c r="F41" s="29" t="n">
        <v>19769</v>
      </c>
    </row>
    <row r="42">
      <c r="A42" s="17" t="inlineStr">
        <is>
          <t>Inventory</t>
        </is>
      </c>
      <c r="B42" s="18" t="n">
        <v>0</v>
      </c>
      <c r="C42" s="18" t="n">
        <v>0</v>
      </c>
      <c r="D42" s="18" t="n">
        <v>0</v>
      </c>
      <c r="E42" s="18" t="n">
        <v>0</v>
      </c>
      <c r="F42" s="18" t="n">
        <v>0</v>
      </c>
    </row>
    <row r="43">
      <c r="A43" s="17" t="inlineStr">
        <is>
          <t>Prepaids</t>
        </is>
      </c>
      <c r="B43" s="18" t="n">
        <v>4480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149</v>
      </c>
      <c r="C44" s="18" t="n">
        <v>5345</v>
      </c>
      <c r="D44" s="18" t="n">
        <v>3793</v>
      </c>
      <c r="E44" s="18" t="n">
        <v>5236</v>
      </c>
      <c r="F44" s="18" t="n">
        <v>7361</v>
      </c>
    </row>
    <row r="45">
      <c r="A45" s="26" t="inlineStr">
        <is>
          <t>Total Current Assets</t>
        </is>
      </c>
      <c r="B45" s="27" t="n">
        <v>66666</v>
      </c>
      <c r="C45" s="27" t="n">
        <v>59549</v>
      </c>
      <c r="D45" s="27" t="n">
        <v>85365</v>
      </c>
      <c r="E45" s="27" t="n">
        <v>100045</v>
      </c>
      <c r="F45" s="27" t="n">
        <v>108722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69964</v>
      </c>
      <c r="C47" s="18" t="n">
        <v>92191</v>
      </c>
      <c r="D47" s="18" t="n">
        <v>109881</v>
      </c>
      <c r="E47" s="18" t="n">
        <v>136268</v>
      </c>
      <c r="F47" s="18" t="n">
        <v>196804</v>
      </c>
    </row>
    <row r="48">
      <c r="A48" s="17" t="inlineStr">
        <is>
          <t>Goodwill</t>
        </is>
      </c>
      <c r="B48" s="18" t="n">
        <v>19197</v>
      </c>
      <c r="C48" s="18" t="n">
        <v>20306</v>
      </c>
      <c r="D48" s="18" t="n">
        <v>20654</v>
      </c>
      <c r="E48" s="18" t="n">
        <v>20654</v>
      </c>
      <c r="F48" s="18" t="n">
        <v>24534</v>
      </c>
    </row>
    <row r="49">
      <c r="A49" s="17" t="inlineStr">
        <is>
          <t>Intangible Assets</t>
        </is>
      </c>
      <c r="B49" s="18" t="n">
        <v>634</v>
      </c>
      <c r="C49" s="18" t="n">
        <v>897</v>
      </c>
      <c r="D49" s="18" t="n">
        <v>788</v>
      </c>
      <c r="E49" s="18" t="n">
        <v>915</v>
      </c>
      <c r="F49" s="18" t="n">
        <v>0</v>
      </c>
    </row>
    <row r="50">
      <c r="A50" s="17" t="inlineStr">
        <is>
          <t>Long-Term Investments</t>
        </is>
      </c>
      <c r="B50" s="18" t="n">
        <v>6775</v>
      </c>
      <c r="C50" s="18" t="n">
        <v>6201</v>
      </c>
      <c r="D50" s="18" t="n">
        <v>6141</v>
      </c>
      <c r="E50" s="18" t="n">
        <v>6070</v>
      </c>
      <c r="F50" s="18" t="n">
        <v>27524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38172</v>
      </c>
      <c r="C52" s="18" t="n">
        <v>32258</v>
      </c>
      <c r="D52" s="18" t="n">
        <v>29682</v>
      </c>
      <c r="E52" s="18" t="n">
        <v>39996</v>
      </c>
      <c r="F52" s="18" t="n">
        <v>73243</v>
      </c>
    </row>
    <row r="53">
      <c r="A53" s="17" t="inlineStr">
        <is>
          <t>Other Non-Current Assets</t>
        </is>
      </c>
      <c r="B53" s="18" t="n">
        <v>2751</v>
      </c>
      <c r="C53" s="18" t="n">
        <v>6583</v>
      </c>
      <c r="D53" s="18" t="n">
        <v>6794</v>
      </c>
      <c r="E53" s="18" t="n">
        <v>12102</v>
      </c>
      <c r="F53" s="18" t="n">
        <v>8437</v>
      </c>
    </row>
    <row r="54">
      <c r="A54" s="26" t="inlineStr">
        <is>
          <t>Total Non-Current Assets</t>
        </is>
      </c>
      <c r="B54" s="27" t="n">
        <v>99321</v>
      </c>
      <c r="C54" s="27" t="n">
        <v>126178</v>
      </c>
      <c r="D54" s="27" t="n">
        <v>144258</v>
      </c>
      <c r="E54" s="27" t="n">
        <v>176009</v>
      </c>
      <c r="F54" s="27" t="n">
        <v>257299</v>
      </c>
    </row>
    <row r="55">
      <c r="A55" s="13" t="inlineStr">
        <is>
          <t>TOTAL ASSETS</t>
        </is>
      </c>
      <c r="B55" s="30" t="n">
        <v>165987</v>
      </c>
      <c r="C55" s="30" t="n">
        <v>185727</v>
      </c>
      <c r="D55" s="30" t="n">
        <v>229623</v>
      </c>
      <c r="E55" s="30" t="n">
        <v>276054</v>
      </c>
      <c r="F55" s="30" t="n">
        <v>366021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4083</v>
      </c>
      <c r="C57" s="18" t="n">
        <v>4990</v>
      </c>
      <c r="D57" s="18" t="n">
        <v>4849</v>
      </c>
      <c r="E57" s="18" t="n">
        <v>7687</v>
      </c>
      <c r="F57" s="18" t="n">
        <v>8894</v>
      </c>
    </row>
    <row r="58">
      <c r="A58" s="17" t="inlineStr">
        <is>
          <t>Short-Term Debt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561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8410</v>
      </c>
      <c r="C61" s="18" t="n">
        <v>9497</v>
      </c>
      <c r="D61" s="18" t="n">
        <v>13028</v>
      </c>
      <c r="E61" s="18" t="n">
        <v>12424</v>
      </c>
      <c r="F61" s="18" t="n">
        <v>0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21135</v>
      </c>
      <c r="C63" s="27" t="n">
        <v>27026</v>
      </c>
      <c r="D63" s="27" t="n">
        <v>31960</v>
      </c>
      <c r="E63" s="27" t="n">
        <v>33596</v>
      </c>
      <c r="F63" s="27" t="n">
        <v>41836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0</v>
      </c>
      <c r="C65" s="18" t="n">
        <v>9923</v>
      </c>
      <c r="D65" s="18" t="n">
        <v>18385</v>
      </c>
      <c r="E65" s="18" t="n">
        <v>28826</v>
      </c>
      <c r="F65" s="18" t="n">
        <v>58744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-5490</v>
      </c>
      <c r="D67" s="18" t="n">
        <v>-6950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0</v>
      </c>
      <c r="C68" s="18" t="n">
        <v>5490</v>
      </c>
      <c r="D68" s="18" t="n">
        <v>6950</v>
      </c>
      <c r="E68" s="18" t="n">
        <v>0</v>
      </c>
      <c r="F68" s="18" t="n">
        <v>21005</v>
      </c>
    </row>
    <row r="69">
      <c r="A69" s="17" t="inlineStr">
        <is>
          <t>Other Non-Current Liabilities</t>
        </is>
      </c>
      <c r="B69" s="18" t="n">
        <v>7227</v>
      </c>
      <c r="C69" s="18" t="n">
        <v>7764</v>
      </c>
      <c r="D69" s="18" t="n">
        <v>8884</v>
      </c>
      <c r="E69" s="18" t="n">
        <v>12703</v>
      </c>
      <c r="F69" s="18" t="n">
        <v>4253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41108</v>
      </c>
      <c r="C71" s="30" t="n">
        <v>60014</v>
      </c>
      <c r="D71" s="30" t="n">
        <v>76455</v>
      </c>
      <c r="E71" s="30" t="n">
        <v>93417</v>
      </c>
      <c r="F71" s="30" t="n">
        <v>148778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0</v>
      </c>
      <c r="C73" s="18" t="n">
        <v>0</v>
      </c>
      <c r="D73" s="18" t="n">
        <v>0</v>
      </c>
      <c r="E73" s="18" t="n">
        <v>0</v>
      </c>
      <c r="F73" s="18" t="n">
        <v>0</v>
      </c>
    </row>
    <row r="74">
      <c r="A74" s="17" t="inlineStr">
        <is>
          <t>Retained Earnings</t>
        </is>
      </c>
      <c r="B74" s="18" t="n">
        <v>69761</v>
      </c>
      <c r="C74" s="18" t="n">
        <v>64799</v>
      </c>
      <c r="D74" s="18" t="n">
        <v>82070</v>
      </c>
      <c r="E74" s="18" t="n">
        <v>102506</v>
      </c>
      <c r="F74" s="18" t="n">
        <v>121179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124879</v>
      </c>
      <c r="C78" s="27" t="n">
        <v>125713</v>
      </c>
      <c r="D78" s="27" t="n">
        <v>153168</v>
      </c>
      <c r="E78" s="27" t="n">
        <v>182637</v>
      </c>
      <c r="F78" s="27" t="n">
        <v>217243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META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57683</v>
      </c>
      <c r="C5" s="24" t="n">
        <v>50475</v>
      </c>
      <c r="D5" s="24" t="n">
        <v>71113</v>
      </c>
      <c r="E5" s="24" t="n">
        <v>91328</v>
      </c>
      <c r="F5" s="24" t="n">
        <v>115800</v>
      </c>
    </row>
    <row r="6">
      <c r="A6" s="17" t="inlineStr">
        <is>
          <t>(2)  Capital Expenditures</t>
        </is>
      </c>
      <c r="B6" s="18" t="n">
        <v>-18567</v>
      </c>
      <c r="C6" s="18" t="n">
        <v>-31431</v>
      </c>
      <c r="D6" s="18" t="n">
        <v>-27266</v>
      </c>
      <c r="E6" s="18" t="n">
        <v>-37256</v>
      </c>
      <c r="F6" s="18" t="n">
        <v>-69691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-663</v>
      </c>
      <c r="C9" s="18" t="n">
        <v>9071</v>
      </c>
      <c r="D9" s="18" t="n">
        <v>7397</v>
      </c>
      <c r="E9" s="18" t="n">
        <v>8463</v>
      </c>
      <c r="F9" s="18" t="n">
        <v>27382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0</v>
      </c>
      <c r="C12" s="18" t="n">
        <v>0</v>
      </c>
      <c r="D12" s="18" t="n">
        <v>0</v>
      </c>
      <c r="E12" s="18" t="n">
        <v>-5072</v>
      </c>
      <c r="F12" s="18" t="n">
        <v>-5324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39116</v>
      </c>
      <c r="C15" s="24" t="n">
        <v>19044</v>
      </c>
      <c r="D15" s="24" t="n">
        <v>43847</v>
      </c>
      <c r="E15" s="24" t="n">
        <v>54072</v>
      </c>
      <c r="F15" s="24" t="n">
        <v>46109</v>
      </c>
    </row>
    <row r="16">
      <c r="A16" s="15" t="inlineStr">
        <is>
          <t xml:space="preserve">     Net Change in Cash</t>
        </is>
      </c>
      <c r="B16" s="16" t="n">
        <v>-1089</v>
      </c>
      <c r="C16" s="16" t="n">
        <v>-1269</v>
      </c>
      <c r="D16" s="16" t="n">
        <v>27231</v>
      </c>
      <c r="E16" s="16" t="n">
        <v>2611</v>
      </c>
      <c r="F16" s="16" t="n">
        <v>-6338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39370</v>
      </c>
      <c r="C21" s="18" t="n">
        <v>23200</v>
      </c>
      <c r="D21" s="18" t="n">
        <v>39098</v>
      </c>
      <c r="E21" s="18" t="n">
        <v>62360</v>
      </c>
      <c r="F21" s="18" t="n">
        <v>60458</v>
      </c>
    </row>
    <row r="22">
      <c r="A22" s="17" t="inlineStr">
        <is>
          <t>Depreciation &amp; Amortisation</t>
        </is>
      </c>
      <c r="B22" s="18" t="n">
        <v>7967</v>
      </c>
      <c r="C22" s="18" t="n">
        <v>8686</v>
      </c>
      <c r="D22" s="18" t="n">
        <v>11178</v>
      </c>
      <c r="E22" s="18" t="n">
        <v>15498</v>
      </c>
      <c r="F22" s="18" t="n">
        <v>18616</v>
      </c>
    </row>
    <row r="23">
      <c r="A23" s="17" t="inlineStr">
        <is>
          <t>Deferred Income Tax</t>
        </is>
      </c>
      <c r="B23" s="18" t="n">
        <v>609</v>
      </c>
      <c r="C23" s="18" t="n">
        <v>-3286</v>
      </c>
      <c r="D23" s="18" t="n">
        <v>131</v>
      </c>
      <c r="E23" s="18" t="n">
        <v>-4738</v>
      </c>
      <c r="F23" s="18" t="n">
        <v>18738</v>
      </c>
    </row>
    <row r="24">
      <c r="A24" s="17" t="inlineStr">
        <is>
          <t>Stock-Based Compensation</t>
        </is>
      </c>
      <c r="B24" s="18" t="n">
        <v>9164</v>
      </c>
      <c r="C24" s="18" t="n">
        <v>11992</v>
      </c>
      <c r="D24" s="18" t="n">
        <v>14027</v>
      </c>
      <c r="E24" s="18" t="n">
        <v>16690</v>
      </c>
      <c r="F24" s="18" t="n">
        <v>20427</v>
      </c>
    </row>
    <row r="25">
      <c r="A25" s="17" t="inlineStr">
        <is>
          <t>Change in Working Capital</t>
        </is>
      </c>
      <c r="B25" s="18" t="n">
        <v>700</v>
      </c>
      <c r="C25" s="18" t="n">
        <v>5683</v>
      </c>
      <c r="D25" s="18" t="n">
        <v>3836</v>
      </c>
      <c r="E25" s="18" t="n">
        <v>1048</v>
      </c>
      <c r="F25" s="18" t="n">
        <v>-885</v>
      </c>
    </row>
    <row r="26">
      <c r="A26" s="21" t="inlineStr">
        <is>
          <t xml:space="preserve">  — Accounts Receivable</t>
        </is>
      </c>
      <c r="B26" s="18" t="n">
        <v>-3110</v>
      </c>
      <c r="C26" s="18" t="n">
        <v>231</v>
      </c>
      <c r="D26" s="18" t="n">
        <v>-2399</v>
      </c>
      <c r="E26" s="18" t="n">
        <v>-1485</v>
      </c>
      <c r="F26" s="18" t="n">
        <v>-1815</v>
      </c>
    </row>
    <row r="27">
      <c r="A27" s="21" t="inlineStr">
        <is>
          <t xml:space="preserve">  — Inventory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</row>
    <row r="28">
      <c r="A28" s="21" t="inlineStr">
        <is>
          <t xml:space="preserve">  — Accounts Payable</t>
        </is>
      </c>
      <c r="B28" s="18" t="n">
        <v>1436</v>
      </c>
      <c r="C28" s="18" t="n">
        <v>210</v>
      </c>
      <c r="D28" s="18" t="n">
        <v>51</v>
      </c>
      <c r="E28" s="18" t="n">
        <v>373</v>
      </c>
      <c r="F28" s="18" t="n">
        <v>-14</v>
      </c>
    </row>
    <row r="29">
      <c r="A29" s="21" t="inlineStr">
        <is>
          <t xml:space="preserve">  — Other Working Capital</t>
        </is>
      </c>
      <c r="B29" s="18" t="n">
        <v>2374</v>
      </c>
      <c r="C29" s="18" t="n">
        <v>5242</v>
      </c>
      <c r="D29" s="18" t="n">
        <v>6184</v>
      </c>
      <c r="E29" s="18" t="n">
        <v>2160</v>
      </c>
      <c r="F29" s="18" t="n">
        <v>944</v>
      </c>
    </row>
    <row r="30">
      <c r="A30" s="17" t="inlineStr">
        <is>
          <t>Other Non-Cash Items</t>
        </is>
      </c>
      <c r="B30" s="18" t="n">
        <v>-127</v>
      </c>
      <c r="C30" s="18" t="n">
        <v>4200</v>
      </c>
      <c r="D30" s="18" t="n">
        <v>2843</v>
      </c>
      <c r="E30" s="18" t="n">
        <v>470</v>
      </c>
      <c r="F30" s="18" t="n">
        <v>-1554</v>
      </c>
    </row>
    <row r="31">
      <c r="A31" s="26" t="inlineStr">
        <is>
          <t>Net Cash from Operations (CFO)</t>
        </is>
      </c>
      <c r="B31" s="27" t="n">
        <v>57683</v>
      </c>
      <c r="C31" s="27" t="n">
        <v>50475</v>
      </c>
      <c r="D31" s="27" t="n">
        <v>71113</v>
      </c>
      <c r="E31" s="27" t="n">
        <v>91328</v>
      </c>
      <c r="F31" s="27" t="n">
        <v>115800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-18567</v>
      </c>
      <c r="C33" s="18" t="n">
        <v>-31431</v>
      </c>
      <c r="D33" s="18" t="n">
        <v>-27266</v>
      </c>
      <c r="E33" s="18" t="n">
        <v>-37256</v>
      </c>
      <c r="F33" s="18" t="n">
        <v>-69691</v>
      </c>
    </row>
    <row r="34">
      <c r="A34" s="21" t="inlineStr">
        <is>
          <t xml:space="preserve">  (Alt: Invest. in PP&amp;E)</t>
        </is>
      </c>
      <c r="B34" s="18" t="n">
        <v>-18567</v>
      </c>
      <c r="C34" s="18" t="n">
        <v>-31431</v>
      </c>
      <c r="D34" s="18" t="n">
        <v>-27266</v>
      </c>
      <c r="E34" s="18" t="n">
        <v>-37256</v>
      </c>
      <c r="F34" s="18" t="n">
        <v>-69691</v>
      </c>
    </row>
    <row r="35">
      <c r="A35" s="17" t="inlineStr">
        <is>
          <t>Acquisitions (Net)</t>
        </is>
      </c>
      <c r="B35" s="18" t="n">
        <v>-898</v>
      </c>
      <c r="C35" s="18" t="n">
        <v>-1312</v>
      </c>
      <c r="D35" s="18" t="n">
        <v>-629</v>
      </c>
      <c r="E35" s="18" t="n">
        <v>-270</v>
      </c>
      <c r="F35" s="18" t="n">
        <v>-4231</v>
      </c>
    </row>
    <row r="36">
      <c r="A36" s="17" t="inlineStr">
        <is>
          <t>Purchases of Investments</t>
        </is>
      </c>
      <c r="B36" s="18" t="n">
        <v>-30407</v>
      </c>
      <c r="C36" s="18" t="n">
        <v>-9631</v>
      </c>
      <c r="D36" s="18" t="n">
        <v>-2982</v>
      </c>
      <c r="E36" s="18" t="n">
        <v>-25542</v>
      </c>
      <c r="F36" s="18" t="n">
        <v>-55259</v>
      </c>
    </row>
    <row r="37">
      <c r="A37" s="17" t="inlineStr">
        <is>
          <t>Sales / Maturities of Investments</t>
        </is>
      </c>
      <c r="B37" s="18" t="n">
        <v>42586</v>
      </c>
      <c r="C37" s="18" t="n">
        <v>13158</v>
      </c>
      <c r="D37" s="18" t="n">
        <v>6184</v>
      </c>
      <c r="E37" s="18" t="n">
        <v>15789</v>
      </c>
      <c r="F37" s="18" t="n">
        <v>29428</v>
      </c>
    </row>
    <row r="38">
      <c r="A38" s="17" t="inlineStr">
        <is>
          <t>Other Investing Activities</t>
        </is>
      </c>
      <c r="B38" s="18" t="n">
        <v>-284</v>
      </c>
      <c r="C38" s="18" t="n">
        <v>246</v>
      </c>
      <c r="D38" s="18" t="n">
        <v>198</v>
      </c>
      <c r="E38" s="18" t="n">
        <v>129</v>
      </c>
      <c r="F38" s="18" t="n">
        <v>-2250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-663</v>
      </c>
      <c r="C41" s="18" t="n">
        <v>9071</v>
      </c>
      <c r="D41" s="18" t="n">
        <v>7397</v>
      </c>
      <c r="E41" s="18" t="n">
        <v>8463</v>
      </c>
      <c r="F41" s="18" t="n">
        <v>27382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-44537</v>
      </c>
      <c r="C44" s="18" t="n">
        <v>-27956</v>
      </c>
      <c r="D44" s="18" t="n">
        <v>-19774</v>
      </c>
      <c r="E44" s="18" t="n">
        <v>-30125</v>
      </c>
      <c r="F44" s="18" t="n">
        <v>-26248</v>
      </c>
    </row>
    <row r="45">
      <c r="A45" s="17" t="inlineStr">
        <is>
          <t>Dividends Paid</t>
        </is>
      </c>
      <c r="B45" s="18" t="n">
        <v>0</v>
      </c>
      <c r="C45" s="18" t="n">
        <v>0</v>
      </c>
      <c r="D45" s="18" t="n">
        <v>0</v>
      </c>
      <c r="E45" s="18" t="n">
        <v>-5072</v>
      </c>
      <c r="F45" s="18" t="n">
        <v>-5324</v>
      </c>
    </row>
    <row r="46">
      <c r="A46" s="17" t="inlineStr">
        <is>
          <t>Other Financing Activities</t>
        </is>
      </c>
      <c r="B46" s="18" t="n">
        <v>-5528</v>
      </c>
      <c r="C46" s="18" t="n">
        <v>344</v>
      </c>
      <c r="D46" s="18" t="n">
        <v>-111</v>
      </c>
      <c r="E46" s="18" t="n">
        <v>-14047</v>
      </c>
      <c r="F46" s="18" t="n">
        <v>-16180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-474</v>
      </c>
      <c r="C49" s="18" t="n">
        <v>-638</v>
      </c>
      <c r="D49" s="18" t="n">
        <v>113</v>
      </c>
      <c r="E49" s="18" t="n">
        <v>-786</v>
      </c>
      <c r="F49" s="18" t="n">
        <v>235</v>
      </c>
    </row>
    <row r="50">
      <c r="A50" s="15" t="inlineStr">
        <is>
          <t>Net Change in Cash</t>
        </is>
      </c>
      <c r="B50" s="16" t="n">
        <v>-1089</v>
      </c>
      <c r="C50" s="16" t="n">
        <v>-1269</v>
      </c>
      <c r="D50" s="16" t="n">
        <v>27231</v>
      </c>
      <c r="E50" s="16" t="n">
        <v>2611</v>
      </c>
      <c r="F50" s="16" t="n">
        <v>-6338</v>
      </c>
    </row>
    <row r="51">
      <c r="A51" s="17" t="inlineStr">
        <is>
          <t>Cash at Beginning of Period</t>
        </is>
      </c>
      <c r="B51" s="18" t="n">
        <v>17954</v>
      </c>
      <c r="C51" s="18" t="n">
        <v>16865</v>
      </c>
      <c r="D51" s="18" t="n">
        <v>15596</v>
      </c>
      <c r="E51" s="18" t="n">
        <v>42827</v>
      </c>
      <c r="F51" s="18" t="n">
        <v>45438</v>
      </c>
    </row>
    <row r="52">
      <c r="A52" s="26" t="inlineStr">
        <is>
          <t>Cash at End of Period</t>
        </is>
      </c>
      <c r="B52" s="27" t="n">
        <v>16865</v>
      </c>
      <c r="C52" s="27" t="n">
        <v>15596</v>
      </c>
      <c r="D52" s="27" t="n">
        <v>42827</v>
      </c>
      <c r="E52" s="27" t="n">
        <v>45438</v>
      </c>
      <c r="F52" s="27" t="n">
        <v>39100</v>
      </c>
    </row>
    <row r="53">
      <c r="A53" s="26" t="inlineStr">
        <is>
          <t>Free Cash Flow</t>
        </is>
      </c>
      <c r="B53" s="27" t="n">
        <v>39116</v>
      </c>
      <c r="C53" s="27" t="n">
        <v>19044</v>
      </c>
      <c r="D53" s="27" t="n">
        <v>43847</v>
      </c>
      <c r="E53" s="27" t="n">
        <v>54072</v>
      </c>
      <c r="F53" s="27" t="n">
        <v>46109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META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2859</v>
      </c>
      <c r="C61" s="18" t="n">
        <v>2702</v>
      </c>
      <c r="D61" s="18" t="n">
        <v>2629</v>
      </c>
      <c r="E61" s="18" t="n">
        <v>2614</v>
      </c>
      <c r="F61" s="18" t="n">
        <v>2574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META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198759</v>
      </c>
      <c r="C5" s="18" t="n">
        <v>162355</v>
      </c>
      <c r="D5" s="18" t="n">
        <v>133006</v>
      </c>
      <c r="E5" s="18" t="n">
        <v>114450</v>
      </c>
      <c r="F5" s="18" t="n">
        <v>115655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META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1549098.286664</v>
      </c>
      <c r="C5" s="44" t="inlineStr">
        <is>
          <t>FMP marketCap  |  price $610.26</t>
        </is>
      </c>
    </row>
    <row r="6">
      <c r="A6" s="17" t="inlineStr">
        <is>
          <t>Debt  (gross book value, $mm)</t>
        </is>
      </c>
      <c r="B6" s="43" t="n">
        <v>58744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0.04559999999999999</v>
      </c>
      <c r="C12" s="44" t="inlineStr">
        <is>
          <t>FRED series DGS10  |  latest: 2026-05-22</t>
        </is>
      </c>
    </row>
    <row r="13">
      <c r="A13" s="47" t="inlineStr">
        <is>
          <t>► Selected Rf  (override if needed)</t>
        </is>
      </c>
      <c r="B13" s="48" t="n">
        <v>0.0456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1.243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1.163</v>
      </c>
      <c r="C17" s="44" t="inlineStr">
        <is>
          <t>Mean-reversion toward market beta of 1.0</t>
        </is>
      </c>
    </row>
    <row r="18">
      <c r="A18" s="17" t="inlineStr">
        <is>
          <t>Damodaran industry unlevered  (Internet Content &amp; Information)</t>
        </is>
      </c>
      <c r="B18" s="50" t="n">
        <v>1.12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0.04x,  t = 29.6%)</t>
        </is>
      </c>
      <c r="B19" s="50" t="n">
        <v>1.15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1.185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AA-</t>
        </is>
      </c>
      <c r="C31" s="44" t="inlineStr">
        <is>
          <t>User input</t>
        </is>
      </c>
    </row>
    <row r="32">
      <c r="A32" s="17" t="inlineStr">
        <is>
          <t>FRED matched yield  (rating-tier index)</t>
        </is>
      </c>
      <c r="B32" s="46" t="n">
        <v>0.0496</v>
      </c>
      <c r="C32" s="44" t="inlineStr">
        <is>
          <t>FRED BAMLC0A2CAAEY — AA</t>
        </is>
      </c>
    </row>
    <row r="33">
      <c r="A33" s="17" t="inlineStr">
        <is>
          <t>Interest Coverage Ratio  (EBIT / Gross Int Exp)</t>
        </is>
      </c>
      <c r="B33" s="53" t="n"/>
      <c r="C33" s="44" t="inlineStr">
        <is>
          <t>EBIT $83276mm  /  Int Exp $0mm</t>
        </is>
      </c>
    </row>
    <row r="34">
      <c r="A34" s="17" t="inlineStr">
        <is>
          <t>Synthetic rating  (Damodaran ICR table)</t>
        </is>
      </c>
      <c r="B34" s="53" t="inlineStr">
        <is>
          <t>AAA</t>
        </is>
      </c>
      <c r="C34" s="44" t="inlineStr">
        <is>
          <t>ICR 999.0x  →  AAA</t>
        </is>
      </c>
    </row>
    <row r="35">
      <c r="A35" s="17" t="inlineStr">
        <is>
          <t>Synthetic Rd  (Rf + Damodaran default spread)</t>
        </is>
      </c>
      <c r="B35" s="46" t="n">
        <v>0.051</v>
      </c>
      <c r="C35" s="44" t="inlineStr">
        <is>
          <t>Rf 4.56% + spread 0.54%</t>
        </is>
      </c>
    </row>
    <row r="36">
      <c r="A36" s="17" t="inlineStr">
        <is>
          <t>Accounting Rd  (Gross int exp / Avg gross debt)</t>
        </is>
      </c>
      <c r="B36" s="46" t="n">
        <v>0</v>
      </c>
      <c r="C36" s="44" t="inlineStr">
        <is>
          <t>Cross-check only — backward-looking</t>
        </is>
      </c>
    </row>
    <row r="37">
      <c r="A37" s="17" t="inlineStr">
        <is>
          <t xml:space="preserve">  Note: net interest INCOME of $2656mm  (int inc $2656mm &gt; int exp $0mm)</t>
        </is>
      </c>
      <c r="B37" s="53" t="n"/>
      <c r="C37" s="44" t="inlineStr">
        <is>
          <t>Gross Rd is the correct basis here — net figure is distorted</t>
        </is>
      </c>
    </row>
    <row r="38">
      <c r="A38" s="47" t="inlineStr">
        <is>
          <t>► Selected pre-tax Rd  (user override)</t>
        </is>
      </c>
      <c r="B38" s="48" t="n">
        <v>0.0335</v>
      </c>
      <c r="C38" s="49" t="inlineStr">
        <is>
          <t>Default = average of 3 source(s) above — override freely</t>
        </is>
      </c>
    </row>
    <row r="39">
      <c r="A39" s="42" t="n"/>
      <c r="B39" s="42" t="n"/>
      <c r="C39" s="42" t="n"/>
    </row>
    <row r="40" ht="18" customHeight="1">
      <c r="A40" s="25" t="inlineStr">
        <is>
          <t>STEP 6 — TAX RATE</t>
        </is>
      </c>
    </row>
    <row r="41">
      <c r="A41" s="17" t="inlineStr">
        <is>
          <t>Effective tax rate  (tax expense / pre-tax income)</t>
        </is>
      </c>
      <c r="B41" s="46" t="n">
        <v>0.2964</v>
      </c>
      <c r="C41" s="44" t="inlineStr">
        <is>
          <t>FMP: $25474mm  /  $85932mm</t>
        </is>
      </c>
    </row>
    <row r="42">
      <c r="A42" s="47" t="inlineStr">
        <is>
          <t>► Selected tax rate  (user override)</t>
        </is>
      </c>
      <c r="B42" s="48" t="n">
        <v>0.2964</v>
      </c>
      <c r="C42" s="49" t="inlineStr">
        <is>
          <t>Adjust to normalised / marginal rate if preferred</t>
        </is>
      </c>
    </row>
    <row r="43">
      <c r="A43" s="42" t="n"/>
      <c r="B43" s="42" t="n"/>
      <c r="C43" s="42" t="n"/>
    </row>
    <row r="44" ht="18" customHeight="1">
      <c r="A44" s="5" t="inlineStr">
        <is>
          <t>WACC OUTPUT</t>
        </is>
      </c>
    </row>
    <row r="45" ht="22" customHeight="1">
      <c r="A45" s="54" t="inlineStr">
        <is>
          <t>WACC  =  MAX(8.5%, (E/V × Re) + (D/V × Rd × (1 − t)))</t>
        </is>
      </c>
      <c r="B45" s="55">
        <f>MAX(0.085, B8*B28+B9*B38*(1-B42))</f>
        <v/>
      </c>
      <c r="C45" s="56" t="inlineStr">
        <is>
          <t>Floored 8.5% (D-001); raw formula below</t>
        </is>
      </c>
    </row>
    <row r="46">
      <c r="A46" s="42" t="n"/>
      <c r="B46" s="42" t="n"/>
      <c r="C46" s="42" t="n"/>
    </row>
    <row r="47" ht="18" customHeight="1">
      <c r="A47" s="10" t="inlineStr">
        <is>
          <t>SENSITIVITY — WACC (%)  by Beta offset × ERP offset</t>
        </is>
      </c>
    </row>
    <row r="48">
      <c r="A48" s="57" t="inlineStr">
        <is>
          <t>Beta offset  \  ERP offset →</t>
        </is>
      </c>
      <c r="B48" s="57" t="inlineStr">
        <is>
          <t>-1.0%</t>
        </is>
      </c>
      <c r="C48" s="57" t="inlineStr">
        <is>
          <t>-0.5%</t>
        </is>
      </c>
      <c r="D48" s="57" t="inlineStr">
        <is>
          <t>Base ERP</t>
        </is>
      </c>
      <c r="E48" s="57" t="inlineStr">
        <is>
          <t>+0.5%</t>
        </is>
      </c>
      <c r="F48" s="57" t="inlineStr">
        <is>
          <t>+1.0%</t>
        </is>
      </c>
    </row>
    <row r="49">
      <c r="A49" s="58" t="inlineStr">
        <is>
          <t>-1.0</t>
        </is>
      </c>
      <c r="B49" s="59">
        <f>B8*(B13+(B20+(-1.0))*(B25+(-0.01)))+B9*B38*(1-B42)</f>
        <v/>
      </c>
      <c r="C49" s="59">
        <f>B8*(B13+(B20+(-1.0))*(B25+(-0.005)))+B9*B38*(1-B42)</f>
        <v/>
      </c>
      <c r="D49" s="59">
        <f>B8*(B13+(B20+(-1.0))*(B25+(0.0)))+B9*B38*(1-B42)</f>
        <v/>
      </c>
      <c r="E49" s="59">
        <f>B8*(B13+(B20+(-1.0))*(B25+(0.005)))+B9*B38*(1-B42)</f>
        <v/>
      </c>
      <c r="F49" s="59">
        <f>B8*(B13+(B20+(-1.0))*(B25+(0.01)))+B9*B38*(1-B42)</f>
        <v/>
      </c>
    </row>
    <row r="50">
      <c r="A50" s="58" t="inlineStr">
        <is>
          <t>-0.5</t>
        </is>
      </c>
      <c r="B50" s="59">
        <f>B8*(B13+(B20+(-0.5))*(B25+(-0.01)))+B9*B38*(1-B42)</f>
        <v/>
      </c>
      <c r="C50" s="59">
        <f>B8*(B13+(B20+(-0.5))*(B25+(-0.005)))+B9*B38*(1-B42)</f>
        <v/>
      </c>
      <c r="D50" s="59">
        <f>B8*(B13+(B20+(-0.5))*(B25+(0.0)))+B9*B38*(1-B42)</f>
        <v/>
      </c>
      <c r="E50" s="59">
        <f>B8*(B13+(B20+(-0.5))*(B25+(0.005)))+B9*B38*(1-B42)</f>
        <v/>
      </c>
      <c r="F50" s="59">
        <f>B8*(B13+(B20+(-0.5))*(B25+(0.01)))+B9*B38*(1-B42)</f>
        <v/>
      </c>
    </row>
    <row r="51">
      <c r="A51" s="60" t="inlineStr">
        <is>
          <t>Base β</t>
        </is>
      </c>
      <c r="B51" s="61">
        <f>B8*(B13+(B20+(0.0))*(B25+(-0.01)))+B9*B38*(1-B42)</f>
        <v/>
      </c>
      <c r="C51" s="61">
        <f>B8*(B13+(B20+(0.0))*(B25+(-0.005)))+B9*B38*(1-B42)</f>
        <v/>
      </c>
      <c r="D51" s="62">
        <f>B8*(B13+(B20+(0.0))*(B25+(0.0)))+B9*B38*(1-B42)</f>
        <v/>
      </c>
      <c r="E51" s="61">
        <f>B8*(B13+(B20+(0.0))*(B25+(0.005)))+B9*B38*(1-B42)</f>
        <v/>
      </c>
      <c r="F51" s="61">
        <f>B8*(B13+(B20+(0.0))*(B25+(0.01)))+B9*B38*(1-B42)</f>
        <v/>
      </c>
    </row>
    <row r="52">
      <c r="A52" s="58" t="inlineStr">
        <is>
          <t>+0.5</t>
        </is>
      </c>
      <c r="B52" s="59">
        <f>B8*(B13+(B20+(0.5))*(B25+(-0.01)))+B9*B38*(1-B42)</f>
        <v/>
      </c>
      <c r="C52" s="59">
        <f>B8*(B13+(B20+(0.5))*(B25+(-0.005)))+B9*B38*(1-B42)</f>
        <v/>
      </c>
      <c r="D52" s="59">
        <f>B8*(B13+(B20+(0.5))*(B25+(0.0)))+B9*B38*(1-B42)</f>
        <v/>
      </c>
      <c r="E52" s="59">
        <f>B8*(B13+(B20+(0.5))*(B25+(0.005)))+B9*B38*(1-B42)</f>
        <v/>
      </c>
      <c r="F52" s="59">
        <f>B8*(B13+(B20+(0.5))*(B25+(0.01)))+B9*B38*(1-B42)</f>
        <v/>
      </c>
    </row>
    <row r="53">
      <c r="A53" s="58" t="inlineStr">
        <is>
          <t>+1.0</t>
        </is>
      </c>
      <c r="B53" s="59">
        <f>B8*(B13+(B20+(1.0))*(B25+(-0.01)))+B9*B38*(1-B42)</f>
        <v/>
      </c>
      <c r="C53" s="59">
        <f>B8*(B13+(B20+(1.0))*(B25+(-0.005)))+B9*B38*(1-B42)</f>
        <v/>
      </c>
      <c r="D53" s="59">
        <f>B8*(B13+(B20+(1.0))*(B25+(0.0)))+B9*B38*(1-B42)</f>
        <v/>
      </c>
      <c r="E53" s="59">
        <f>B8*(B13+(B20+(1.0))*(B25+(0.005)))+B9*B38*(1-B42)</f>
        <v/>
      </c>
      <c r="F53" s="59">
        <f>B8*(B13+(B20+(1.0))*(B25+(0.01)))+B9*B38*(1-B42)</f>
        <v/>
      </c>
    </row>
  </sheetData>
  <mergeCells count="11">
    <mergeCell ref="A11:C11"/>
    <mergeCell ref="A44:C44"/>
    <mergeCell ref="A47:C47"/>
    <mergeCell ref="A1:C1"/>
    <mergeCell ref="A22:C22"/>
    <mergeCell ref="A40:C40"/>
    <mergeCell ref="A27:C27"/>
    <mergeCell ref="A30:C30"/>
    <mergeCell ref="A15:C15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META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0.2581</v>
      </c>
      <c r="H7" s="71" t="n">
        <v>0.1917</v>
      </c>
      <c r="I7" s="71" t="n">
        <v>0.1659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0.4556</v>
      </c>
      <c r="H8" s="71" t="n">
        <v>0.4556</v>
      </c>
      <c r="I8" s="71" t="n">
        <v>0.4556</v>
      </c>
      <c r="J8" s="72">
        <f>I8</f>
        <v/>
      </c>
      <c r="K8" s="72">
        <f>I8</f>
        <v/>
      </c>
      <c r="L8" s="73" t="n">
        <v>0.5202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252844</v>
      </c>
      <c r="H15" s="77" t="n">
        <v>301316.3</v>
      </c>
      <c r="I15" s="77" t="n">
        <v>351301.6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249,120 — 257,795</t>
        </is>
      </c>
      <c r="H16" s="82" t="inlineStr">
        <is>
          <t>292,017 — 317,272</t>
        </is>
      </c>
      <c r="I16" s="82" t="inlineStr">
        <is>
          <t>350,615 — 351,988</t>
        </is>
      </c>
      <c r="J16" s="82" t="inlineStr">
        <is>
          <t>390,555 — 423,372</t>
        </is>
      </c>
      <c r="K16" s="82" t="inlineStr">
        <is>
          <t>447,786 — 485,412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43</v>
      </c>
      <c r="H17" s="84" t="n">
        <v>44</v>
      </c>
      <c r="I17" s="84" t="n">
        <v>35</v>
      </c>
      <c r="J17" s="84" t="n">
        <v>17</v>
      </c>
      <c r="K17" s="84" t="n">
        <v>17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5" t="inlineStr">
        <is>
          <t>—</t>
        </is>
      </c>
      <c r="C18" s="86">
        <f>IFERROR(C15/B15-1,"")</f>
        <v/>
      </c>
      <c r="D18" s="86">
        <f>IFERROR(D15/C15-1,"")</f>
        <v/>
      </c>
      <c r="E18" s="86">
        <f>IFERROR(E15/D15-1,"")</f>
        <v/>
      </c>
      <c r="F18" s="86">
        <f>IFERROR(F15/E15-1,"")</f>
        <v/>
      </c>
      <c r="G18" s="87">
        <f>IFERROR(G15/F15-1,"")</f>
        <v/>
      </c>
      <c r="H18" s="87">
        <f>IFERROR(H15/G15-1,"")</f>
        <v/>
      </c>
      <c r="I18" s="87">
        <f>IFERROR(I15/H15-1,"")</f>
        <v/>
      </c>
      <c r="J18" s="87">
        <f>IFERROR(J15/I15-1,"")</f>
        <v/>
      </c>
      <c r="K18" s="87">
        <f>IFERROR(K15/J15-1,"")</f>
        <v/>
      </c>
      <c r="L18" s="88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115196.2</v>
      </c>
      <c r="H20" s="77" t="n">
        <v>137280.2</v>
      </c>
      <c r="I20" s="77" t="n">
        <v>160053.6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113,500 — 117,452</t>
        </is>
      </c>
      <c r="H21" s="82" t="inlineStr">
        <is>
          <t>133,044 — 144,550</t>
        </is>
      </c>
      <c r="I21" s="82" t="inlineStr">
        <is>
          <t>159,741 — 160,366</t>
        </is>
      </c>
      <c r="J21" s="82" t="inlineStr">
        <is>
          <t>177,938 — 192,889</t>
        </is>
      </c>
      <c r="K21" s="82" t="inlineStr">
        <is>
          <t>204,012 — 221,154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6">
        <f>IFERROR(B20/B15,"")</f>
        <v/>
      </c>
      <c r="C22" s="86">
        <f>IFERROR(C20/C15,"")</f>
        <v/>
      </c>
      <c r="D22" s="86">
        <f>IFERROR(D20/D15,"")</f>
        <v/>
      </c>
      <c r="E22" s="86">
        <f>IFERROR(E20/E15,"")</f>
        <v/>
      </c>
      <c r="F22" s="86">
        <f>IFERROR(F20/F15,"")</f>
        <v/>
      </c>
      <c r="G22" s="87">
        <f>IFERROR(G20/G15,"")</f>
        <v/>
      </c>
      <c r="H22" s="87">
        <f>IFERROR(H20/H15,"")</f>
        <v/>
      </c>
      <c r="I22" s="87">
        <f>IFERROR(I20/I15,"")</f>
        <v/>
      </c>
      <c r="J22" s="87">
        <f>IFERROR(J20/J15,"")</f>
        <v/>
      </c>
      <c r="K22" s="87">
        <f>IFERROR(K20/K15,"")</f>
        <v/>
      </c>
      <c r="L22" s="88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89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0">
        <f>-G15*G9</f>
        <v/>
      </c>
      <c r="H25" s="90">
        <f>-H15*H9</f>
        <v/>
      </c>
      <c r="I25" s="90">
        <f>-I15*I9</f>
        <v/>
      </c>
      <c r="J25" s="90">
        <f>-J15*J9</f>
        <v/>
      </c>
      <c r="K25" s="90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1">
        <f>B20+B25</f>
        <v/>
      </c>
      <c r="C26" s="91">
        <f>C20+C25</f>
        <v/>
      </c>
      <c r="D26" s="91">
        <f>D20+D25</f>
        <v/>
      </c>
      <c r="E26" s="91">
        <f>E20+E25</f>
        <v/>
      </c>
      <c r="F26" s="91">
        <f>F20+F25</f>
        <v/>
      </c>
      <c r="G26" s="92">
        <f>G20+G25</f>
        <v/>
      </c>
      <c r="H26" s="92">
        <f>H20+H25</f>
        <v/>
      </c>
      <c r="I26" s="92">
        <f>I20+I25</f>
        <v/>
      </c>
      <c r="J26" s="92">
        <f>J20+J25</f>
        <v/>
      </c>
      <c r="K26" s="92">
        <f>K20+K25</f>
        <v/>
      </c>
      <c r="L26" s="92">
        <f>L20+L25</f>
        <v/>
      </c>
      <c r="M26" s="80">
        <f> EBITDA + D&amp;A  (GAAP operating income, EBIT)</f>
        <v/>
      </c>
    </row>
    <row r="27" ht="20" customHeight="1">
      <c r="A27" s="89" t="inlineStr">
        <is>
          <t xml:space="preserve">  Less: Tax on EBIT  (unlevered)</t>
        </is>
      </c>
      <c r="B27" s="93">
        <f>-B26*B12</f>
        <v/>
      </c>
      <c r="C27" s="93">
        <f>-C26*C12</f>
        <v/>
      </c>
      <c r="D27" s="93">
        <f>-D26*D12</f>
        <v/>
      </c>
      <c r="E27" s="93">
        <f>-E26*E12</f>
        <v/>
      </c>
      <c r="F27" s="93">
        <f>-F26*F12</f>
        <v/>
      </c>
      <c r="G27" s="94">
        <f>-G26*G12</f>
        <v/>
      </c>
      <c r="H27" s="94">
        <f>-H26*H12</f>
        <v/>
      </c>
      <c r="I27" s="94">
        <f>-I26*I12</f>
        <v/>
      </c>
      <c r="J27" s="94">
        <f>-J26*J12</f>
        <v/>
      </c>
      <c r="K27" s="94">
        <f>-K26*K12</f>
        <v/>
      </c>
      <c r="L27" s="94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1">
        <f>B26+B27</f>
        <v/>
      </c>
      <c r="C28" s="91">
        <f>C26+C27</f>
        <v/>
      </c>
      <c r="D28" s="91">
        <f>D26+D27</f>
        <v/>
      </c>
      <c r="E28" s="91">
        <f>E26+E27</f>
        <v/>
      </c>
      <c r="F28" s="91">
        <f>F26+F27</f>
        <v/>
      </c>
      <c r="G28" s="95">
        <f>G26+G27</f>
        <v/>
      </c>
      <c r="H28" s="95">
        <f>H26+H27</f>
        <v/>
      </c>
      <c r="I28" s="95">
        <f>I26+I27</f>
        <v/>
      </c>
      <c r="J28" s="95">
        <f>J26+J27</f>
        <v/>
      </c>
      <c r="K28" s="95">
        <f>K26+K27</f>
        <v/>
      </c>
      <c r="L28" s="95">
        <f>L26+L27</f>
        <v/>
      </c>
      <c r="M28" s="80">
        <f> EBIT × (1 − tax rate)</f>
        <v/>
      </c>
    </row>
    <row r="29" ht="20" customHeight="1">
      <c r="A29" s="89" t="inlineStr">
        <is>
          <t xml:space="preserve">  (+) D&amp;A add-back  (non-cash)</t>
        </is>
      </c>
      <c r="B29" s="93">
        <f>-B25</f>
        <v/>
      </c>
      <c r="C29" s="93">
        <f>-C25</f>
        <v/>
      </c>
      <c r="D29" s="93">
        <f>-D25</f>
        <v/>
      </c>
      <c r="E29" s="93">
        <f>-E25</f>
        <v/>
      </c>
      <c r="F29" s="93">
        <f>-F25</f>
        <v/>
      </c>
      <c r="G29" s="94">
        <f>-G25</f>
        <v/>
      </c>
      <c r="H29" s="94">
        <f>-H25</f>
        <v/>
      </c>
      <c r="I29" s="94">
        <f>-I25</f>
        <v/>
      </c>
      <c r="J29" s="94">
        <f>-J25</f>
        <v/>
      </c>
      <c r="K29" s="94">
        <f>-K25</f>
        <v/>
      </c>
      <c r="L29" s="94">
        <f>-L25</f>
        <v/>
      </c>
      <c r="M29" s="80">
        <f> D&amp;A added back (non-cash charge — converts NOPAT to cash basis)</f>
        <v/>
      </c>
    </row>
    <row r="30" ht="20" customHeight="1">
      <c r="A30" s="89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4">
        <f>-G15*G10</f>
        <v/>
      </c>
      <c r="H30" s="94">
        <f>-H15*H10</f>
        <v/>
      </c>
      <c r="I30" s="94">
        <f>-I15*I10</f>
        <v/>
      </c>
      <c r="J30" s="94">
        <f>-J15*J10</f>
        <v/>
      </c>
      <c r="K30" s="94">
        <f>-K15*K10</f>
        <v/>
      </c>
      <c r="L30" s="94">
        <f>-L15*L10</f>
        <v/>
      </c>
      <c r="M30" s="80">
        <f> Revenue × CapEx % assumption  (negative = cash outflow)</f>
        <v/>
      </c>
    </row>
    <row r="31" ht="20" customHeight="1">
      <c r="A31" s="89" t="inlineStr">
        <is>
          <t xml:space="preserve">  (−) Increase in Net Working Capital</t>
        </is>
      </c>
      <c r="B31" s="93" t="n"/>
      <c r="C31" s="93">
        <f>-(('Balance Sheet'!C9-'Balance Sheet'!C21)-('Balance Sheet'!B9-'Balance Sheet'!B21))</f>
        <v/>
      </c>
      <c r="D31" s="93">
        <f>-(('Balance Sheet'!D9-'Balance Sheet'!D21)-('Balance Sheet'!C9-'Balance Sheet'!C21))</f>
        <v/>
      </c>
      <c r="E31" s="93">
        <f>-(('Balance Sheet'!E9-'Balance Sheet'!E21)-('Balance Sheet'!D9-'Balance Sheet'!D21))</f>
        <v/>
      </c>
      <c r="F31" s="93">
        <f>-(('Balance Sheet'!F9-'Balance Sheet'!F21)-('Balance Sheet'!E9-'Balance Sheet'!E21))</f>
        <v/>
      </c>
      <c r="G31" s="94">
        <f>-G15*G11</f>
        <v/>
      </c>
      <c r="H31" s="94">
        <f>-H15*H11</f>
        <v/>
      </c>
      <c r="I31" s="94">
        <f>-I15*I11</f>
        <v/>
      </c>
      <c r="J31" s="94">
        <f>-J15*J11</f>
        <v/>
      </c>
      <c r="K31" s="94">
        <f>-K15*K11</f>
        <v/>
      </c>
      <c r="L31" s="94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1">
        <f>B28+B29+B30+B31</f>
        <v/>
      </c>
      <c r="C32" s="91">
        <f>C28+C29+C30+C31</f>
        <v/>
      </c>
      <c r="D32" s="91">
        <f>D28+D29+D30+D31</f>
        <v/>
      </c>
      <c r="E32" s="91">
        <f>E28+E29+E30+E31</f>
        <v/>
      </c>
      <c r="F32" s="91">
        <f>F28+F29+F30+F31</f>
        <v/>
      </c>
      <c r="G32" s="95">
        <f>G28+G29+G30+G31</f>
        <v/>
      </c>
      <c r="H32" s="95">
        <f>H28+H29+H30+H31</f>
        <v/>
      </c>
      <c r="I32" s="95">
        <f>I28+I29+I30+I31</f>
        <v/>
      </c>
      <c r="J32" s="95">
        <f>J28+J29+J30+J31</f>
        <v/>
      </c>
      <c r="K32" s="95">
        <f>K28+K29+K30+K31</f>
        <v/>
      </c>
      <c r="L32" s="95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6">
        <f>B32/B15</f>
        <v/>
      </c>
      <c r="C33" s="86">
        <f>C32/C15</f>
        <v/>
      </c>
      <c r="D33" s="86">
        <f>D32/D15</f>
        <v/>
      </c>
      <c r="E33" s="86">
        <f>E32/E15</f>
        <v/>
      </c>
      <c r="F33" s="86">
        <f>F32/F15</f>
        <v/>
      </c>
      <c r="G33" s="96">
        <f>IFERROR(G32/G15,"")</f>
        <v/>
      </c>
      <c r="H33" s="96">
        <f>IFERROR(H32/H15,"")</f>
        <v/>
      </c>
      <c r="I33" s="96">
        <f>IFERROR(I32/I15,"")</f>
        <v/>
      </c>
      <c r="J33" s="96">
        <f>IFERROR(J32/J15,"")</f>
        <v/>
      </c>
      <c r="K33" s="96">
        <f>IFERROR(K32/K15,"")</f>
        <v/>
      </c>
      <c r="L33" s="96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7">
        <f>WACC!B45</f>
        <v/>
      </c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8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99" t="n">
        <v>0.04</v>
      </c>
      <c r="C37" s="98" t="n"/>
      <c r="D37" s="98" t="n"/>
      <c r="E37" s="98" t="n"/>
      <c r="F37" s="98" t="n"/>
      <c r="G37" s="98" t="n"/>
      <c r="H37" s="98" t="n"/>
      <c r="I37" s="98" t="n"/>
      <c r="J37" s="98" t="n"/>
      <c r="K37" s="98" t="n"/>
      <c r="L37" s="98" t="n"/>
      <c r="M37" s="74" t="inlineStr">
        <is>
          <t>Growth tier: HIGH (19.9% 3yr avg rev growth).  Bear 3.00% / Base 4.0% / Bull 5.00%.  Keep below WACC.</t>
        </is>
      </c>
    </row>
    <row r="38" ht="20" customHeight="1">
      <c r="A38" s="68" t="inlineStr">
        <is>
          <t>Terminal EV/EBITDA Multiple  (exit multiple method)</t>
        </is>
      </c>
      <c r="B38" s="100" t="n">
        <v>18</v>
      </c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74" t="inlineStr">
        <is>
          <t>Growth tier: HIGH (19.9% 3yr avg rev growth).  Bear 14x / Base 18x / Bull 22x.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1" t="inlineStr">
        <is>
          <t>Terminal Year UFCF  (grown by g)</t>
        </is>
      </c>
      <c r="B40" s="102">
        <f>L32</f>
        <v/>
      </c>
      <c r="C40" s="103" t="n"/>
      <c r="D40" s="103" t="n"/>
      <c r="E40" s="103" t="n"/>
      <c r="F40" s="103" t="n"/>
      <c r="G40" s="103" t="n"/>
      <c r="H40" s="103" t="n"/>
      <c r="I40" s="103" t="n"/>
      <c r="J40" s="103" t="n"/>
      <c r="K40" s="103" t="n"/>
      <c r="L40" s="103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5">
        <f>B40/(B36-B37)</f>
        <v/>
      </c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5">
        <f>L20*B38</f>
        <v/>
      </c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1" t="inlineStr">
        <is>
          <t>Discount Period  (mid-year convention)</t>
        </is>
      </c>
      <c r="G45" s="105" t="n">
        <v>0.5</v>
      </c>
      <c r="H45" s="105" t="n">
        <v>1.5</v>
      </c>
      <c r="I45" s="105" t="n">
        <v>2.5</v>
      </c>
      <c r="J45" s="105" t="n">
        <v>3.5</v>
      </c>
      <c r="K45" s="105" t="n">
        <v>4.5</v>
      </c>
      <c r="L45" s="106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1" t="inlineStr">
        <is>
          <t>Discount Factor  =  1 / (1 + WACC) ^ period</t>
        </is>
      </c>
      <c r="G46" s="107">
        <f>1/(1+B36)^G45</f>
        <v/>
      </c>
      <c r="H46" s="107">
        <f>1/(1+B36)^H45</f>
        <v/>
      </c>
      <c r="I46" s="107">
        <f>1/(1+B36)^I45</f>
        <v/>
      </c>
      <c r="J46" s="107">
        <f>1/(1+B36)^J45</f>
        <v/>
      </c>
      <c r="K46" s="107">
        <f>1/(1+B36)^K45</f>
        <v/>
      </c>
      <c r="L46" s="108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5">
        <f>G32*G46</f>
        <v/>
      </c>
      <c r="H47" s="95">
        <f>H32*H46</f>
        <v/>
      </c>
      <c r="I47" s="95">
        <f>I32*I46</f>
        <v/>
      </c>
      <c r="J47" s="95">
        <f>J32*J46</f>
        <v/>
      </c>
      <c r="K47" s="95">
        <f>K32*K46</f>
        <v/>
      </c>
      <c r="L47" s="104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2">
        <f>G47+H47+I47+J47+K47</f>
        <v/>
      </c>
      <c r="C48" s="109" t="n"/>
      <c r="D48" s="109" t="n"/>
      <c r="E48" s="109" t="n"/>
      <c r="F48" s="109" t="n"/>
      <c r="G48" s="109" t="n"/>
      <c r="H48" s="109" t="n"/>
      <c r="I48" s="109" t="n"/>
      <c r="J48" s="109" t="n"/>
      <c r="K48" s="109" t="n"/>
      <c r="L48" s="109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2">
        <f>B41*L46</f>
        <v/>
      </c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2">
        <f>B42*L46</f>
        <v/>
      </c>
      <c r="C50" s="109" t="n"/>
      <c r="D50" s="109" t="n"/>
      <c r="E50" s="109" t="n"/>
      <c r="F50" s="109" t="n"/>
      <c r="G50" s="109" t="n"/>
      <c r="H50" s="109" t="n"/>
      <c r="I50" s="109" t="n"/>
      <c r="J50" s="109" t="n"/>
      <c r="K50" s="109" t="n"/>
      <c r="L50" s="109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5">
        <f>B48+B49</f>
        <v/>
      </c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</row>
    <row r="54">
      <c r="A54" s="75" t="inlineStr">
        <is>
          <t>Enterprise Value  [Exit Multiple]</t>
        </is>
      </c>
      <c r="B54" s="95">
        <f>B48+B50</f>
        <v/>
      </c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</row>
    <row r="55" ht="20" customHeight="1">
      <c r="A55" s="89" t="inlineStr">
        <is>
          <t xml:space="preserve">  Less: Net Debt  (Debt − Cash)</t>
        </is>
      </c>
      <c r="B55" s="102">
        <f>'Balance Sheet'!F81</f>
        <v/>
      </c>
      <c r="C55" s="103" t="n"/>
      <c r="D55" s="103" t="n"/>
      <c r="E55" s="103" t="n"/>
      <c r="F55" s="103" t="n"/>
      <c r="G55" s="103" t="n"/>
      <c r="H55" s="103" t="n"/>
      <c r="I55" s="103" t="n"/>
      <c r="J55" s="103" t="n"/>
      <c r="K55" s="103" t="n"/>
      <c r="L55" s="103" t="n"/>
      <c r="M55" s="80" t="inlineStr">
        <is>
          <t>Linked from Balance Sheet: Total Debt (ST+LT) − Cash &amp; Equivalents  (negative = net cash)</t>
        </is>
      </c>
    </row>
    <row r="56" ht="20" customHeight="1">
      <c r="A56" s="89" t="inlineStr">
        <is>
          <t xml:space="preserve">  Less: Minority Interest</t>
        </is>
      </c>
      <c r="B56" s="102" t="n">
        <v>0</v>
      </c>
      <c r="C56" s="103" t="n"/>
      <c r="D56" s="103" t="n"/>
      <c r="E56" s="103" t="n"/>
      <c r="F56" s="103" t="n"/>
      <c r="G56" s="103" t="n"/>
      <c r="H56" s="103" t="n"/>
      <c r="I56" s="103" t="n"/>
      <c r="J56" s="103" t="n"/>
      <c r="K56" s="103" t="n"/>
      <c r="L56" s="103" t="n"/>
      <c r="M56" s="80" t="inlineStr">
        <is>
          <t>Auto-linked from Balance Sheet: minorityInterest</t>
        </is>
      </c>
    </row>
    <row r="57" ht="20" customHeight="1">
      <c r="A57" s="89" t="inlineStr">
        <is>
          <t xml:space="preserve">  Shares Outstanding — Diluted  (mm)</t>
        </is>
      </c>
      <c r="B57" s="102" t="n">
        <v>2574</v>
      </c>
      <c r="C57" s="103" t="n"/>
      <c r="D57" s="103" t="n"/>
      <c r="E57" s="103" t="n"/>
      <c r="F57" s="103" t="n"/>
      <c r="G57" s="103" t="n"/>
      <c r="H57" s="103" t="n"/>
      <c r="I57" s="103" t="n"/>
      <c r="J57" s="103" t="n"/>
      <c r="K57" s="103" t="n"/>
      <c r="L57" s="103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0">
        <f>IFERROR((B53-B55-B56)/B57,"")</f>
        <v/>
      </c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</row>
    <row r="60">
      <c r="A60" s="75" t="inlineStr">
        <is>
          <t>Implied Share Price  [Exit Multiple]  ($)</t>
        </is>
      </c>
      <c r="B60" s="110">
        <f>IFERROR((B54-B55-B56)/B57,"")</f>
        <v/>
      </c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</row>
    <row r="61" ht="20" customHeight="1">
      <c r="A61" s="101" t="inlineStr">
        <is>
          <t>Current Market Price  ($)</t>
        </is>
      </c>
      <c r="B61" s="111" t="n">
        <v>610.26</v>
      </c>
      <c r="C61" s="103" t="n"/>
      <c r="D61" s="103" t="n"/>
      <c r="E61" s="103" t="n"/>
      <c r="F61" s="103" t="n"/>
      <c r="G61" s="103" t="n"/>
      <c r="H61" s="103" t="n"/>
      <c r="I61" s="103" t="n"/>
      <c r="J61" s="103" t="n"/>
      <c r="K61" s="103" t="n"/>
      <c r="L61" s="103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2">
        <f>IFERROR(B59/B61-1,"")</f>
        <v/>
      </c>
      <c r="C62" s="109" t="n"/>
      <c r="D62" s="109" t="n"/>
      <c r="E62" s="109" t="n"/>
      <c r="F62" s="109" t="n"/>
      <c r="G62" s="109" t="n"/>
      <c r="H62" s="109" t="n"/>
      <c r="I62" s="109" t="n"/>
      <c r="J62" s="109" t="n"/>
      <c r="K62" s="109" t="n"/>
      <c r="L62" s="109" t="n"/>
      <c r="M62" s="109" t="n"/>
    </row>
    <row r="63">
      <c r="A63" s="63" t="inlineStr">
        <is>
          <t>Upside / (Downside)  [Exit Multiple]</t>
        </is>
      </c>
      <c r="B63" s="112">
        <f>IFERROR(B60/B61-1,"")</f>
        <v/>
      </c>
      <c r="C63" s="109" t="n"/>
      <c r="D63" s="109" t="n"/>
      <c r="E63" s="109" t="n"/>
      <c r="F63" s="109" t="n"/>
      <c r="G63" s="109" t="n"/>
      <c r="H63" s="109" t="n"/>
      <c r="I63" s="109" t="n"/>
      <c r="J63" s="109" t="n"/>
      <c r="K63" s="109" t="n"/>
      <c r="L63" s="109" t="n"/>
      <c r="M63" s="109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3" t="inlineStr">
        <is>
          <t>JS SCORECARD — META  |  Master Prompt v2  |  27 May 2026  |  Sector bucket: Tech Growth</t>
        </is>
      </c>
    </row>
    <row r="2" ht="18" customHeight="1">
      <c r="A2" s="114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5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6" t="inlineStr">
        <is>
          <t>CRITERION</t>
        </is>
      </c>
      <c r="B6" s="117" t="inlineStr">
        <is>
          <t>PART</t>
        </is>
      </c>
      <c r="C6" s="117" t="inlineStr">
        <is>
          <t>WEIGHT %</t>
        </is>
      </c>
      <c r="D6" s="117" t="inlineStr">
        <is>
          <t>CALCULATED VALUE</t>
        </is>
      </c>
      <c r="E6" s="117" t="inlineStr">
        <is>
          <t>TIER  ▼</t>
        </is>
      </c>
      <c r="F6" s="117" t="inlineStr">
        <is>
          <t>SCORE</t>
        </is>
      </c>
      <c r="G6" s="117" t="inlineStr">
        <is>
          <t>WTD SCORE</t>
        </is>
      </c>
      <c r="H6" s="116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8" t="inlineStr">
        <is>
          <t xml:space="preserve">  Business Clarity</t>
        </is>
      </c>
      <c r="B8" s="119" t="inlineStr">
        <is>
          <t>P1</t>
        </is>
      </c>
      <c r="C8" s="120" t="n">
        <v>0.025</v>
      </c>
      <c r="D8" s="121" t="inlineStr">
        <is>
          <t>— user input required</t>
        </is>
      </c>
      <c r="E8" s="122" t="n"/>
      <c r="F8" s="123">
        <f>IF(E8="HIGH",10,IF(E8="MOD-HIGH",7,IF(E8="MOD-LOW",3,IF(E8="LOW",0,""))))</f>
        <v/>
      </c>
      <c r="G8" s="124">
        <f>IF(F8="",0,C8*F8*10)</f>
        <v/>
      </c>
      <c r="H8" s="125" t="inlineStr"/>
    </row>
    <row r="9" ht="18" customHeight="1">
      <c r="A9" s="126" t="inlineStr">
        <is>
          <t xml:space="preserve">  Moat Profile</t>
        </is>
      </c>
      <c r="B9" s="127" t="inlineStr">
        <is>
          <t>P1</t>
        </is>
      </c>
      <c r="C9" s="128" t="n">
        <v>0.1</v>
      </c>
      <c r="D9" s="129" t="inlineStr">
        <is>
          <t>GM 82.0% ✓ (&gt;40%)  |  GM trend +3.7% ✓ (&gt;+1pp)  |  ROIC-WACC +14.9% ✓ (&gt;+5pp)  |  Rev consistency σ=9.5% ✗ (&lt;8%)  [3/4 indicators positive — proxy score]</t>
        </is>
      </c>
      <c r="E9" s="130" t="inlineStr">
        <is>
          <t>MOD-HIGH</t>
        </is>
      </c>
      <c r="F9" s="131" t="n">
        <v>7.5</v>
      </c>
      <c r="G9" s="132">
        <f>IF(F9="",0,C9*F9*10)</f>
        <v/>
      </c>
      <c r="H9" s="133" t="inlineStr">
        <is>
          <t>GM 82.0% ✓ (&gt;40%)  |  GM trend +3.7% ✓ (&gt;+1pp)  |  ROIC-WACC +14.9% ✓ (&gt;+5pp)  |  Rev consistency σ=9.5% ✗ (&lt;8%)  [3/4 indicators positive — proxy score]</t>
        </is>
      </c>
    </row>
    <row r="10" ht="18" customHeight="1">
      <c r="A10" s="118" t="inlineStr">
        <is>
          <t xml:space="preserve">  Long-Term Potential</t>
        </is>
      </c>
      <c r="B10" s="119" t="inlineStr">
        <is>
          <t>P1</t>
        </is>
      </c>
      <c r="C10" s="120" t="n">
        <v>0.1</v>
      </c>
      <c r="D10" s="121" t="inlineStr">
        <is>
          <t>— user input required</t>
        </is>
      </c>
      <c r="E10" s="122" t="n"/>
      <c r="F10" s="123">
        <f>IF(E10="HIGH",10,IF(E10="MOD-HIGH",7,IF(E10="MOD-LOW",3,IF(E10="LOW",0,""))))</f>
        <v/>
      </c>
      <c r="G10" s="124">
        <f>IF(F10="",0,C10*F10*10)</f>
        <v/>
      </c>
      <c r="H10" s="125" t="inlineStr"/>
    </row>
    <row r="11" ht="18" customHeight="1">
      <c r="A11" s="126" t="inlineStr">
        <is>
          <t xml:space="preserve">  Management</t>
        </is>
      </c>
      <c r="B11" s="127" t="inlineStr">
        <is>
          <t>P1</t>
        </is>
      </c>
      <c r="C11" s="128" t="n">
        <v>0.075</v>
      </c>
      <c r="D11" s="129" t="inlineStr">
        <is>
          <t>ROIC trend +5.1% ✓ (&gt;=-2pp)  |  GM maintained +3.7% ✓  |  Op margin +16.6% ✓ (≥-2pp)  |  Capital returns MOD-LOW ✗  |  Share count -2.7%/yr ✓ (net buyback)  |  Goodwill/Equity 11% ✓ (&lt;40%)  [5/6 indicators positive — proxy score]</t>
        </is>
      </c>
      <c r="E11" s="130" t="inlineStr">
        <is>
          <t>MOD-HIGH</t>
        </is>
      </c>
      <c r="F11" s="131" t="n">
        <v>8.33</v>
      </c>
      <c r="G11" s="132">
        <f>IF(F11="",0,C11*F11*10)</f>
        <v/>
      </c>
      <c r="H11" s="133" t="inlineStr">
        <is>
          <t>ROIC trend +5.1% ✓ (&gt;=-2pp)  |  GM maintained +3.7% ✓  |  Op margin +16.6% ✓ (≥-2pp)  |  Capital returns MOD-LOW ✗  |  Share count -2.7%/yr ✓ (net buyback)  |  Goodwill/Equity 11% ✓ (&lt;40%)  [5/6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6" t="inlineStr">
        <is>
          <t xml:space="preserve">  Revenue 3yr CAGR</t>
        </is>
      </c>
      <c r="B13" s="127" t="inlineStr">
        <is>
          <t>P2</t>
        </is>
      </c>
      <c r="C13" s="128" t="n">
        <v>0.1</v>
      </c>
      <c r="D13" s="129" t="inlineStr">
        <is>
          <t>19.9%</t>
        </is>
      </c>
      <c r="E13" s="134" t="inlineStr">
        <is>
          <t>HIGH</t>
        </is>
      </c>
      <c r="F13" s="131" t="n">
        <v>10</v>
      </c>
      <c r="G13" s="132">
        <f>IF(F13="",0,C13*F13*10)</f>
        <v/>
      </c>
      <c r="H13" s="133" t="inlineStr">
        <is>
          <t>19.9%</t>
        </is>
      </c>
    </row>
    <row r="14" ht="18" customHeight="1">
      <c r="A14" s="126" t="inlineStr">
        <is>
          <t xml:space="preserve">  Cash Quality  (FCF / Net Income)</t>
        </is>
      </c>
      <c r="B14" s="127" t="inlineStr">
        <is>
          <t>P2</t>
        </is>
      </c>
      <c r="C14" s="128" t="n">
        <v>0.1</v>
      </c>
      <c r="D14" s="129" t="inlineStr">
        <is>
          <t>79%  [through-cycle: 70/30 latest+5yr median, latest 76.3% → smoothed 79.4%]</t>
        </is>
      </c>
      <c r="E14" s="130" t="inlineStr">
        <is>
          <t>MOD-HIGH</t>
        </is>
      </c>
      <c r="F14" s="131" t="n">
        <v>9.91</v>
      </c>
      <c r="G14" s="132">
        <f>IF(F14="",0,C14*F14*10)</f>
        <v/>
      </c>
      <c r="H14" s="133" t="inlineStr">
        <is>
          <t>79%  [through-cycle: 70/30 latest+5yr median, latest 76.3% → smoothed 79.4%]</t>
        </is>
      </c>
    </row>
    <row r="15" ht="18" customHeight="1">
      <c r="A15" s="126" t="inlineStr">
        <is>
          <t xml:space="preserve">  Capital Returns</t>
        </is>
      </c>
      <c r="B15" s="127" t="inlineStr">
        <is>
          <t>P2</t>
        </is>
      </c>
      <c r="C15" s="128" t="n">
        <v>0.05</v>
      </c>
      <c r="D15" s="129" t="inlineStr">
        <is>
          <t>$26,248mm latest FY — debt-funded  [payout 57% of FCF]</t>
        </is>
      </c>
      <c r="E15" s="135" t="inlineStr">
        <is>
          <t>MOD-LOW</t>
        </is>
      </c>
      <c r="F15" s="131" t="n">
        <v>3</v>
      </c>
      <c r="G15" s="132">
        <f>IF(F15="",0,C15*F15*10)</f>
        <v/>
      </c>
      <c r="H15" s="133" t="inlineStr">
        <is>
          <t>$26,248mm latest FY — debt-funded  [payout 57% of FCF]</t>
        </is>
      </c>
    </row>
    <row r="16" ht="18" customHeight="1">
      <c r="A16" s="126" t="inlineStr">
        <is>
          <t xml:space="preserve">  ROIC</t>
        </is>
      </c>
      <c r="B16" s="127" t="inlineStr">
        <is>
          <t>P2</t>
        </is>
      </c>
      <c r="C16" s="128" t="n">
        <v>0.075</v>
      </c>
      <c r="D16" s="129" t="inlineStr">
        <is>
          <t>26.0%  [through-cycle: 70/30 latest+5yr median, latest 24.4% → smoothed 26.0%]</t>
        </is>
      </c>
      <c r="E16" s="134" t="inlineStr">
        <is>
          <t>HIGH</t>
        </is>
      </c>
      <c r="F16" s="131" t="n">
        <v>10</v>
      </c>
      <c r="G16" s="132">
        <f>IF(F16="",0,C16*F16*10)</f>
        <v/>
      </c>
      <c r="H16" s="133" t="inlineStr">
        <is>
          <t>26.0%  [through-cycle: 70/30 latest+5yr median, latest 24.4% → smoothed 26.0%]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6" t="inlineStr">
        <is>
          <t xml:space="preserve">  Credit Risk  (D / EBITDA)</t>
        </is>
      </c>
      <c r="B18" s="127" t="inlineStr">
        <is>
          <t>P3</t>
        </is>
      </c>
      <c r="C18" s="128" t="n">
        <v>0.05</v>
      </c>
      <c r="D18" s="129" t="inlineStr">
        <is>
          <t>0.5x  [through-cycle: 70/30 latest+5yr median, latest 0.6x → smoothed 0.5x]</t>
        </is>
      </c>
      <c r="E18" s="134" t="inlineStr">
        <is>
          <t>HIGH</t>
        </is>
      </c>
      <c r="F18" s="131" t="n">
        <v>10</v>
      </c>
      <c r="G18" s="132">
        <f>IF(F18="",0,C18*F18*10)</f>
        <v/>
      </c>
      <c r="H18" s="133" t="inlineStr">
        <is>
          <t>0.5x  [through-cycle: 70/30 latest+5yr median, latest 0.6x → smoothed 0.5x]</t>
        </is>
      </c>
    </row>
    <row r="19" ht="18" customHeight="1">
      <c r="A19" s="126" t="inlineStr">
        <is>
          <t xml:space="preserve">  Interest Cover  (EBIT / Interest)</t>
        </is>
      </c>
      <c r="B19" s="127" t="inlineStr">
        <is>
          <t>P3</t>
        </is>
      </c>
      <c r="C19" s="128" t="n">
        <v>0.075</v>
      </c>
      <c r="D19" s="129" t="inlineStr">
        <is>
          <t>No interest expense — debt-free</t>
        </is>
      </c>
      <c r="E19" s="134" t="inlineStr">
        <is>
          <t>HIGH</t>
        </is>
      </c>
      <c r="F19" s="131" t="n">
        <v>10</v>
      </c>
      <c r="G19" s="132">
        <f>IF(F19="",0,C19*F19*10)</f>
        <v/>
      </c>
      <c r="H19" s="133" t="inlineStr">
        <is>
          <t>No interest expense — debt-free</t>
        </is>
      </c>
    </row>
    <row r="20" ht="18" customHeight="1">
      <c r="A20" s="126" t="inlineStr">
        <is>
          <t xml:space="preserve">  Execution Risk</t>
        </is>
      </c>
      <c r="B20" s="127" t="inlineStr">
        <is>
          <t>P3</t>
        </is>
      </c>
      <c r="C20" s="128" t="n">
        <v>0.05</v>
      </c>
      <c r="D20" s="129" t="inlineStr">
        <is>
          <t>Rev growth σ=9.5%  |  OM trend +1.8%, σ=6.4%  [quality = direction + stability]</t>
        </is>
      </c>
      <c r="E20" s="135" t="inlineStr">
        <is>
          <t>MOD-LOW</t>
        </is>
      </c>
      <c r="F20" s="131" t="n">
        <v>3.33</v>
      </c>
      <c r="G20" s="132">
        <f>IF(F20="",0,C20*F20*10)</f>
        <v/>
      </c>
      <c r="H20" s="133" t="inlineStr">
        <is>
          <t>Rev growth σ=9.5%  |  OM trend +1.8%, σ=6.4%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6" t="inlineStr">
        <is>
          <t xml:space="preserve">  Valuation vs Median  (P/E)</t>
        </is>
      </c>
      <c r="B22" s="127" t="inlineStr">
        <is>
          <t>P4</t>
        </is>
      </c>
      <c r="C22" s="128" t="n">
        <v>0.1</v>
      </c>
      <c r="D22" s="129" t="inlineStr">
        <is>
          <t>Fwd P/E 18.6x (scoring basis)  |  5yr avg 23.5x  |  DCF-implied 20.5x [ref only — not used as benchmark]  [-21% vs benchmark]  [trail=10.00 | fwd_pe=18.6x→10.00 | abs=10.0 → blended 40/40/20=10.00]  PEG=50.39 (fwd_pe=18.6x / eps_growth=37%)  [revision:Strong upgrade cycle→+0.50]</t>
        </is>
      </c>
      <c r="E22" s="134" t="inlineStr">
        <is>
          <t>HIGH</t>
        </is>
      </c>
      <c r="F22" s="131" t="n">
        <v>10.5</v>
      </c>
      <c r="G22" s="132">
        <f>IF(F22="",0,C22*F22*10)</f>
        <v/>
      </c>
      <c r="H22" s="133" t="inlineStr">
        <is>
          <t>Fwd P/E 18.6x (scoring basis)  |  5yr avg 23.5x  |  DCF-implied 20.5x [ref only — not used as benchmark]  [-21% vs benchmark]  [trail=10.00 | fwd_pe=18.6x→10.00 | abs=10.0 → blended 40/40/20=10.00]  PEG=50.39 (fwd_pe=18.6x / eps_growth=37%)  [revision:Strong upgrade cycle→+0.50]</t>
        </is>
      </c>
    </row>
    <row r="23" ht="18" customHeight="1">
      <c r="A23" s="126" t="inlineStr">
        <is>
          <t xml:space="preserve">  Valuation vs Median  (P/FCF)</t>
        </is>
      </c>
      <c r="B23" s="127" t="inlineStr">
        <is>
          <t>P4</t>
        </is>
      </c>
      <c r="C23" s="128" t="n">
        <v>0.1</v>
      </c>
      <c r="D23" s="129" t="inlineStr">
        <is>
          <t>Current 36.1x  |  5yr avg 27.3x  |  DCF-implied 26.8x [ref only — not used as benchmark]  [+32% vs benchmark]  [trail=2.13 | fwd_pfcf=26.5x→7.44 | abs=4.0 → blended 40/40/20=4.63]  [fcf_yield=2.8% vs rf=4.6%  spread=-1.8%→modifier=-0.25]</t>
        </is>
      </c>
      <c r="E23" s="136" t="inlineStr">
        <is>
          <t>LOW</t>
        </is>
      </c>
      <c r="F23" s="131" t="n">
        <v>4.38</v>
      </c>
      <c r="G23" s="132">
        <f>IF(F23="",0,C23*F23*10)</f>
        <v/>
      </c>
      <c r="H23" s="133" t="inlineStr">
        <is>
          <t>Current 36.1x  |  5yr avg 27.3x  |  DCF-implied 26.8x [ref only — not used as benchmark]  [+32% vs benchmark]  [trail=2.13 | fwd_pfcf=26.5x→7.44 | abs=4.0 → blended 40/40/20=4.63]  [fcf_yield=2.8% vs rf=4.6%  spread=-1.8%→modifier=-0.25]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7" t="inlineStr">
        <is>
          <t>TOTAL SCORE  (max = 100.0)</t>
        </is>
      </c>
      <c r="B25" s="138" t="n"/>
      <c r="C25" s="138" t="n"/>
      <c r="D25" s="138" t="n"/>
      <c r="E25" s="138" t="n"/>
      <c r="F25" s="138" t="n"/>
      <c r="G25" s="139">
        <f>G8+G9+G10+G11+G13+G14+G15+G16+G18+G19+G20+G22+G23</f>
        <v/>
      </c>
      <c r="H25" s="140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41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2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2026-05-27T02:22:38Z</dcterms:created>
  <dcterms:modified xmlns:dcterms="http://purl.org/dc/terms/" xmlns:xsi="http://www.w3.org/2001/XMLSchema-instance" xsi:type="dcterms:W3CDTF">2026-05-27T02:22:48Z</dcterms:modified>
</cp:coreProperties>
</file>