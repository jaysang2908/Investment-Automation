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5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ADBE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23769</v>
      </c>
    </row>
    <row r="7">
      <c r="A7" s="4" t="inlineStr">
        <is>
          <t>Gross Profit ($mm)</t>
        </is>
      </c>
      <c r="B7" s="6" t="n">
        <v>21061</v>
      </c>
    </row>
    <row r="8">
      <c r="A8" s="4" t="inlineStr">
        <is>
          <t>EBITDA ($mm)</t>
        </is>
      </c>
      <c r="B8" s="6" t="n">
        <v>9749</v>
      </c>
    </row>
    <row r="9">
      <c r="A9" s="4" t="inlineStr">
        <is>
          <t>EBIT ($mm)</t>
        </is>
      </c>
      <c r="B9" s="6" t="n">
        <v>8706</v>
      </c>
    </row>
    <row r="10">
      <c r="A10" s="4" t="inlineStr">
        <is>
          <t>Net Income ($mm)</t>
        </is>
      </c>
      <c r="B10" s="6" t="n">
        <v>7130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15785</v>
      </c>
      <c r="C5" s="15" t="n">
        <v>17606</v>
      </c>
      <c r="D5" s="15" t="n">
        <v>19409</v>
      </c>
      <c r="E5" s="15" t="n">
        <v>21505</v>
      </c>
      <c r="F5" s="15" t="n">
        <v>23769</v>
      </c>
    </row>
    <row r="6">
      <c r="A6" s="16" t="inlineStr">
        <is>
          <t>(2)  Cost of Revenue (COGS)</t>
        </is>
      </c>
      <c r="B6" s="17" t="n">
        <v>1865</v>
      </c>
      <c r="C6" s="17" t="n">
        <v>2165</v>
      </c>
      <c r="D6" s="17" t="n">
        <v>2354</v>
      </c>
      <c r="E6" s="17" t="n">
        <v>2358</v>
      </c>
      <c r="F6" s="17" t="n">
        <v>2708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5406</v>
      </c>
      <c r="C9" s="17" t="n">
        <v>6187</v>
      </c>
      <c r="D9" s="17" t="n">
        <v>6764</v>
      </c>
      <c r="E9" s="17" t="n">
        <v>7293</v>
      </c>
      <c r="F9" s="17" t="n">
        <v>8061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8118</v>
      </c>
      <c r="C11" s="17" t="n">
        <v>9343</v>
      </c>
      <c r="D11" s="17" t="n">
        <v>10405</v>
      </c>
      <c r="E11" s="17" t="n">
        <v>12406</v>
      </c>
      <c r="F11" s="17" t="n">
        <v>12355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861</v>
      </c>
      <c r="C14" s="17" t="n">
        <v>939</v>
      </c>
      <c r="D14" s="17" t="n">
        <v>872</v>
      </c>
      <c r="E14" s="17" t="n">
        <v>857</v>
      </c>
      <c r="F14" s="17" t="n">
        <v>818</v>
      </c>
    </row>
    <row r="15">
      <c r="A15" s="18" t="inlineStr">
        <is>
          <t>(8)  EBIT (Operating Income)</t>
        </is>
      </c>
      <c r="B15" s="23" t="n">
        <v>5802</v>
      </c>
      <c r="C15" s="23" t="n">
        <v>6098</v>
      </c>
      <c r="D15" s="23" t="n">
        <v>6650</v>
      </c>
      <c r="E15" s="23" t="n">
        <v>6741</v>
      </c>
      <c r="F15" s="23" t="n">
        <v>8706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113</v>
      </c>
      <c r="C17" s="17" t="n">
        <v>112</v>
      </c>
      <c r="D17" s="17" t="n">
        <v>113</v>
      </c>
      <c r="E17" s="17" t="n">
        <v>164</v>
      </c>
      <c r="F17" s="17" t="n">
        <v>263</v>
      </c>
    </row>
    <row r="18">
      <c r="A18" s="20" t="inlineStr">
        <is>
          <t xml:space="preserve">     Interest Income</t>
        </is>
      </c>
      <c r="B18" s="17" t="n">
        <v>17</v>
      </c>
      <c r="C18" s="17" t="n">
        <v>61</v>
      </c>
      <c r="D18" s="17" t="n">
        <v>269</v>
      </c>
      <c r="E18" s="17" t="n">
        <v>341</v>
      </c>
      <c r="F18" s="17" t="n">
        <v>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5705</v>
      </c>
      <c r="C21" s="23" t="n">
        <v>6008</v>
      </c>
      <c r="D21" s="23" t="n">
        <v>6799</v>
      </c>
      <c r="E21" s="23" t="n">
        <v>6931</v>
      </c>
      <c r="F21" s="23" t="n">
        <v>8734</v>
      </c>
    </row>
    <row r="22">
      <c r="A22" s="16" t="inlineStr">
        <is>
          <t>(11) Income Tax Expense</t>
        </is>
      </c>
      <c r="B22" s="17" t="n">
        <v>883</v>
      </c>
      <c r="C22" s="17" t="n">
        <v>1252</v>
      </c>
      <c r="D22" s="17" t="n">
        <v>1371</v>
      </c>
      <c r="E22" s="17" t="n">
        <v>1371</v>
      </c>
      <c r="F22" s="17" t="n">
        <v>1604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4822</v>
      </c>
      <c r="C24" s="23" t="n">
        <v>4756</v>
      </c>
      <c r="D24" s="23" t="n">
        <v>5428</v>
      </c>
      <c r="E24" s="23" t="n">
        <v>5560</v>
      </c>
      <c r="F24" s="23" t="n">
        <v>7130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15785</v>
      </c>
      <c r="C30" s="15" t="n">
        <v>17606</v>
      </c>
      <c r="D30" s="15" t="n">
        <v>19409</v>
      </c>
      <c r="E30" s="15" t="n">
        <v>21505</v>
      </c>
      <c r="F30" s="15" t="n">
        <v>23769</v>
      </c>
    </row>
    <row r="31">
      <c r="A31" s="16" t="inlineStr">
        <is>
          <t>Cost of Revenue</t>
        </is>
      </c>
      <c r="B31" s="17" t="n">
        <v>1865</v>
      </c>
      <c r="C31" s="17" t="n">
        <v>2165</v>
      </c>
      <c r="D31" s="17" t="n">
        <v>2354</v>
      </c>
      <c r="E31" s="17" t="n">
        <v>2358</v>
      </c>
      <c r="F31" s="17" t="n">
        <v>2708</v>
      </c>
    </row>
    <row r="32">
      <c r="A32" s="25" t="inlineStr">
        <is>
          <t>Gross Profit</t>
        </is>
      </c>
      <c r="B32" s="26" t="n">
        <v>13920</v>
      </c>
      <c r="C32" s="26" t="n">
        <v>15441</v>
      </c>
      <c r="D32" s="26" t="n">
        <v>17055</v>
      </c>
      <c r="E32" s="26" t="n">
        <v>19147</v>
      </c>
      <c r="F32" s="26" t="n">
        <v>21061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2540</v>
      </c>
      <c r="C34" s="17" t="n">
        <v>2987</v>
      </c>
      <c r="D34" s="17" t="n">
        <v>3473</v>
      </c>
      <c r="E34" s="17" t="n">
        <v>3944</v>
      </c>
      <c r="F34" s="17" t="n">
        <v>4294</v>
      </c>
    </row>
    <row r="35">
      <c r="A35" s="16" t="inlineStr">
        <is>
          <t>General &amp; Administrative</t>
        </is>
      </c>
      <c r="B35" s="17" t="n">
        <v>1085</v>
      </c>
      <c r="C35" s="17" t="n">
        <v>1219</v>
      </c>
      <c r="D35" s="17" t="n">
        <v>1413</v>
      </c>
      <c r="E35" s="17" t="n">
        <v>1529</v>
      </c>
      <c r="F35" s="17" t="n">
        <v>1573</v>
      </c>
    </row>
    <row r="36">
      <c r="A36" s="16" t="inlineStr">
        <is>
          <t>Selling &amp; Marketing</t>
        </is>
      </c>
      <c r="B36" s="17" t="n">
        <v>4321</v>
      </c>
      <c r="C36" s="17" t="n">
        <v>4968</v>
      </c>
      <c r="D36" s="17" t="n">
        <v>5351</v>
      </c>
      <c r="E36" s="17" t="n">
        <v>5764</v>
      </c>
      <c r="F36" s="17" t="n">
        <v>6488</v>
      </c>
    </row>
    <row r="37">
      <c r="A37" s="16" t="inlineStr">
        <is>
          <t>SG&amp;A (Combined)</t>
        </is>
      </c>
      <c r="B37" s="17" t="n">
        <v>5406</v>
      </c>
      <c r="C37" s="17" t="n">
        <v>6187</v>
      </c>
      <c r="D37" s="17" t="n">
        <v>6764</v>
      </c>
      <c r="E37" s="17" t="n">
        <v>7293</v>
      </c>
      <c r="F37" s="17" t="n">
        <v>8061</v>
      </c>
    </row>
    <row r="38">
      <c r="A38" s="16" t="inlineStr">
        <is>
          <t>Other Expenses</t>
        </is>
      </c>
      <c r="B38" s="17" t="n">
        <v>172</v>
      </c>
      <c r="C38" s="17" t="n">
        <v>169</v>
      </c>
      <c r="D38" s="17" t="n">
        <v>168</v>
      </c>
      <c r="E38" s="17" t="n">
        <v>1169</v>
      </c>
      <c r="F38" s="17" t="n">
        <v>0</v>
      </c>
    </row>
    <row r="39">
      <c r="A39" s="25" t="inlineStr">
        <is>
          <t>Total Operating Expenses</t>
        </is>
      </c>
      <c r="B39" s="26" t="n">
        <v>8118</v>
      </c>
      <c r="C39" s="26" t="n">
        <v>9343</v>
      </c>
      <c r="D39" s="26" t="n">
        <v>10405</v>
      </c>
      <c r="E39" s="26" t="n">
        <v>12406</v>
      </c>
      <c r="F39" s="26" t="n">
        <v>12355</v>
      </c>
    </row>
    <row r="40">
      <c r="A40" s="16" t="inlineStr">
        <is>
          <t>Cost &amp; Expenses (COGS + Opex)</t>
        </is>
      </c>
      <c r="B40" s="17" t="n">
        <v>9983</v>
      </c>
      <c r="C40" s="17" t="n">
        <v>11508</v>
      </c>
      <c r="D40" s="17" t="n">
        <v>12759</v>
      </c>
      <c r="E40" s="17" t="n">
        <v>14764</v>
      </c>
      <c r="F40" s="17" t="n">
        <v>15063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5802</v>
      </c>
      <c r="C42" s="15" t="n">
        <v>6098</v>
      </c>
      <c r="D42" s="15" t="n">
        <v>6650</v>
      </c>
      <c r="E42" s="15" t="n">
        <v>6741</v>
      </c>
      <c r="F42" s="15" t="n">
        <v>8706</v>
      </c>
    </row>
    <row r="43">
      <c r="A43" s="16" t="inlineStr">
        <is>
          <t>EBIT (FMP field)</t>
        </is>
      </c>
      <c r="B43" s="17" t="n">
        <v>5814</v>
      </c>
      <c r="C43" s="17" t="n">
        <v>6098</v>
      </c>
      <c r="D43" s="17" t="n">
        <v>6912</v>
      </c>
      <c r="E43" s="17" t="n">
        <v>7100</v>
      </c>
      <c r="F43" s="17" t="n">
        <v>8931</v>
      </c>
    </row>
    <row r="44">
      <c r="A44" s="25" t="inlineStr">
        <is>
          <t>EBITDA</t>
        </is>
      </c>
      <c r="B44" s="26" t="n">
        <v>6675</v>
      </c>
      <c r="C44" s="26" t="n">
        <v>7055</v>
      </c>
      <c r="D44" s="26" t="n">
        <v>7784</v>
      </c>
      <c r="E44" s="26" t="n">
        <v>7957</v>
      </c>
      <c r="F44" s="26" t="n">
        <v>9749</v>
      </c>
    </row>
    <row r="45">
      <c r="A45" s="16" t="inlineStr">
        <is>
          <t>Depreciation &amp; Amortisation</t>
        </is>
      </c>
      <c r="B45" s="17" t="n">
        <v>861</v>
      </c>
      <c r="C45" s="17" t="n">
        <v>939</v>
      </c>
      <c r="D45" s="17" t="n">
        <v>872</v>
      </c>
      <c r="E45" s="17" t="n">
        <v>857</v>
      </c>
      <c r="F45" s="17" t="n">
        <v>818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17</v>
      </c>
      <c r="C47" s="17" t="n">
        <v>61</v>
      </c>
      <c r="D47" s="17" t="n">
        <v>269</v>
      </c>
      <c r="E47" s="17" t="n">
        <v>341</v>
      </c>
      <c r="F47" s="17" t="n">
        <v>0</v>
      </c>
    </row>
    <row r="48">
      <c r="A48" s="16" t="inlineStr">
        <is>
          <t>Interest Expense</t>
        </is>
      </c>
      <c r="B48" s="17" t="n">
        <v>113</v>
      </c>
      <c r="C48" s="17" t="n">
        <v>112</v>
      </c>
      <c r="D48" s="17" t="n">
        <v>113</v>
      </c>
      <c r="E48" s="17" t="n">
        <v>164</v>
      </c>
      <c r="F48" s="17" t="n">
        <v>263</v>
      </c>
    </row>
    <row r="49">
      <c r="A49" s="16" t="inlineStr">
        <is>
          <t>Net Interest Income</t>
        </is>
      </c>
      <c r="B49" s="17" t="n">
        <v>-96</v>
      </c>
      <c r="C49" s="17" t="n">
        <v>-51</v>
      </c>
      <c r="D49" s="17" t="n">
        <v>156</v>
      </c>
      <c r="E49" s="17" t="n">
        <v>177</v>
      </c>
      <c r="F49" s="17" t="n">
        <v>-263</v>
      </c>
    </row>
    <row r="50">
      <c r="A50" s="16" t="inlineStr">
        <is>
          <t>Non-Operating Income (ex-interest)</t>
        </is>
      </c>
      <c r="B50" s="17" t="n">
        <v>-12</v>
      </c>
      <c r="C50" s="17" t="n">
        <v>-22</v>
      </c>
      <c r="D50" s="17" t="n">
        <v>-262</v>
      </c>
      <c r="E50" s="17" t="n">
        <v>-359</v>
      </c>
      <c r="F50" s="17" t="n">
        <v>-225</v>
      </c>
    </row>
    <row r="51">
      <c r="A51" s="16" t="inlineStr">
        <is>
          <t>Total Other Income / (Expenses)</t>
        </is>
      </c>
      <c r="B51" s="17" t="n">
        <v>-97</v>
      </c>
      <c r="C51" s="17" t="n">
        <v>-90</v>
      </c>
      <c r="D51" s="17" t="n">
        <v>149</v>
      </c>
      <c r="E51" s="17" t="n">
        <v>190</v>
      </c>
      <c r="F51" s="17" t="n">
        <v>28</v>
      </c>
    </row>
    <row r="52">
      <c r="A52" s="25" t="inlineStr">
        <is>
          <t>EBT / Income Before Tax</t>
        </is>
      </c>
      <c r="B52" s="26" t="n">
        <v>5705</v>
      </c>
      <c r="C52" s="26" t="n">
        <v>6008</v>
      </c>
      <c r="D52" s="26" t="n">
        <v>6799</v>
      </c>
      <c r="E52" s="26" t="n">
        <v>6931</v>
      </c>
      <c r="F52" s="26" t="n">
        <v>8734</v>
      </c>
    </row>
    <row r="53">
      <c r="A53" s="16" t="inlineStr">
        <is>
          <t>Income Tax Expense</t>
        </is>
      </c>
      <c r="B53" s="17" t="n">
        <v>883</v>
      </c>
      <c r="C53" s="17" t="n">
        <v>1252</v>
      </c>
      <c r="D53" s="17" t="n">
        <v>1371</v>
      </c>
      <c r="E53" s="17" t="n">
        <v>1371</v>
      </c>
      <c r="F53" s="17" t="n">
        <v>1604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4822</v>
      </c>
      <c r="C55" s="17" t="n">
        <v>4756</v>
      </c>
      <c r="D55" s="17" t="n">
        <v>5428</v>
      </c>
      <c r="E55" s="17" t="n">
        <v>5560</v>
      </c>
      <c r="F55" s="17" t="n">
        <v>7130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4822</v>
      </c>
      <c r="C59" s="26" t="n">
        <v>4756</v>
      </c>
      <c r="D59" s="26" t="n">
        <v>5428</v>
      </c>
      <c r="E59" s="26" t="n">
        <v>5560</v>
      </c>
      <c r="F59" s="26" t="n">
        <v>7130</v>
      </c>
    </row>
    <row r="60">
      <c r="A60" s="14" t="inlineStr">
        <is>
          <t>Bottom Line Net Income</t>
        </is>
      </c>
      <c r="B60" s="15" t="n">
        <v>4822</v>
      </c>
      <c r="C60" s="15" t="n">
        <v>4756</v>
      </c>
      <c r="D60" s="15" t="n">
        <v>5428</v>
      </c>
      <c r="E60" s="15" t="n">
        <v>5560</v>
      </c>
      <c r="F60" s="15" t="n">
        <v>7130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10.1</v>
      </c>
      <c r="C62" s="17" t="n">
        <v>10.13</v>
      </c>
      <c r="D62" s="17" t="n">
        <v>11.88</v>
      </c>
      <c r="E62" s="17" t="n">
        <v>12.44</v>
      </c>
      <c r="F62" s="17" t="n">
        <v>16.73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477</v>
      </c>
      <c r="C64" s="17" t="n">
        <v>470</v>
      </c>
      <c r="D64" s="17" t="n">
        <v>457</v>
      </c>
      <c r="E64" s="17" t="n">
        <v>447.1</v>
      </c>
      <c r="F64" s="17" t="n">
        <v>426</v>
      </c>
    </row>
    <row r="65">
      <c r="A65" s="16" t="inlineStr">
        <is>
          <t>Shares Outstanding — Diluted (mm)</t>
        </is>
      </c>
      <c r="B65" s="17" t="n">
        <v>481</v>
      </c>
      <c r="C65" s="17" t="n">
        <v>471</v>
      </c>
      <c r="D65" s="17" t="n">
        <v>459</v>
      </c>
      <c r="E65" s="17" t="n">
        <v>450</v>
      </c>
      <c r="F65" s="17" t="n">
        <v>427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3844</v>
      </c>
      <c r="C5" s="17" t="n">
        <v>4236</v>
      </c>
      <c r="D5" s="17" t="n">
        <v>7141</v>
      </c>
      <c r="E5" s="17" t="n">
        <v>7613</v>
      </c>
      <c r="F5" s="17" t="n">
        <v>5431</v>
      </c>
    </row>
    <row r="6">
      <c r="A6" s="16" t="inlineStr">
        <is>
          <t>(2)  Receivables</t>
        </is>
      </c>
      <c r="B6" s="17" t="n">
        <v>1878</v>
      </c>
      <c r="C6" s="17" t="n">
        <v>2065</v>
      </c>
      <c r="D6" s="17" t="n">
        <v>2224</v>
      </c>
      <c r="E6" s="17" t="n">
        <v>2072</v>
      </c>
      <c r="F6" s="17" t="n">
        <v>2344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8669</v>
      </c>
      <c r="C9" s="23" t="n">
        <v>8996</v>
      </c>
      <c r="D9" s="23" t="n">
        <v>11084</v>
      </c>
      <c r="E9" s="23" t="n">
        <v>11232</v>
      </c>
      <c r="F9" s="23" t="n">
        <v>10163</v>
      </c>
    </row>
    <row r="10">
      <c r="A10" s="16" t="inlineStr">
        <is>
          <t>(6)  PP&amp;E (Net)</t>
        </is>
      </c>
      <c r="B10" s="17" t="n">
        <v>2116</v>
      </c>
      <c r="C10" s="17" t="n">
        <v>2315</v>
      </c>
      <c r="D10" s="17" t="n">
        <v>2388</v>
      </c>
      <c r="E10" s="17" t="n">
        <v>2217</v>
      </c>
      <c r="F10" s="17" t="n">
        <v>2185</v>
      </c>
    </row>
    <row r="11">
      <c r="A11" s="16" t="inlineStr">
        <is>
          <t>(7)  Goodwill</t>
        </is>
      </c>
      <c r="B11" s="17" t="n">
        <v>12668</v>
      </c>
      <c r="C11" s="17" t="n">
        <v>12787</v>
      </c>
      <c r="D11" s="17" t="n">
        <v>12805</v>
      </c>
      <c r="E11" s="17" t="n">
        <v>12788</v>
      </c>
      <c r="F11" s="17" t="n">
        <v>12857</v>
      </c>
    </row>
    <row r="12">
      <c r="A12" s="16" t="inlineStr">
        <is>
          <t>(8)  Deferred Tax Assets</t>
        </is>
      </c>
      <c r="B12" s="17" t="n">
        <v>1085</v>
      </c>
      <c r="C12" s="17" t="n">
        <v>777</v>
      </c>
      <c r="D12" s="17" t="n">
        <v>1191</v>
      </c>
      <c r="E12" s="17" t="n">
        <v>1657</v>
      </c>
      <c r="F12" s="17" t="n">
        <v>2186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18572</v>
      </c>
      <c r="C14" s="23" t="n">
        <v>18169</v>
      </c>
      <c r="D14" s="23" t="n">
        <v>18695</v>
      </c>
      <c r="E14" s="23" t="n">
        <v>18998</v>
      </c>
      <c r="F14" s="23" t="n">
        <v>19333</v>
      </c>
    </row>
    <row r="15">
      <c r="A15" s="18" t="inlineStr">
        <is>
          <t>(11) Total Assets</t>
        </is>
      </c>
      <c r="B15" s="23" t="n">
        <v>27241</v>
      </c>
      <c r="C15" s="23" t="n">
        <v>27165</v>
      </c>
      <c r="D15" s="23" t="n">
        <v>29779</v>
      </c>
      <c r="E15" s="23" t="n">
        <v>30230</v>
      </c>
      <c r="F15" s="23" t="n">
        <v>29496</v>
      </c>
    </row>
    <row r="16" ht="6" customHeight="1"/>
    <row r="17">
      <c r="A17" s="16" t="inlineStr">
        <is>
          <t>(12) Accounts Payable</t>
        </is>
      </c>
      <c r="B17" s="17" t="n">
        <v>312</v>
      </c>
      <c r="C17" s="17" t="n">
        <v>379</v>
      </c>
      <c r="D17" s="17" t="n">
        <v>314</v>
      </c>
      <c r="E17" s="17" t="n">
        <v>361</v>
      </c>
      <c r="F17" s="17" t="n">
        <v>417</v>
      </c>
    </row>
    <row r="18">
      <c r="A18" s="16" t="inlineStr">
        <is>
          <t>(13) Short-Term Borrowings</t>
        </is>
      </c>
      <c r="B18" s="17" t="n">
        <v>0</v>
      </c>
      <c r="C18" s="17" t="n">
        <v>500</v>
      </c>
      <c r="D18" s="17" t="n">
        <v>0</v>
      </c>
      <c r="E18" s="17" t="n">
        <v>1499</v>
      </c>
      <c r="F18" s="17" t="n">
        <v>0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6932</v>
      </c>
      <c r="C21" s="23" t="n">
        <v>8128</v>
      </c>
      <c r="D21" s="23" t="n">
        <v>8251</v>
      </c>
      <c r="E21" s="23" t="n">
        <v>10521</v>
      </c>
      <c r="F21" s="23" t="n">
        <v>10200</v>
      </c>
    </row>
    <row r="22">
      <c r="A22" s="16" t="inlineStr">
        <is>
          <t>(17) Long-Term Debt</t>
        </is>
      </c>
      <c r="B22" s="17" t="n">
        <v>4123</v>
      </c>
      <c r="C22" s="17" t="n">
        <v>3629</v>
      </c>
      <c r="D22" s="17" t="n">
        <v>3634</v>
      </c>
      <c r="E22" s="17" t="n">
        <v>4129</v>
      </c>
      <c r="F22" s="17" t="n">
        <v>6210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12444</v>
      </c>
      <c r="C25" s="23" t="n">
        <v>13114</v>
      </c>
      <c r="D25" s="23" t="n">
        <v>13261</v>
      </c>
      <c r="E25" s="23" t="n">
        <v>16125</v>
      </c>
      <c r="F25" s="23" t="n">
        <v>17873</v>
      </c>
    </row>
    <row r="26" ht="6" customHeight="1"/>
    <row r="27">
      <c r="A27" s="16" t="inlineStr">
        <is>
          <t>(21) Common Stock &amp; APIC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16" t="inlineStr">
        <is>
          <t>(22) Retained Earnings</t>
        </is>
      </c>
      <c r="B28" s="17" t="n">
        <v>23905</v>
      </c>
      <c r="C28" s="17" t="n">
        <v>28319</v>
      </c>
      <c r="D28" s="17" t="n">
        <v>33346</v>
      </c>
      <c r="E28" s="17" t="n">
        <v>38470</v>
      </c>
      <c r="F28" s="17" t="n">
        <v>45354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14797</v>
      </c>
      <c r="C30" s="23" t="n">
        <v>14051</v>
      </c>
      <c r="D30" s="23" t="n">
        <v>16518</v>
      </c>
      <c r="E30" s="23" t="n">
        <v>14105</v>
      </c>
      <c r="F30" s="23" t="n">
        <v>11623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3844</v>
      </c>
      <c r="C36" s="17" t="n">
        <v>4236</v>
      </c>
      <c r="D36" s="17" t="n">
        <v>7141</v>
      </c>
      <c r="E36" s="17" t="n">
        <v>7613</v>
      </c>
      <c r="F36" s="17" t="n">
        <v>5431</v>
      </c>
    </row>
    <row r="37">
      <c r="A37" s="16" t="inlineStr">
        <is>
          <t>Short-Term Investments</t>
        </is>
      </c>
      <c r="B37" s="17" t="n">
        <v>1954</v>
      </c>
      <c r="C37" s="17" t="n">
        <v>1860</v>
      </c>
      <c r="D37" s="17" t="n">
        <v>701</v>
      </c>
      <c r="E37" s="17" t="n">
        <v>273</v>
      </c>
      <c r="F37" s="17" t="n">
        <v>1164</v>
      </c>
    </row>
    <row r="38">
      <c r="A38" s="27" t="inlineStr">
        <is>
          <t>Cash &amp; Short-Term Investments</t>
        </is>
      </c>
      <c r="B38" s="28" t="n">
        <v>5798</v>
      </c>
      <c r="C38" s="28" t="n">
        <v>6096</v>
      </c>
      <c r="D38" s="28" t="n">
        <v>7842</v>
      </c>
      <c r="E38" s="28" t="n">
        <v>7886</v>
      </c>
      <c r="F38" s="28" t="n">
        <v>6595</v>
      </c>
    </row>
    <row r="39">
      <c r="A39" s="16" t="inlineStr">
        <is>
          <t>Accounts Receivable (Trade)</t>
        </is>
      </c>
      <c r="B39" s="17" t="n">
        <v>1878</v>
      </c>
      <c r="C39" s="17" t="n">
        <v>2065</v>
      </c>
      <c r="D39" s="17" t="n">
        <v>2224</v>
      </c>
      <c r="E39" s="17" t="n">
        <v>2072</v>
      </c>
      <c r="F39" s="17" t="n">
        <v>2344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1878</v>
      </c>
      <c r="C41" s="28" t="n">
        <v>2065</v>
      </c>
      <c r="D41" s="28" t="n">
        <v>2224</v>
      </c>
      <c r="E41" s="28" t="n">
        <v>2072</v>
      </c>
      <c r="F41" s="28" t="n">
        <v>2344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993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835</v>
      </c>
      <c r="D44" s="17" t="n">
        <v>1018</v>
      </c>
      <c r="E44" s="17" t="n">
        <v>1274</v>
      </c>
      <c r="F44" s="17" t="n">
        <v>1224</v>
      </c>
    </row>
    <row r="45">
      <c r="A45" s="25" t="inlineStr">
        <is>
          <t>Total Current Assets</t>
        </is>
      </c>
      <c r="B45" s="26" t="n">
        <v>8669</v>
      </c>
      <c r="C45" s="26" t="n">
        <v>8996</v>
      </c>
      <c r="D45" s="26" t="n">
        <v>11084</v>
      </c>
      <c r="E45" s="26" t="n">
        <v>11232</v>
      </c>
      <c r="F45" s="26" t="n">
        <v>10163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2116</v>
      </c>
      <c r="C47" s="17" t="n">
        <v>2315</v>
      </c>
      <c r="D47" s="17" t="n">
        <v>2388</v>
      </c>
      <c r="E47" s="17" t="n">
        <v>2217</v>
      </c>
      <c r="F47" s="17" t="n">
        <v>2185</v>
      </c>
    </row>
    <row r="48">
      <c r="A48" s="16" t="inlineStr">
        <is>
          <t>Goodwill</t>
        </is>
      </c>
      <c r="B48" s="17" t="n">
        <v>12668</v>
      </c>
      <c r="C48" s="17" t="n">
        <v>12787</v>
      </c>
      <c r="D48" s="17" t="n">
        <v>12805</v>
      </c>
      <c r="E48" s="17" t="n">
        <v>12788</v>
      </c>
      <c r="F48" s="17" t="n">
        <v>12857</v>
      </c>
    </row>
    <row r="49">
      <c r="A49" s="16" t="inlineStr">
        <is>
          <t>Intangible Assets</t>
        </is>
      </c>
      <c r="B49" s="17" t="n">
        <v>1820</v>
      </c>
      <c r="C49" s="17" t="n">
        <v>1449</v>
      </c>
      <c r="D49" s="17" t="n">
        <v>1088</v>
      </c>
      <c r="E49" s="17" t="n">
        <v>782</v>
      </c>
      <c r="F49" s="17" t="n">
        <v>495</v>
      </c>
    </row>
    <row r="50">
      <c r="A50" s="16" t="inlineStr">
        <is>
          <t>Long-Term Investments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1085</v>
      </c>
      <c r="C51" s="17" t="n">
        <v>777</v>
      </c>
      <c r="D51" s="17" t="n">
        <v>1191</v>
      </c>
      <c r="E51" s="17" t="n">
        <v>1657</v>
      </c>
      <c r="F51" s="17" t="n">
        <v>2186</v>
      </c>
    </row>
    <row r="52">
      <c r="A52" s="16" t="inlineStr">
        <is>
          <t>Total Investments</t>
        </is>
      </c>
      <c r="B52" s="17" t="n">
        <v>1954</v>
      </c>
      <c r="C52" s="17" t="n">
        <v>1860</v>
      </c>
      <c r="D52" s="17" t="n">
        <v>701</v>
      </c>
      <c r="E52" s="17" t="n">
        <v>273</v>
      </c>
      <c r="F52" s="17" t="n">
        <v>1164</v>
      </c>
    </row>
    <row r="53">
      <c r="A53" s="16" t="inlineStr">
        <is>
          <t>Other Non-Current Assets</t>
        </is>
      </c>
      <c r="B53" s="17" t="n">
        <v>883</v>
      </c>
      <c r="C53" s="17" t="n">
        <v>841</v>
      </c>
      <c r="D53" s="17" t="n">
        <v>1223</v>
      </c>
      <c r="E53" s="17" t="n">
        <v>1554</v>
      </c>
      <c r="F53" s="17" t="n">
        <v>1610</v>
      </c>
    </row>
    <row r="54">
      <c r="A54" s="25" t="inlineStr">
        <is>
          <t>Total Non-Current Assets</t>
        </is>
      </c>
      <c r="B54" s="26" t="n">
        <v>18572</v>
      </c>
      <c r="C54" s="26" t="n">
        <v>18169</v>
      </c>
      <c r="D54" s="26" t="n">
        <v>18695</v>
      </c>
      <c r="E54" s="26" t="n">
        <v>18998</v>
      </c>
      <c r="F54" s="26" t="n">
        <v>19333</v>
      </c>
    </row>
    <row r="55">
      <c r="A55" s="12" t="inlineStr">
        <is>
          <t>TOTAL ASSETS</t>
        </is>
      </c>
      <c r="B55" s="29" t="n">
        <v>27241</v>
      </c>
      <c r="C55" s="29" t="n">
        <v>27165</v>
      </c>
      <c r="D55" s="29" t="n">
        <v>29779</v>
      </c>
      <c r="E55" s="29" t="n">
        <v>30230</v>
      </c>
      <c r="F55" s="29" t="n">
        <v>29496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312</v>
      </c>
      <c r="C57" s="17" t="n">
        <v>379</v>
      </c>
      <c r="D57" s="17" t="n">
        <v>314</v>
      </c>
      <c r="E57" s="17" t="n">
        <v>361</v>
      </c>
      <c r="F57" s="17" t="n">
        <v>417</v>
      </c>
    </row>
    <row r="58">
      <c r="A58" s="16" t="inlineStr">
        <is>
          <t>Short-Term Debt</t>
        </is>
      </c>
      <c r="B58" s="17" t="n">
        <v>0</v>
      </c>
      <c r="C58" s="17" t="n">
        <v>500</v>
      </c>
      <c r="D58" s="17" t="n">
        <v>0</v>
      </c>
      <c r="E58" s="17" t="n">
        <v>1499</v>
      </c>
      <c r="F58" s="17" t="n">
        <v>0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4733</v>
      </c>
      <c r="C60" s="17" t="n">
        <v>5297</v>
      </c>
      <c r="D60" s="17" t="n">
        <v>5837</v>
      </c>
      <c r="E60" s="17" t="n">
        <v>6131</v>
      </c>
      <c r="F60" s="17" t="n">
        <v>6905</v>
      </c>
    </row>
    <row r="61">
      <c r="A61" s="16" t="inlineStr">
        <is>
          <t>Accrued &amp; Other Current Liabilities</t>
        </is>
      </c>
      <c r="B61" s="17" t="n">
        <v>1066</v>
      </c>
      <c r="C61" s="17" t="n">
        <v>1030</v>
      </c>
      <c r="D61" s="17" t="n">
        <v>1141</v>
      </c>
      <c r="E61" s="17" t="n">
        <v>1464</v>
      </c>
      <c r="F61" s="17" t="n">
        <v>2648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6932</v>
      </c>
      <c r="C63" s="26" t="n">
        <v>8128</v>
      </c>
      <c r="D63" s="26" t="n">
        <v>8251</v>
      </c>
      <c r="E63" s="26" t="n">
        <v>10521</v>
      </c>
      <c r="F63" s="26" t="n">
        <v>10200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4123</v>
      </c>
      <c r="C65" s="17" t="n">
        <v>3629</v>
      </c>
      <c r="D65" s="17" t="n">
        <v>3634</v>
      </c>
      <c r="E65" s="17" t="n">
        <v>4129</v>
      </c>
      <c r="F65" s="17" t="n">
        <v>6210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145</v>
      </c>
      <c r="C67" s="17" t="n">
        <v>117</v>
      </c>
      <c r="D67" s="17" t="n">
        <v>113</v>
      </c>
      <c r="E67" s="17" t="n">
        <v>128</v>
      </c>
      <c r="F67" s="17" t="n">
        <v>125</v>
      </c>
    </row>
    <row r="68">
      <c r="A68" s="16" t="inlineStr">
        <is>
          <t>Deferred Tax Liabilities</t>
        </is>
      </c>
      <c r="B68" s="17" t="n">
        <v>5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786</v>
      </c>
      <c r="C69" s="17" t="n">
        <v>823</v>
      </c>
      <c r="D69" s="17" t="n">
        <v>890</v>
      </c>
      <c r="E69" s="17" t="n">
        <v>994</v>
      </c>
      <c r="F69" s="17" t="n">
        <v>977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12444</v>
      </c>
      <c r="C71" s="29" t="n">
        <v>13114</v>
      </c>
      <c r="D71" s="29" t="n">
        <v>13261</v>
      </c>
      <c r="E71" s="29" t="n">
        <v>16125</v>
      </c>
      <c r="F71" s="29" t="n">
        <v>17873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</row>
    <row r="74">
      <c r="A74" s="16" t="inlineStr">
        <is>
          <t>Retained Earnings</t>
        </is>
      </c>
      <c r="B74" s="17" t="n">
        <v>23905</v>
      </c>
      <c r="C74" s="17" t="n">
        <v>28319</v>
      </c>
      <c r="D74" s="17" t="n">
        <v>33346</v>
      </c>
      <c r="E74" s="17" t="n">
        <v>38470</v>
      </c>
      <c r="F74" s="17" t="n">
        <v>45354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14797</v>
      </c>
      <c r="C78" s="26" t="n">
        <v>14051</v>
      </c>
      <c r="D78" s="26" t="n">
        <v>16518</v>
      </c>
      <c r="E78" s="26" t="n">
        <v>14105</v>
      </c>
      <c r="F78" s="26" t="n">
        <v>11623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4673</v>
      </c>
      <c r="C80" s="15" t="n">
        <v>4633</v>
      </c>
      <c r="D80" s="15" t="n">
        <v>4080</v>
      </c>
      <c r="E80" s="15" t="n">
        <v>6056</v>
      </c>
      <c r="F80" s="15" t="n">
        <v>6648</v>
      </c>
    </row>
    <row r="81">
      <c r="A81" s="14" t="inlineStr">
        <is>
          <t>Net Debt</t>
        </is>
      </c>
      <c r="B81" s="15" t="n">
        <v>829</v>
      </c>
      <c r="C81" s="15" t="n">
        <v>397</v>
      </c>
      <c r="D81" s="15" t="n">
        <v>-3061</v>
      </c>
      <c r="E81" s="15" t="n">
        <v>-1557</v>
      </c>
      <c r="F81" s="15" t="n">
        <v>1217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7230</v>
      </c>
      <c r="C5" s="23" t="n">
        <v>7838</v>
      </c>
      <c r="D5" s="23" t="n">
        <v>7302</v>
      </c>
      <c r="E5" s="23" t="n">
        <v>8056</v>
      </c>
      <c r="F5" s="23" t="n">
        <v>10031</v>
      </c>
    </row>
    <row r="6">
      <c r="A6" s="16" t="inlineStr">
        <is>
          <t>(2)  Capital Expenditures</t>
        </is>
      </c>
      <c r="B6" s="17" t="n">
        <v>-330</v>
      </c>
      <c r="C6" s="17" t="n">
        <v>-442</v>
      </c>
      <c r="D6" s="17" t="n">
        <v>-360</v>
      </c>
      <c r="E6" s="17" t="n">
        <v>-232</v>
      </c>
      <c r="F6" s="17" t="n">
        <v>-179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0</v>
      </c>
      <c r="C9" s="17" t="n">
        <v>0</v>
      </c>
      <c r="D9" s="17" t="n">
        <v>-500</v>
      </c>
      <c r="E9" s="17" t="n">
        <v>1997</v>
      </c>
      <c r="F9" s="17" t="n">
        <v>497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291</v>
      </c>
      <c r="C11" s="17" t="n">
        <v>278</v>
      </c>
      <c r="D11" s="17" t="n">
        <v>314</v>
      </c>
      <c r="E11" s="17" t="n">
        <v>209</v>
      </c>
      <c r="F11" s="17" t="n">
        <v>144</v>
      </c>
    </row>
    <row r="12">
      <c r="A12" s="16" t="inlineStr">
        <is>
          <t>(7)  Dividends Paid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6893</v>
      </c>
      <c r="C15" s="23" t="n">
        <v>7396</v>
      </c>
      <c r="D15" s="23" t="n">
        <v>6942</v>
      </c>
      <c r="E15" s="23" t="n">
        <v>7824</v>
      </c>
      <c r="F15" s="23" t="n">
        <v>9852</v>
      </c>
    </row>
    <row r="16">
      <c r="A16" s="14" t="inlineStr">
        <is>
          <t xml:space="preserve">     Net Change in Cash</t>
        </is>
      </c>
      <c r="B16" s="15" t="n">
        <v>-634</v>
      </c>
      <c r="C16" s="15" t="n">
        <v>392</v>
      </c>
      <c r="D16" s="15" t="n">
        <v>2905</v>
      </c>
      <c r="E16" s="15" t="n">
        <v>472</v>
      </c>
      <c r="F16" s="15" t="n">
        <v>-2182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4822</v>
      </c>
      <c r="C21" s="17" t="n">
        <v>4756</v>
      </c>
      <c r="D21" s="17" t="n">
        <v>5428</v>
      </c>
      <c r="E21" s="17" t="n">
        <v>5560</v>
      </c>
      <c r="F21" s="17" t="n">
        <v>7130</v>
      </c>
    </row>
    <row r="22">
      <c r="A22" s="16" t="inlineStr">
        <is>
          <t>Depreciation &amp; Amortisation</t>
        </is>
      </c>
      <c r="B22" s="17" t="n">
        <v>788</v>
      </c>
      <c r="C22" s="17" t="n">
        <v>856</v>
      </c>
      <c r="D22" s="17" t="n">
        <v>872</v>
      </c>
      <c r="E22" s="17" t="n">
        <v>894</v>
      </c>
      <c r="F22" s="17" t="n">
        <v>818</v>
      </c>
    </row>
    <row r="23">
      <c r="A23" s="16" t="inlineStr">
        <is>
          <t>Deferred Income Tax</t>
        </is>
      </c>
      <c r="B23" s="17" t="n">
        <v>183</v>
      </c>
      <c r="C23" s="17" t="n">
        <v>328</v>
      </c>
      <c r="D23" s="17" t="n">
        <v>-426</v>
      </c>
      <c r="E23" s="17" t="n">
        <v>-341</v>
      </c>
      <c r="F23" s="17" t="n">
        <v>-119</v>
      </c>
    </row>
    <row r="24">
      <c r="A24" s="16" t="inlineStr">
        <is>
          <t>Stock-Based Compensation</t>
        </is>
      </c>
      <c r="B24" s="17" t="n">
        <v>1069</v>
      </c>
      <c r="C24" s="17" t="n">
        <v>1440</v>
      </c>
      <c r="D24" s="17" t="n">
        <v>1718</v>
      </c>
      <c r="E24" s="17" t="n">
        <v>1881</v>
      </c>
      <c r="F24" s="17" t="n">
        <v>1942</v>
      </c>
    </row>
    <row r="25">
      <c r="A25" s="16" t="inlineStr">
        <is>
          <t>Change in Working Capital</t>
        </is>
      </c>
      <c r="B25" s="17" t="n">
        <v>292</v>
      </c>
      <c r="C25" s="17" t="n">
        <v>336</v>
      </c>
      <c r="D25" s="17" t="n">
        <v>-355</v>
      </c>
      <c r="E25" s="17" t="n">
        <v>144</v>
      </c>
      <c r="F25" s="17" t="n">
        <v>108</v>
      </c>
    </row>
    <row r="26">
      <c r="A26" s="20" t="inlineStr">
        <is>
          <t xml:space="preserve">  — Accounts Receivable</t>
        </is>
      </c>
      <c r="B26" s="17" t="n">
        <v>-430</v>
      </c>
      <c r="C26" s="17" t="n">
        <v>-198</v>
      </c>
      <c r="D26" s="17" t="n">
        <v>-159</v>
      </c>
      <c r="E26" s="17" t="n">
        <v>143</v>
      </c>
      <c r="F26" s="17" t="n">
        <v>-25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208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-20</v>
      </c>
      <c r="C28" s="17" t="n">
        <v>66</v>
      </c>
      <c r="D28" s="17" t="n">
        <v>-49</v>
      </c>
      <c r="E28" s="17" t="n">
        <v>44</v>
      </c>
      <c r="F28" s="17" t="n">
        <v>-23</v>
      </c>
    </row>
    <row r="29">
      <c r="A29" s="20" t="inlineStr">
        <is>
          <t xml:space="preserve">  — Other Working Capital</t>
        </is>
      </c>
      <c r="B29" s="17" t="n">
        <v>742</v>
      </c>
      <c r="C29" s="17" t="n">
        <v>468</v>
      </c>
      <c r="D29" s="17" t="n">
        <v>-355</v>
      </c>
      <c r="E29" s="17" t="n">
        <v>-43</v>
      </c>
      <c r="F29" s="17" t="n">
        <v>156</v>
      </c>
    </row>
    <row r="30">
      <c r="A30" s="16" t="inlineStr">
        <is>
          <t>Other Non-Cash Items</t>
        </is>
      </c>
      <c r="B30" s="17" t="n">
        <v>76</v>
      </c>
      <c r="C30" s="17" t="n">
        <v>122</v>
      </c>
      <c r="D30" s="17" t="n">
        <v>65</v>
      </c>
      <c r="E30" s="17" t="n">
        <v>-82</v>
      </c>
      <c r="F30" s="17" t="n">
        <v>152</v>
      </c>
    </row>
    <row r="31">
      <c r="A31" s="25" t="inlineStr">
        <is>
          <t>Net Cash from Operations (CFO)</t>
        </is>
      </c>
      <c r="B31" s="26" t="n">
        <v>7230</v>
      </c>
      <c r="C31" s="26" t="n">
        <v>7838</v>
      </c>
      <c r="D31" s="26" t="n">
        <v>7302</v>
      </c>
      <c r="E31" s="26" t="n">
        <v>8056</v>
      </c>
      <c r="F31" s="26" t="n">
        <v>10031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-330</v>
      </c>
      <c r="C33" s="17" t="n">
        <v>-442</v>
      </c>
      <c r="D33" s="17" t="n">
        <v>-360</v>
      </c>
      <c r="E33" s="17" t="n">
        <v>-232</v>
      </c>
      <c r="F33" s="17" t="n">
        <v>-179</v>
      </c>
    </row>
    <row r="34">
      <c r="A34" s="20" t="inlineStr">
        <is>
          <t xml:space="preserve">  (Alt: Invest. in PP&amp;E)</t>
        </is>
      </c>
      <c r="B34" s="17" t="n">
        <v>-348</v>
      </c>
      <c r="C34" s="17" t="n">
        <v>-442</v>
      </c>
      <c r="D34" s="17" t="n">
        <v>-360</v>
      </c>
      <c r="E34" s="17" t="n">
        <v>-232</v>
      </c>
      <c r="F34" s="17" t="n">
        <v>-179</v>
      </c>
    </row>
    <row r="35">
      <c r="A35" s="16" t="inlineStr">
        <is>
          <t>Acquisitions (Net)</t>
        </is>
      </c>
      <c r="B35" s="17" t="n">
        <v>-2682</v>
      </c>
      <c r="C35" s="17" t="n">
        <v>-126</v>
      </c>
      <c r="D35" s="17" t="n">
        <v>0</v>
      </c>
      <c r="E35" s="17" t="n">
        <v>0</v>
      </c>
      <c r="F35" s="17" t="n">
        <v>-17</v>
      </c>
    </row>
    <row r="36">
      <c r="A36" s="16" t="inlineStr">
        <is>
          <t>Purchases of Investments</t>
        </is>
      </c>
      <c r="B36" s="17" t="n">
        <v>-1575</v>
      </c>
      <c r="C36" s="17" t="n">
        <v>-955</v>
      </c>
      <c r="D36" s="17" t="n">
        <v>-53</v>
      </c>
      <c r="E36" s="17" t="n">
        <v>-58</v>
      </c>
      <c r="F36" s="17" t="n">
        <v>-1125</v>
      </c>
    </row>
    <row r="37">
      <c r="A37" s="16" t="inlineStr">
        <is>
          <t>Sales / Maturities of Investments</t>
        </is>
      </c>
      <c r="B37" s="17" t="n">
        <v>1068</v>
      </c>
      <c r="C37" s="17" t="n">
        <v>953</v>
      </c>
      <c r="D37" s="17" t="n">
        <v>1189</v>
      </c>
      <c r="E37" s="17" t="n">
        <v>388</v>
      </c>
      <c r="F37" s="17" t="n">
        <v>688</v>
      </c>
    </row>
    <row r="38">
      <c r="A38" s="16" t="inlineStr">
        <is>
          <t>Other Investing Activities</t>
        </is>
      </c>
      <c r="B38" s="17" t="n">
        <v>0</v>
      </c>
      <c r="C38" s="17" t="n">
        <v>0</v>
      </c>
      <c r="D38" s="17" t="n">
        <v>0</v>
      </c>
      <c r="E38" s="17" t="n">
        <v>51</v>
      </c>
      <c r="F38" s="17" t="n">
        <v>-554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0</v>
      </c>
      <c r="C41" s="17" t="n">
        <v>0</v>
      </c>
      <c r="D41" s="17" t="n">
        <v>-500</v>
      </c>
      <c r="E41" s="17" t="n">
        <v>1997</v>
      </c>
      <c r="F41" s="17" t="n">
        <v>497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291</v>
      </c>
      <c r="C43" s="17" t="n">
        <v>278</v>
      </c>
      <c r="D43" s="17" t="n">
        <v>314</v>
      </c>
      <c r="E43" s="17" t="n">
        <v>209</v>
      </c>
      <c r="F43" s="17" t="n">
        <v>144</v>
      </c>
    </row>
    <row r="44">
      <c r="A44" s="16" t="inlineStr">
        <is>
          <t>Common Stock Repurchased (Buybacks)</t>
        </is>
      </c>
      <c r="B44" s="17" t="n">
        <v>-3950</v>
      </c>
      <c r="C44" s="17" t="n">
        <v>-6550</v>
      </c>
      <c r="D44" s="17" t="n">
        <v>-4400</v>
      </c>
      <c r="E44" s="17" t="n">
        <v>-9500</v>
      </c>
      <c r="F44" s="17" t="n">
        <v>-11281</v>
      </c>
    </row>
    <row r="45">
      <c r="A45" s="16" t="inlineStr">
        <is>
          <t>Dividends Paid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Other Financing Activities</t>
        </is>
      </c>
      <c r="B46" s="17" t="n">
        <v>-642</v>
      </c>
      <c r="C46" s="17" t="n">
        <v>-553</v>
      </c>
      <c r="D46" s="17" t="n">
        <v>-596</v>
      </c>
      <c r="E46" s="17" t="n">
        <v>-430</v>
      </c>
      <c r="F46" s="17" t="n">
        <v>-420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-26</v>
      </c>
      <c r="C49" s="17" t="n">
        <v>-51</v>
      </c>
      <c r="D49" s="17" t="n">
        <v>9</v>
      </c>
      <c r="E49" s="17" t="n">
        <v>-9</v>
      </c>
      <c r="F49" s="17" t="n">
        <v>34</v>
      </c>
    </row>
    <row r="50">
      <c r="A50" s="14" t="inlineStr">
        <is>
          <t>Net Change in Cash</t>
        </is>
      </c>
      <c r="B50" s="15" t="n">
        <v>-634</v>
      </c>
      <c r="C50" s="15" t="n">
        <v>392</v>
      </c>
      <c r="D50" s="15" t="n">
        <v>2905</v>
      </c>
      <c r="E50" s="15" t="n">
        <v>472</v>
      </c>
      <c r="F50" s="15" t="n">
        <v>-2182</v>
      </c>
    </row>
    <row r="51">
      <c r="A51" s="16" t="inlineStr">
        <is>
          <t>Cash at Beginning of Period</t>
        </is>
      </c>
      <c r="B51" s="17" t="n">
        <v>4478</v>
      </c>
      <c r="C51" s="17" t="n">
        <v>3844</v>
      </c>
      <c r="D51" s="17" t="n">
        <v>4236</v>
      </c>
      <c r="E51" s="17" t="n">
        <v>7141</v>
      </c>
      <c r="F51" s="17" t="n">
        <v>7613</v>
      </c>
    </row>
    <row r="52">
      <c r="A52" s="25" t="inlineStr">
        <is>
          <t>Cash at End of Period</t>
        </is>
      </c>
      <c r="B52" s="26" t="n">
        <v>3844</v>
      </c>
      <c r="C52" s="26" t="n">
        <v>4236</v>
      </c>
      <c r="D52" s="26" t="n">
        <v>7141</v>
      </c>
      <c r="E52" s="26" t="n">
        <v>7613</v>
      </c>
      <c r="F52" s="26" t="n">
        <v>5431</v>
      </c>
    </row>
    <row r="53">
      <c r="A53" s="25" t="inlineStr">
        <is>
          <t>Free Cash Flow</t>
        </is>
      </c>
      <c r="B53" s="26" t="n">
        <v>6893</v>
      </c>
      <c r="C53" s="26" t="n">
        <v>7396</v>
      </c>
      <c r="D53" s="26" t="n">
        <v>6942</v>
      </c>
      <c r="E53" s="26" t="n">
        <v>7824</v>
      </c>
      <c r="F53" s="26" t="n">
        <v>9852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481</v>
      </c>
      <c r="C61" s="17" t="n">
        <v>471</v>
      </c>
      <c r="D61" s="17" t="n">
        <v>459</v>
      </c>
      <c r="E61" s="17" t="n">
        <v>450</v>
      </c>
      <c r="F61" s="17" t="n">
        <v>427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ADBE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5864</v>
      </c>
      <c r="C5" s="17" t="n">
        <v>5366</v>
      </c>
      <c r="D5" s="17" t="n">
        <v>4893</v>
      </c>
      <c r="E5" s="17" t="n">
        <v>4422</v>
      </c>
      <c r="F5" s="17" t="n">
        <v>3867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ADBE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99646.842894</v>
      </c>
      <c r="C5" s="43" t="inlineStr">
        <is>
          <t>FMP marketCap  |  price $244.45</t>
        </is>
      </c>
    </row>
    <row r="6">
      <c r="A6" s="16" t="inlineStr">
        <is>
          <t>Debt  (gross book value, $mm)</t>
        </is>
      </c>
      <c r="B6" s="42" t="n">
        <v>6210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1.518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1.347</v>
      </c>
      <c r="C17" s="43" t="inlineStr">
        <is>
          <t>Mean-reversion toward market beta of 1.0</t>
        </is>
      </c>
    </row>
    <row r="18">
      <c r="A18" s="16" t="inlineStr">
        <is>
          <t>Damodaran industry unlevered  (Software - Infrastructure)</t>
        </is>
      </c>
      <c r="B18" s="49" t="n">
        <v>1.08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0.06x,  t = 18.4%)</t>
        </is>
      </c>
      <c r="B19" s="49" t="n">
        <v>1.135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1.288</v>
      </c>
      <c r="C20" s="43" t="inlineStr">
        <is>
          <t xml:space="preserve">MSFT: 1.107  |  CRM: 1.288  |  ORCL: 1.597  |  NOW: </t>
        </is>
      </c>
    </row>
    <row r="21">
      <c r="A21" s="46" t="inlineStr">
        <is>
          <t>► Selected beta  (user override)</t>
        </is>
      </c>
      <c r="B21" s="50" t="n">
        <v>1.322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A+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0.0489</v>
      </c>
      <c r="C33" s="43" t="inlineStr">
        <is>
          <t>FRED BAMLC0A3CAEY — A</t>
        </is>
      </c>
    </row>
    <row r="34">
      <c r="A34" s="16" t="inlineStr">
        <is>
          <t>Interest Coverage Ratio  (EBIT / Gross Int Exp)</t>
        </is>
      </c>
      <c r="B34" s="49" t="n">
        <v>33.1</v>
      </c>
      <c r="C34" s="43" t="inlineStr">
        <is>
          <t>EBIT $8706mm  /  Int Exp $263mm</t>
        </is>
      </c>
    </row>
    <row r="35">
      <c r="A35" s="16" t="inlineStr">
        <is>
          <t>Synthetic rating  (Damodaran ICR table)</t>
        </is>
      </c>
      <c r="B35" s="52" t="inlineStr">
        <is>
          <t>AAA</t>
        </is>
      </c>
      <c r="C35" s="43" t="inlineStr">
        <is>
          <t>ICR 33.1x  →  AAA</t>
        </is>
      </c>
    </row>
    <row r="36">
      <c r="A36" s="16" t="inlineStr">
        <is>
          <t>Synthetic Rd  (Rf + Damodaran default spread)</t>
        </is>
      </c>
      <c r="B36" s="45" t="n">
        <v>0.0486</v>
      </c>
      <c r="C36" s="43" t="inlineStr">
        <is>
          <t>Rf 4.32% + spread 0.54%</t>
        </is>
      </c>
    </row>
    <row r="37">
      <c r="A37" s="16" t="inlineStr">
        <is>
          <t>Accounting Rd  (Gross int exp / Avg gross debt)</t>
        </is>
      </c>
      <c r="B37" s="45" t="n">
        <v>0.04443318128062173</v>
      </c>
      <c r="C37" s="43" t="inlineStr">
        <is>
          <t>Cross-check only — backward-looking</t>
        </is>
      </c>
    </row>
    <row r="38">
      <c r="A38" s="46" t="inlineStr">
        <is>
          <t>► Selected pre-tax Rd  (user override)</t>
        </is>
      </c>
      <c r="B38" s="47" t="n">
        <v>0.0473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0.1837</v>
      </c>
      <c r="C41" s="43" t="inlineStr">
        <is>
          <t>FMP: $1604mm  /  $8734mm</t>
        </is>
      </c>
    </row>
    <row r="42">
      <c r="A42" s="46" t="inlineStr">
        <is>
          <t>► Selected tax rate  (user override)</t>
        </is>
      </c>
      <c r="B42" s="47" t="n">
        <v>0.1837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B8*B29+B9*B38*(1-B42)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B8*(B13+(B21+(-1.0))*(B26+(-0.01)))+B9*B38*(1-B42)</f>
        <v/>
      </c>
      <c r="C49" s="58">
        <f>B8*(B13+(B21+(-1.0))*(B26+(-0.005)))+B9*B38*(1-B42)</f>
        <v/>
      </c>
      <c r="D49" s="58">
        <f>B8*(B13+(B21+(-1.0))*(B26+(0.0)))+B9*B38*(1-B42)</f>
        <v/>
      </c>
      <c r="E49" s="58">
        <f>B8*(B13+(B21+(-1.0))*(B26+(0.005)))+B9*B38*(1-B42)</f>
        <v/>
      </c>
      <c r="F49" s="58">
        <f>B8*(B13+(B21+(-1.0))*(B26+(0.01)))+B9*B38*(1-B42)</f>
        <v/>
      </c>
    </row>
    <row r="50">
      <c r="A50" s="57" t="inlineStr">
        <is>
          <t>-0.5</t>
        </is>
      </c>
      <c r="B50" s="58">
        <f>B8*(B13+(B21+(-0.5))*(B26+(-0.01)))+B9*B38*(1-B42)</f>
        <v/>
      </c>
      <c r="C50" s="58">
        <f>B8*(B13+(B21+(-0.5))*(B26+(-0.005)))+B9*B38*(1-B42)</f>
        <v/>
      </c>
      <c r="D50" s="58">
        <f>B8*(B13+(B21+(-0.5))*(B26+(0.0)))+B9*B38*(1-B42)</f>
        <v/>
      </c>
      <c r="E50" s="58">
        <f>B8*(B13+(B21+(-0.5))*(B26+(0.005)))+B9*B38*(1-B42)</f>
        <v/>
      </c>
      <c r="F50" s="58">
        <f>B8*(B13+(B21+(-0.5))*(B26+(0.01)))+B9*B38*(1-B42)</f>
        <v/>
      </c>
    </row>
    <row r="51">
      <c r="A51" s="59" t="inlineStr">
        <is>
          <t>Base β</t>
        </is>
      </c>
      <c r="B51" s="60">
        <f>B8*(B13+(B21+(0.0))*(B26+(-0.01)))+B9*B38*(1-B42)</f>
        <v/>
      </c>
      <c r="C51" s="60">
        <f>B8*(B13+(B21+(0.0))*(B26+(-0.005)))+B9*B38*(1-B42)</f>
        <v/>
      </c>
      <c r="D51" s="61">
        <f>B8*(B13+(B21+(0.0))*(B26+(0.0)))+B9*B38*(1-B42)</f>
        <v/>
      </c>
      <c r="E51" s="60">
        <f>B8*(B13+(B21+(0.0))*(B26+(0.005)))+B9*B38*(1-B42)</f>
        <v/>
      </c>
      <c r="F51" s="60">
        <f>B8*(B13+(B21+(0.0))*(B26+(0.01)))+B9*B38*(1-B42)</f>
        <v/>
      </c>
    </row>
    <row r="52">
      <c r="A52" s="57" t="inlineStr">
        <is>
          <t>+0.5</t>
        </is>
      </c>
      <c r="B52" s="58">
        <f>B8*(B13+(B21+(0.5))*(B26+(-0.01)))+B9*B38*(1-B42)</f>
        <v/>
      </c>
      <c r="C52" s="58">
        <f>B8*(B13+(B21+(0.5))*(B26+(-0.005)))+B9*B38*(1-B42)</f>
        <v/>
      </c>
      <c r="D52" s="58">
        <f>B8*(B13+(B21+(0.5))*(B26+(0.0)))+B9*B38*(1-B42)</f>
        <v/>
      </c>
      <c r="E52" s="58">
        <f>B8*(B13+(B21+(0.5))*(B26+(0.005)))+B9*B38*(1-B42)</f>
        <v/>
      </c>
      <c r="F52" s="58">
        <f>B8*(B13+(B21+(0.5))*(B26+(0.01)))+B9*B38*(1-B42)</f>
        <v/>
      </c>
    </row>
    <row r="53">
      <c r="A53" s="57" t="inlineStr">
        <is>
          <t>+1.0</t>
        </is>
      </c>
      <c r="B53" s="58">
        <f>B8*(B13+(B21+(1.0))*(B26+(-0.01)))+B9*B38*(1-B42)</f>
        <v/>
      </c>
      <c r="C53" s="58">
        <f>B8*(B13+(B21+(1.0))*(B26+(-0.005)))+B9*B38*(1-B42)</f>
        <v/>
      </c>
      <c r="D53" s="58">
        <f>B8*(B13+(B21+(1.0))*(B26+(0.0)))+B9*B38*(1-B42)</f>
        <v/>
      </c>
      <c r="E53" s="58">
        <f>B8*(B13+(B21+(1.0))*(B26+(0.005)))+B9*B38*(1-B42)</f>
        <v/>
      </c>
      <c r="F53" s="58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ADBE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0.1154</v>
      </c>
      <c r="D7" s="69" t="n">
        <v>0.1024</v>
      </c>
      <c r="E7" s="69" t="n">
        <v>0.108</v>
      </c>
      <c r="F7" s="69" t="n">
        <v>0.1053</v>
      </c>
      <c r="G7" s="70" t="n">
        <v>0.0965</v>
      </c>
      <c r="H7" s="70" t="n">
        <v>0.0885</v>
      </c>
      <c r="I7" s="70" t="n">
        <v>0.08840000000000001</v>
      </c>
      <c r="J7" s="70" t="n">
        <v>0.0892</v>
      </c>
      <c r="K7" s="70" t="n">
        <v>0.0859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0.4229</v>
      </c>
      <c r="C8" s="69" t="n">
        <v>0.4007</v>
      </c>
      <c r="D8" s="69" t="n">
        <v>0.4011</v>
      </c>
      <c r="E8" s="69" t="n">
        <v>0.37</v>
      </c>
      <c r="F8" s="69" t="n">
        <v>0.4102</v>
      </c>
      <c r="G8" s="70" t="n">
        <v>0.401</v>
      </c>
      <c r="H8" s="70" t="n">
        <v>0.401</v>
      </c>
      <c r="I8" s="70" t="n">
        <v>0.401</v>
      </c>
      <c r="J8" s="70" t="n">
        <v>0.401</v>
      </c>
      <c r="K8" s="70" t="n">
        <v>0.401</v>
      </c>
      <c r="L8" s="71" t="n">
        <v>0.4102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0.0545</v>
      </c>
      <c r="C9" s="69" t="n">
        <v>0.0533</v>
      </c>
      <c r="D9" s="69" t="n">
        <v>0.0449</v>
      </c>
      <c r="E9" s="69" t="n">
        <v>0.0399</v>
      </c>
      <c r="F9" s="69" t="n">
        <v>0.0344</v>
      </c>
      <c r="G9" s="73" t="n">
        <v>0.0344</v>
      </c>
      <c r="H9" s="73" t="n">
        <v>0.0344</v>
      </c>
      <c r="I9" s="73" t="n">
        <v>0.0344</v>
      </c>
      <c r="J9" s="73" t="n">
        <v>0.0344</v>
      </c>
      <c r="K9" s="73" t="n">
        <v>0.0344</v>
      </c>
      <c r="L9" s="71" t="n">
        <v>0.0344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0.0209</v>
      </c>
      <c r="C10" s="69" t="n">
        <v>0.0251</v>
      </c>
      <c r="D10" s="69" t="n">
        <v>0.0185</v>
      </c>
      <c r="E10" s="69" t="n">
        <v>0.0108</v>
      </c>
      <c r="F10" s="69" t="n">
        <v>0.0075</v>
      </c>
      <c r="G10" s="73" t="n">
        <v>0.0075</v>
      </c>
      <c r="H10" s="73" t="n">
        <v>0.0075</v>
      </c>
      <c r="I10" s="73" t="n">
        <v>0.0075</v>
      </c>
      <c r="J10" s="73" t="n">
        <v>0.0075</v>
      </c>
      <c r="K10" s="73" t="n">
        <v>0.0075</v>
      </c>
      <c r="L10" s="71" t="n">
        <v>0.0075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0.1548</v>
      </c>
      <c r="C12" s="69" t="n">
        <v>0.2084</v>
      </c>
      <c r="D12" s="69" t="n">
        <v>0.2016</v>
      </c>
      <c r="E12" s="69" t="n">
        <v>0.1978</v>
      </c>
      <c r="F12" s="69" t="n">
        <v>0.1837</v>
      </c>
      <c r="G12" s="73" t="n">
        <v>0.1837</v>
      </c>
      <c r="H12" s="73" t="n">
        <v>0.1837</v>
      </c>
      <c r="I12" s="73" t="n">
        <v>0.1837</v>
      </c>
      <c r="J12" s="73" t="n">
        <v>0.1837</v>
      </c>
      <c r="K12" s="73" t="n">
        <v>0.1837</v>
      </c>
      <c r="L12" s="71" t="n">
        <v>0.1837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15785</v>
      </c>
      <c r="C15" s="75" t="n">
        <v>17606</v>
      </c>
      <c r="D15" s="75" t="n">
        <v>19409</v>
      </c>
      <c r="E15" s="75" t="n">
        <v>21505</v>
      </c>
      <c r="F15" s="75" t="n">
        <v>23769</v>
      </c>
      <c r="G15" s="76" t="n">
        <v>26062.7</v>
      </c>
      <c r="H15" s="76" t="n">
        <v>28369.1</v>
      </c>
      <c r="I15" s="76" t="n">
        <v>30875.5</v>
      </c>
      <c r="J15" s="76" t="n">
        <v>33630.6</v>
      </c>
      <c r="K15" s="76" t="n">
        <v>36520.7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25,973 — 26,243</t>
        </is>
      </c>
      <c r="H16" s="80" t="inlineStr">
        <is>
          <t>28,000 — 29,048</t>
        </is>
      </c>
      <c r="I16" s="80" t="inlineStr">
        <is>
          <t>30,774 — 30,977</t>
        </is>
      </c>
      <c r="J16" s="80" t="inlineStr">
        <is>
          <t>32,839 — 35,205</t>
        </is>
      </c>
      <c r="K16" s="80" t="inlineStr">
        <is>
          <t>35,661 — 38,230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30</v>
      </c>
      <c r="H17" s="82" t="n">
        <v>30</v>
      </c>
      <c r="I17" s="82" t="n">
        <v>17</v>
      </c>
      <c r="J17" s="82" t="n">
        <v>13</v>
      </c>
      <c r="K17" s="83" t="n">
        <v>8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4" t="inlineStr">
        <is>
          <t>—</t>
        </is>
      </c>
      <c r="C18" s="85">
        <f>IFERROR(C15/B15-1,"")</f>
        <v/>
      </c>
      <c r="D18" s="85">
        <f>IFERROR(D15/C15-1,"")</f>
        <v/>
      </c>
      <c r="E18" s="85">
        <f>IFERROR(E15/D15-1,"")</f>
        <v/>
      </c>
      <c r="F18" s="85">
        <f>IFERROR(F15/E15-1,"")</f>
        <v/>
      </c>
      <c r="G18" s="86">
        <f>IFERROR(G15/F15-1,"")</f>
        <v/>
      </c>
      <c r="H18" s="86">
        <f>IFERROR(H15/G15-1,"")</f>
        <v/>
      </c>
      <c r="I18" s="86">
        <f>IFERROR(I15/H15-1,"")</f>
        <v/>
      </c>
      <c r="J18" s="86">
        <f>IFERROR(J15/I15-1,"")</f>
        <v/>
      </c>
      <c r="K18" s="86">
        <f>IFERROR(K15/J15-1,"")</f>
        <v/>
      </c>
      <c r="L18" s="87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6675</v>
      </c>
      <c r="C20" s="75" t="n">
        <v>7055</v>
      </c>
      <c r="D20" s="75" t="n">
        <v>7784</v>
      </c>
      <c r="E20" s="75" t="n">
        <v>7957</v>
      </c>
      <c r="F20" s="75" t="n">
        <v>9749</v>
      </c>
      <c r="G20" s="76" t="n">
        <v>10450.1</v>
      </c>
      <c r="H20" s="76" t="n">
        <v>11374.9</v>
      </c>
      <c r="I20" s="76" t="n">
        <v>12379.9</v>
      </c>
      <c r="J20" s="76" t="n">
        <v>13484.5</v>
      </c>
      <c r="K20" s="76" t="n">
        <v>14643.3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10,414 — 10,522</t>
        </is>
      </c>
      <c r="H21" s="80" t="inlineStr">
        <is>
          <t>11,227 — 11,647</t>
        </is>
      </c>
      <c r="I21" s="80" t="inlineStr">
        <is>
          <t>12,339 — 12,421</t>
        </is>
      </c>
      <c r="J21" s="80" t="inlineStr">
        <is>
          <t>13,167 — 14,116</t>
        </is>
      </c>
      <c r="K21" s="80" t="inlineStr">
        <is>
          <t>14,298 — 15,329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5">
        <f>IFERROR(B20/B15,"")</f>
        <v/>
      </c>
      <c r="C22" s="85">
        <f>IFERROR(C20/C15,"")</f>
        <v/>
      </c>
      <c r="D22" s="85">
        <f>IFERROR(D20/D15,"")</f>
        <v/>
      </c>
      <c r="E22" s="85">
        <f>IFERROR(E20/E15,"")</f>
        <v/>
      </c>
      <c r="F22" s="85">
        <f>IFERROR(F20/F15,"")</f>
        <v/>
      </c>
      <c r="G22" s="86">
        <f>IFERROR(G20/G15,"")</f>
        <v/>
      </c>
      <c r="H22" s="86">
        <f>IFERROR(H20/H15,"")</f>
        <v/>
      </c>
      <c r="I22" s="86">
        <f>IFERROR(I20/I15,"")</f>
        <v/>
      </c>
      <c r="J22" s="86">
        <f>IFERROR(J20/J15,"")</f>
        <v/>
      </c>
      <c r="K22" s="86">
        <f>IFERROR(K20/K15,"")</f>
        <v/>
      </c>
      <c r="L22" s="87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8" t="inlineStr">
        <is>
          <t xml:space="preserve">  Less: D&amp;A</t>
        </is>
      </c>
      <c r="B25" s="75" t="n">
        <v>-861</v>
      </c>
      <c r="C25" s="75" t="n">
        <v>-939</v>
      </c>
      <c r="D25" s="75" t="n">
        <v>-872</v>
      </c>
      <c r="E25" s="75" t="n">
        <v>-857</v>
      </c>
      <c r="F25" s="75" t="n">
        <v>-818</v>
      </c>
      <c r="G25" s="89">
        <f>-G15*G9</f>
        <v/>
      </c>
      <c r="H25" s="89">
        <f>-H15*H9</f>
        <v/>
      </c>
      <c r="I25" s="89">
        <f>-I15*I9</f>
        <v/>
      </c>
      <c r="J25" s="89">
        <f>-J15*J9</f>
        <v/>
      </c>
      <c r="K25" s="89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0" t="n">
        <v>5814</v>
      </c>
      <c r="C26" s="90" t="n">
        <v>6116</v>
      </c>
      <c r="D26" s="90" t="n">
        <v>6912</v>
      </c>
      <c r="E26" s="90" t="n">
        <v>7100</v>
      </c>
      <c r="F26" s="90" t="n">
        <v>8931</v>
      </c>
      <c r="G26" s="91">
        <f>G20+G25</f>
        <v/>
      </c>
      <c r="H26" s="91">
        <f>H20+H25</f>
        <v/>
      </c>
      <c r="I26" s="91">
        <f>I20+I25</f>
        <v/>
      </c>
      <c r="J26" s="91">
        <f>J20+J25</f>
        <v/>
      </c>
      <c r="K26" s="91">
        <f>K20+K25</f>
        <v/>
      </c>
      <c r="L26" s="91">
        <f>L20+L25</f>
        <v/>
      </c>
      <c r="M26" s="78">
        <f> EBITDA + D&amp;A  (GAAP operating income, EBIT)</f>
        <v/>
      </c>
    </row>
    <row r="27" ht="20" customHeight="1">
      <c r="A27" s="88" t="inlineStr">
        <is>
          <t xml:space="preserve">  Less: Tax on EBIT  (unlevered)</t>
        </is>
      </c>
      <c r="B27" s="92" t="n">
        <v>-899.9</v>
      </c>
      <c r="C27" s="92" t="n">
        <v>-1274.5</v>
      </c>
      <c r="D27" s="92" t="n">
        <v>-1393.8</v>
      </c>
      <c r="E27" s="92" t="n">
        <v>-1404.4</v>
      </c>
      <c r="F27" s="92" t="n">
        <v>-1640.2</v>
      </c>
      <c r="G27" s="93">
        <f>-G26*G12</f>
        <v/>
      </c>
      <c r="H27" s="93">
        <f>-H26*H12</f>
        <v/>
      </c>
      <c r="I27" s="93">
        <f>-I26*I12</f>
        <v/>
      </c>
      <c r="J27" s="93">
        <f>-J26*J12</f>
        <v/>
      </c>
      <c r="K27" s="93">
        <f>-K26*K12</f>
        <v/>
      </c>
      <c r="L27" s="93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0" t="n">
        <v>4914.1</v>
      </c>
      <c r="C28" s="90" t="n">
        <v>4841.5</v>
      </c>
      <c r="D28" s="90" t="n">
        <v>5518.2</v>
      </c>
      <c r="E28" s="90" t="n">
        <v>5695.6</v>
      </c>
      <c r="F28" s="90" t="n">
        <v>7290.8</v>
      </c>
      <c r="G28" s="94">
        <f>G26+G27</f>
        <v/>
      </c>
      <c r="H28" s="94">
        <f>H26+H27</f>
        <v/>
      </c>
      <c r="I28" s="94">
        <f>I26+I27</f>
        <v/>
      </c>
      <c r="J28" s="94">
        <f>J26+J27</f>
        <v/>
      </c>
      <c r="K28" s="94">
        <f>K26+K27</f>
        <v/>
      </c>
      <c r="L28" s="94">
        <f>L26+L27</f>
        <v/>
      </c>
      <c r="M28" s="78">
        <f> EBIT × (1 − tax rate)</f>
        <v/>
      </c>
    </row>
    <row r="29" ht="20" customHeight="1">
      <c r="A29" s="88" t="inlineStr">
        <is>
          <t xml:space="preserve">  (+) D&amp;A add-back  (non-cash)</t>
        </is>
      </c>
      <c r="B29" s="92" t="n">
        <v>861</v>
      </c>
      <c r="C29" s="92" t="n">
        <v>939</v>
      </c>
      <c r="D29" s="92" t="n">
        <v>872</v>
      </c>
      <c r="E29" s="92" t="n">
        <v>857</v>
      </c>
      <c r="F29" s="92" t="n">
        <v>818</v>
      </c>
      <c r="G29" s="93">
        <f>-G25</f>
        <v/>
      </c>
      <c r="H29" s="93">
        <f>-H25</f>
        <v/>
      </c>
      <c r="I29" s="93">
        <f>-I25</f>
        <v/>
      </c>
      <c r="J29" s="93">
        <f>-J25</f>
        <v/>
      </c>
      <c r="K29" s="93">
        <f>-K25</f>
        <v/>
      </c>
      <c r="L29" s="93">
        <f>-L25</f>
        <v/>
      </c>
      <c r="M29" s="78">
        <f> D&amp;A added back (non-cash charge — converts NOPAT to cash basis)</f>
        <v/>
      </c>
    </row>
    <row r="30" ht="20" customHeight="1">
      <c r="A30" s="88" t="inlineStr">
        <is>
          <t xml:space="preserve">  (−) Capital Expenditures</t>
        </is>
      </c>
      <c r="B30" s="75" t="n">
        <v>-330</v>
      </c>
      <c r="C30" s="75" t="n">
        <v>-442</v>
      </c>
      <c r="D30" s="75" t="n">
        <v>-360</v>
      </c>
      <c r="E30" s="75" t="n">
        <v>-232</v>
      </c>
      <c r="F30" s="75" t="n">
        <v>-179</v>
      </c>
      <c r="G30" s="93">
        <f>-G15*G10</f>
        <v/>
      </c>
      <c r="H30" s="93">
        <f>-H15*H10</f>
        <v/>
      </c>
      <c r="I30" s="93">
        <f>-I15*I10</f>
        <v/>
      </c>
      <c r="J30" s="93">
        <f>-J15*J10</f>
        <v/>
      </c>
      <c r="K30" s="93">
        <f>-K15*K10</f>
        <v/>
      </c>
      <c r="L30" s="93">
        <f>-L15*L10</f>
        <v/>
      </c>
      <c r="M30" s="78">
        <f> Revenue × CapEx % assumption  (negative = cash outflow)</f>
        <v/>
      </c>
    </row>
    <row r="31" ht="20" customHeight="1">
      <c r="A31" s="88" t="inlineStr">
        <is>
          <t xml:space="preserve">  (−) Increase in Net Working Capital</t>
        </is>
      </c>
      <c r="B31" s="92" t="n"/>
      <c r="C31" s="92" t="n"/>
      <c r="D31" s="92" t="n"/>
      <c r="E31" s="92" t="n"/>
      <c r="F31" s="92" t="n"/>
      <c r="G31" s="93">
        <f>-G15*G11</f>
        <v/>
      </c>
      <c r="H31" s="93">
        <f>-H15*H11</f>
        <v/>
      </c>
      <c r="I31" s="93">
        <f>-I15*I11</f>
        <v/>
      </c>
      <c r="J31" s="93">
        <f>-J15*J11</f>
        <v/>
      </c>
      <c r="K31" s="93">
        <f>-K15*K11</f>
        <v/>
      </c>
      <c r="L31" s="93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0" t="n">
        <v>5445.1</v>
      </c>
      <c r="C32" s="90" t="n">
        <v>5338.5</v>
      </c>
      <c r="D32" s="90" t="n">
        <v>6030.2</v>
      </c>
      <c r="E32" s="90" t="n">
        <v>6320.6</v>
      </c>
      <c r="F32" s="90" t="n">
        <v>7929.8</v>
      </c>
      <c r="G32" s="94">
        <f>G28+G29+G30+G31</f>
        <v/>
      </c>
      <c r="H32" s="94">
        <f>H28+H29+H30+H31</f>
        <v/>
      </c>
      <c r="I32" s="94">
        <f>I28+I29+I30+I31</f>
        <v/>
      </c>
      <c r="J32" s="94">
        <f>J28+J29+J30+J31</f>
        <v/>
      </c>
      <c r="K32" s="94">
        <f>K28+K29+K30+K31</f>
        <v/>
      </c>
      <c r="L32" s="94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5" t="n">
        <v>0.345</v>
      </c>
      <c r="C33" s="85" t="n">
        <v>0.3032</v>
      </c>
      <c r="D33" s="85" t="n">
        <v>0.3107</v>
      </c>
      <c r="E33" s="85" t="n">
        <v>0.2939</v>
      </c>
      <c r="F33" s="85" t="n">
        <v>0.3336</v>
      </c>
      <c r="G33" s="95">
        <f>IFERROR(G32/G15,"")</f>
        <v/>
      </c>
      <c r="H33" s="95">
        <f>IFERROR(H32/H15,"")</f>
        <v/>
      </c>
      <c r="I33" s="95">
        <f>IFERROR(I32/I15,"")</f>
        <v/>
      </c>
      <c r="J33" s="95">
        <f>IFERROR(J32/J15,"")</f>
        <v/>
      </c>
      <c r="K33" s="95">
        <f>IFERROR(K32/K15,"")</f>
        <v/>
      </c>
      <c r="L33" s="95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6">
        <f>WACC!B45</f>
        <v/>
      </c>
      <c r="C36" s="97" t="n"/>
      <c r="D36" s="97" t="n"/>
      <c r="E36" s="97" t="n"/>
      <c r="F36" s="97" t="n"/>
      <c r="G36" s="97" t="n"/>
      <c r="H36" s="97" t="n"/>
      <c r="I36" s="97" t="n"/>
      <c r="J36" s="97" t="n"/>
      <c r="K36" s="97" t="n"/>
      <c r="L36" s="97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8" t="n">
        <v>0.03</v>
      </c>
      <c r="C37" s="97" t="n"/>
      <c r="D37" s="97" t="n"/>
      <c r="E37" s="97" t="n"/>
      <c r="F37" s="97" t="n"/>
      <c r="G37" s="97" t="n"/>
      <c r="H37" s="97" t="n"/>
      <c r="I37" s="97" t="n"/>
      <c r="J37" s="97" t="n"/>
      <c r="K37" s="97" t="n"/>
      <c r="L37" s="97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9" t="n">
        <v>20</v>
      </c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0" t="inlineStr">
        <is>
          <t>Terminal Year UFCF  (grown by g)</t>
        </is>
      </c>
      <c r="B40" s="101">
        <f>L32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4">
        <f>B40/(B36-B37)</f>
        <v/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4">
        <f>L20*B38</f>
        <v/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0" t="inlineStr">
        <is>
          <t>Discount Period  (mid-year convention)</t>
        </is>
      </c>
      <c r="G45" s="104" t="n">
        <v>0.5</v>
      </c>
      <c r="H45" s="104" t="n">
        <v>1.5</v>
      </c>
      <c r="I45" s="104" t="n">
        <v>2.5</v>
      </c>
      <c r="J45" s="104" t="n">
        <v>3.5</v>
      </c>
      <c r="K45" s="104" t="n">
        <v>4.5</v>
      </c>
      <c r="L45" s="105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0" t="inlineStr">
        <is>
          <t>Discount Factor  =  1 / (1 + WACC) ^ period</t>
        </is>
      </c>
      <c r="G46" s="106">
        <f>1/(1+B36)^G45</f>
        <v/>
      </c>
      <c r="H46" s="106">
        <f>1/(1+B36)^H45</f>
        <v/>
      </c>
      <c r="I46" s="106">
        <f>1/(1+B36)^I45</f>
        <v/>
      </c>
      <c r="J46" s="106">
        <f>1/(1+B36)^J45</f>
        <v/>
      </c>
      <c r="K46" s="106">
        <f>1/(1+B36)^K45</f>
        <v/>
      </c>
      <c r="L46" s="107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4">
        <f>G32*G46</f>
        <v/>
      </c>
      <c r="H47" s="94">
        <f>H32*H46</f>
        <v/>
      </c>
      <c r="I47" s="94">
        <f>I32*I46</f>
        <v/>
      </c>
      <c r="J47" s="94">
        <f>J32*J46</f>
        <v/>
      </c>
      <c r="K47" s="94">
        <f>K32*K46</f>
        <v/>
      </c>
      <c r="L47" s="103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1">
        <f>G47+H47+I47+J47+K47</f>
        <v/>
      </c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1">
        <f>B41*L46</f>
        <v/>
      </c>
      <c r="C49" s="108" t="n"/>
      <c r="D49" s="108" t="n"/>
      <c r="E49" s="108" t="n"/>
      <c r="F49" s="108" t="n"/>
      <c r="G49" s="108" t="n"/>
      <c r="H49" s="108" t="n"/>
      <c r="I49" s="108" t="n"/>
      <c r="J49" s="108" t="n"/>
      <c r="K49" s="108" t="n"/>
      <c r="L49" s="108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1">
        <f>B42*L46</f>
        <v/>
      </c>
      <c r="C50" s="108" t="n"/>
      <c r="D50" s="108" t="n"/>
      <c r="E50" s="108" t="n"/>
      <c r="F50" s="108" t="n"/>
      <c r="G50" s="108" t="n"/>
      <c r="H50" s="108" t="n"/>
      <c r="I50" s="108" t="n"/>
      <c r="J50" s="108" t="n"/>
      <c r="K50" s="108" t="n"/>
      <c r="L50" s="108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4">
        <f>B48+B49</f>
        <v/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</row>
    <row r="54">
      <c r="A54" s="74" t="inlineStr">
        <is>
          <t>Enterprise Value  [Exit Multiple]</t>
        </is>
      </c>
      <c r="B54" s="94">
        <f>B48+B50</f>
        <v/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</row>
    <row r="55" ht="20" customHeight="1">
      <c r="A55" s="88" t="inlineStr">
        <is>
          <t xml:space="preserve">  Less: Net Debt  (Debt − Cash)</t>
        </is>
      </c>
      <c r="B55" s="101" t="n">
        <v>779</v>
      </c>
      <c r="C55" s="102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78" t="inlineStr">
        <is>
          <t>Auto-linked from Balance Sheet: Debt $6,210mm − Cash $5,431mm = $779mm  (negative = net cash)</t>
        </is>
      </c>
    </row>
    <row r="56" ht="20" customHeight="1">
      <c r="A56" s="88" t="inlineStr">
        <is>
          <t xml:space="preserve">  Less: Minority Interest</t>
        </is>
      </c>
      <c r="B56" s="101" t="n">
        <v>0</v>
      </c>
      <c r="C56" s="102" t="n"/>
      <c r="D56" s="102" t="n"/>
      <c r="E56" s="102" t="n"/>
      <c r="F56" s="102" t="n"/>
      <c r="G56" s="102" t="n"/>
      <c r="H56" s="102" t="n"/>
      <c r="I56" s="102" t="n"/>
      <c r="J56" s="102" t="n"/>
      <c r="K56" s="102" t="n"/>
      <c r="L56" s="102" t="n"/>
      <c r="M56" s="78" t="inlineStr">
        <is>
          <t>Auto-linked from Balance Sheet: minorityInterest</t>
        </is>
      </c>
    </row>
    <row r="57" ht="20" customHeight="1">
      <c r="A57" s="88" t="inlineStr">
        <is>
          <t xml:space="preserve">  Shares Outstanding — Diluted  (mm)</t>
        </is>
      </c>
      <c r="B57" s="101" t="n">
        <v>427</v>
      </c>
      <c r="C57" s="102" t="n"/>
      <c r="D57" s="102" t="n"/>
      <c r="E57" s="102" t="n"/>
      <c r="F57" s="102" t="n"/>
      <c r="G57" s="102" t="n"/>
      <c r="H57" s="102" t="n"/>
      <c r="I57" s="102" t="n"/>
      <c r="J57" s="102" t="n"/>
      <c r="K57" s="102" t="n"/>
      <c r="L57" s="102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9">
        <f>IFERROR((B53-B55-B56)/B57,"")</f>
        <v/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</row>
    <row r="60">
      <c r="A60" s="74" t="inlineStr">
        <is>
          <t>Implied Share Price  [Exit Multiple]  ($)</t>
        </is>
      </c>
      <c r="B60" s="109">
        <f>IFERROR((B54-B55-B56)/B57,"")</f>
        <v/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20" customHeight="1">
      <c r="A61" s="100" t="inlineStr">
        <is>
          <t>Current Market Price  ($)</t>
        </is>
      </c>
      <c r="B61" s="110" t="n">
        <v>244.45</v>
      </c>
      <c r="C61" s="102" t="n"/>
      <c r="D61" s="102" t="n"/>
      <c r="E61" s="102" t="n"/>
      <c r="F61" s="102" t="n"/>
      <c r="G61" s="102" t="n"/>
      <c r="H61" s="102" t="n"/>
      <c r="I61" s="102" t="n"/>
      <c r="J61" s="102" t="n"/>
      <c r="K61" s="102" t="n"/>
      <c r="L61" s="102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1">
        <f>IFERROR(B59/B61-1,"")</f>
        <v/>
      </c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</row>
    <row r="63">
      <c r="A63" s="62" t="inlineStr">
        <is>
          <t>Upside / (Downside)  [Exit Multiple]</t>
        </is>
      </c>
      <c r="B63" s="111">
        <f>IFERROR(B60/B61-1,"")</f>
        <v/>
      </c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2" t="inlineStr">
        <is>
          <t>JS SCORECARD — ADBE  |  Master Prompt v2  |  18 Apr 2026</t>
        </is>
      </c>
    </row>
    <row r="2" ht="18" customHeight="1">
      <c r="A2" s="113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4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5" t="inlineStr">
        <is>
          <t>CRITERION</t>
        </is>
      </c>
      <c r="B6" s="116" t="inlineStr">
        <is>
          <t>PART</t>
        </is>
      </c>
      <c r="C6" s="116" t="inlineStr">
        <is>
          <t>WEIGHT %</t>
        </is>
      </c>
      <c r="D6" s="116" t="inlineStr">
        <is>
          <t>CALCULATED VALUE</t>
        </is>
      </c>
      <c r="E6" s="116" t="inlineStr">
        <is>
          <t>TIER  ▼</t>
        </is>
      </c>
      <c r="F6" s="116" t="inlineStr">
        <is>
          <t>SCORE</t>
        </is>
      </c>
      <c r="G6" s="116" t="inlineStr">
        <is>
          <t>WTD SCORE</t>
        </is>
      </c>
      <c r="H6" s="115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7" t="inlineStr">
        <is>
          <t xml:space="preserve">  Business Clarity</t>
        </is>
      </c>
      <c r="B8" s="118" t="inlineStr">
        <is>
          <t>P1</t>
        </is>
      </c>
      <c r="C8" s="119" t="n">
        <v>0.025</v>
      </c>
      <c r="D8" s="120" t="inlineStr">
        <is>
          <t>— user input required</t>
        </is>
      </c>
      <c r="E8" s="121" t="n"/>
      <c r="F8" s="122">
        <f>IF(E8="HIGH",10,IF(E8="MOD-HIGH",7,IF(E8="MOD-LOW",3,IF(E8="LOW",0,""))))</f>
        <v/>
      </c>
      <c r="G8" s="123">
        <f>IF(F8="","",C8*F8)</f>
        <v/>
      </c>
      <c r="H8" s="124" t="inlineStr"/>
    </row>
    <row r="9" ht="18" customHeight="1">
      <c r="A9" s="125" t="inlineStr">
        <is>
          <t xml:space="preserve">  Moat Profile</t>
        </is>
      </c>
      <c r="B9" s="126" t="inlineStr">
        <is>
          <t>P1</t>
        </is>
      </c>
      <c r="C9" s="127" t="n">
        <v>0.1</v>
      </c>
      <c r="D9" s="128" t="inlineStr">
        <is>
          <t>GM 88.6% ✓ (&gt;40%)  |  GM trend +0.9% ✗ (&gt;+1pp)  |  ROIC-WACC +46.7% ✓ (&gt;+5pp)  |  Rev consistency σ=0.5% ✓ (&lt;8%)  [3/4 indicators positive — proxy score]</t>
        </is>
      </c>
      <c r="E9" s="129" t="inlineStr">
        <is>
          <t>MOD-HIGH</t>
        </is>
      </c>
      <c r="F9" s="130">
        <f>IF(E9="HIGH",10,IF(E9="MOD-HIGH",7,IF(E9="MOD-LOW",3,IF(E9="LOW",0,""))))</f>
        <v/>
      </c>
      <c r="G9" s="131">
        <f>IF(F9="","",C9*F9)</f>
        <v/>
      </c>
      <c r="H9" s="132" t="inlineStr">
        <is>
          <t>GM 88.6% ✓ (&gt;40%)  |  GM trend +0.9% ✗ (&gt;+1pp)  |  ROIC-WACC +46.7% ✓ (&gt;+5pp)  |  Rev consistency σ=0.5% ✓ (&lt;8%)  [3/4 indicators positive — proxy score]</t>
        </is>
      </c>
    </row>
    <row r="10" ht="18" customHeight="1">
      <c r="A10" s="117" t="inlineStr">
        <is>
          <t xml:space="preserve">  Long-Term Potential</t>
        </is>
      </c>
      <c r="B10" s="118" t="inlineStr">
        <is>
          <t>P1</t>
        </is>
      </c>
      <c r="C10" s="119" t="n">
        <v>0.1</v>
      </c>
      <c r="D10" s="120" t="inlineStr">
        <is>
          <t>— user input required</t>
        </is>
      </c>
      <c r="E10" s="121" t="n"/>
      <c r="F10" s="122">
        <f>IF(E10="HIGH",10,IF(E10="MOD-HIGH",7,IF(E10="MOD-LOW",3,IF(E10="LOW",0,""))))</f>
        <v/>
      </c>
      <c r="G10" s="123">
        <f>IF(F10="","",C10*F10)</f>
        <v/>
      </c>
      <c r="H10" s="124" t="inlineStr"/>
    </row>
    <row r="11" ht="18" customHeight="1">
      <c r="A11" s="125" t="inlineStr">
        <is>
          <t xml:space="preserve">  Management</t>
        </is>
      </c>
      <c r="B11" s="126" t="inlineStr">
        <is>
          <t>P1</t>
        </is>
      </c>
      <c r="C11" s="127" t="n">
        <v>0.075</v>
      </c>
      <c r="D11" s="128" t="inlineStr">
        <is>
          <t>ROIC trend +22.7% ✓ (≥-2pp)  |  GM maintained +0.9% ✓  |  Op margin +2.0% ✓ (≥-2pp)  |  Capital returns MOD-LOW ✗  [3/4 indicators positive — proxy score]</t>
        </is>
      </c>
      <c r="E11" s="129" t="inlineStr">
        <is>
          <t>MOD-HIGH</t>
        </is>
      </c>
      <c r="F11" s="130">
        <f>IF(E11="HIGH",10,IF(E11="MOD-HIGH",7,IF(E11="MOD-LOW",3,IF(E11="LOW",0,""))))</f>
        <v/>
      </c>
      <c r="G11" s="131">
        <f>IF(F11="","",C11*F11)</f>
        <v/>
      </c>
      <c r="H11" s="132" t="inlineStr">
        <is>
          <t>ROIC trend +22.7% ✓ (≥-2pp)  |  GM maintained +0.9% ✓  |  Op margin +2.0% ✓ (≥-2pp)  |  Capital returns MOD-LOW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5" t="inlineStr">
        <is>
          <t xml:space="preserve">  Revenue 3yr CAGR</t>
        </is>
      </c>
      <c r="B13" s="126" t="inlineStr">
        <is>
          <t>P2</t>
        </is>
      </c>
      <c r="C13" s="127" t="n">
        <v>0.1</v>
      </c>
      <c r="D13" s="128" t="inlineStr">
        <is>
          <t>10.5%</t>
        </is>
      </c>
      <c r="E13" s="129" t="inlineStr">
        <is>
          <t>MOD-HIGH</t>
        </is>
      </c>
      <c r="F13" s="130">
        <f>IF(E13="HIGH",10,IF(E13="MOD-HIGH",7,IF(E13="MOD-LOW",3,IF(E13="LOW",0,""))))</f>
        <v/>
      </c>
      <c r="G13" s="131">
        <f>IF(F13="","",C13*F13)</f>
        <v/>
      </c>
      <c r="H13" s="132" t="inlineStr">
        <is>
          <t>10.5%</t>
        </is>
      </c>
    </row>
    <row r="14" ht="18" customHeight="1">
      <c r="A14" s="125" t="inlineStr">
        <is>
          <t xml:space="preserve">  Cash Quality  (FCF / Net Income)</t>
        </is>
      </c>
      <c r="B14" s="126" t="inlineStr">
        <is>
          <t>P2</t>
        </is>
      </c>
      <c r="C14" s="127" t="n">
        <v>0.1</v>
      </c>
      <c r="D14" s="128" t="inlineStr">
        <is>
          <t>138%  [trend penalty: declined &gt;15pp vs 3yr ago]</t>
        </is>
      </c>
      <c r="E14" s="129" t="inlineStr">
        <is>
          <t>MOD-HIGH</t>
        </is>
      </c>
      <c r="F14" s="130">
        <f>IF(E14="HIGH",10,IF(E14="MOD-HIGH",7,IF(E14="MOD-LOW",3,IF(E14="LOW",0,""))))</f>
        <v/>
      </c>
      <c r="G14" s="131">
        <f>IF(F14="","",C14*F14)</f>
        <v/>
      </c>
      <c r="H14" s="132" t="inlineStr">
        <is>
          <t>138%  [trend penalty: declined &gt;15pp vs 3yr ago]</t>
        </is>
      </c>
    </row>
    <row r="15" ht="18" customHeight="1">
      <c r="A15" s="125" t="inlineStr">
        <is>
          <t xml:space="preserve">  Capital Returns</t>
        </is>
      </c>
      <c r="B15" s="126" t="inlineStr">
        <is>
          <t>P2</t>
        </is>
      </c>
      <c r="C15" s="127" t="n">
        <v>0.05</v>
      </c>
      <c r="D15" s="128" t="inlineStr">
        <is>
          <t>$11,281mm latest FY — debt-funded</t>
        </is>
      </c>
      <c r="E15" s="133" t="inlineStr">
        <is>
          <t>MOD-LOW</t>
        </is>
      </c>
      <c r="F15" s="130">
        <f>IF(E15="HIGH",10,IF(E15="MOD-HIGH",7,IF(E15="MOD-LOW",3,IF(E15="LOW",0,""))))</f>
        <v/>
      </c>
      <c r="G15" s="131">
        <f>IF(F15="","",C15*F15)</f>
        <v/>
      </c>
      <c r="H15" s="132" t="inlineStr">
        <is>
          <t>$11,281mm latest FY — debt-funded</t>
        </is>
      </c>
    </row>
    <row r="16" ht="18" customHeight="1">
      <c r="A16" s="125" t="inlineStr">
        <is>
          <t xml:space="preserve">  ROIC</t>
        </is>
      </c>
      <c r="B16" s="126" t="inlineStr">
        <is>
          <t>P2</t>
        </is>
      </c>
      <c r="C16" s="127" t="n">
        <v>0.075</v>
      </c>
      <c r="D16" s="128" t="inlineStr">
        <is>
          <t>57.3%</t>
        </is>
      </c>
      <c r="E16" s="134" t="inlineStr">
        <is>
          <t>HIGH</t>
        </is>
      </c>
      <c r="F16" s="130">
        <f>IF(E16="HIGH",10,IF(E16="MOD-HIGH",7,IF(E16="MOD-LOW",3,IF(E16="LOW",0,""))))</f>
        <v/>
      </c>
      <c r="G16" s="131">
        <f>IF(F16="","",C16*F16)</f>
        <v/>
      </c>
      <c r="H16" s="132" t="inlineStr">
        <is>
          <t>57.3%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5" t="inlineStr">
        <is>
          <t xml:space="preserve">  Credit Risk  (D / EBITDA)</t>
        </is>
      </c>
      <c r="B18" s="126" t="inlineStr">
        <is>
          <t>P3</t>
        </is>
      </c>
      <c r="C18" s="127" t="n">
        <v>0.05</v>
      </c>
      <c r="D18" s="128" t="inlineStr">
        <is>
          <t>0.6x</t>
        </is>
      </c>
      <c r="E18" s="134" t="inlineStr">
        <is>
          <t>HIGH</t>
        </is>
      </c>
      <c r="F18" s="130">
        <f>IF(E18="HIGH",10,IF(E18="MOD-HIGH",7,IF(E18="MOD-LOW",3,IF(E18="LOW",0,""))))</f>
        <v/>
      </c>
      <c r="G18" s="131">
        <f>IF(F18="","",C18*F18)</f>
        <v/>
      </c>
      <c r="H18" s="132" t="inlineStr">
        <is>
          <t>0.6x</t>
        </is>
      </c>
    </row>
    <row r="19" ht="18" customHeight="1">
      <c r="A19" s="125" t="inlineStr">
        <is>
          <t xml:space="preserve">  Interest Cover  (EBIT / Interest)</t>
        </is>
      </c>
      <c r="B19" s="126" t="inlineStr">
        <is>
          <t>P3</t>
        </is>
      </c>
      <c r="C19" s="127" t="n">
        <v>0.075</v>
      </c>
      <c r="D19" s="128" t="inlineStr">
        <is>
          <t>33.1x</t>
        </is>
      </c>
      <c r="E19" s="134" t="inlineStr">
        <is>
          <t>HIGH</t>
        </is>
      </c>
      <c r="F19" s="130">
        <f>IF(E19="HIGH",10,IF(E19="MOD-HIGH",7,IF(E19="MOD-LOW",3,IF(E19="LOW",0,""))))</f>
        <v/>
      </c>
      <c r="G19" s="131">
        <f>IF(F19="","",C19*F19)</f>
        <v/>
      </c>
      <c r="H19" s="132" t="inlineStr">
        <is>
          <t>33.1x</t>
        </is>
      </c>
    </row>
    <row r="20" ht="18" customHeight="1">
      <c r="A20" s="125" t="inlineStr">
        <is>
          <t xml:space="preserve">  Execution Risk</t>
        </is>
      </c>
      <c r="B20" s="126" t="inlineStr">
        <is>
          <t>P3</t>
        </is>
      </c>
      <c r="C20" s="127" t="n">
        <v>0.05</v>
      </c>
      <c r="D20" s="128" t="inlineStr">
        <is>
          <t>Rev growth σ=0.5%  |  Op margin σ=2.0%  [proxy — lower σ = lower risk = higher score]</t>
        </is>
      </c>
      <c r="E20" s="134" t="inlineStr">
        <is>
          <t>HIGH</t>
        </is>
      </c>
      <c r="F20" s="130">
        <f>IF(E20="HIGH",10,IF(E20="MOD-HIGH",7,IF(E20="MOD-LOW",3,IF(E20="LOW",0,""))))</f>
        <v/>
      </c>
      <c r="G20" s="131">
        <f>IF(F20="","",C20*F20)</f>
        <v/>
      </c>
      <c r="H20" s="132" t="inlineStr">
        <is>
          <t>Rev growth σ=0.5%  |  Op margin σ=2.0%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5" t="inlineStr">
        <is>
          <t xml:space="preserve">  Valuation vs Median  (P/E)</t>
        </is>
      </c>
      <c r="B22" s="126" t="inlineStr">
        <is>
          <t>P4</t>
        </is>
      </c>
      <c r="C22" s="127" t="n">
        <v>0.1</v>
      </c>
      <c r="D22" s="128" t="inlineStr">
        <is>
          <t>Current 19.1x  |  5yr avg 41.4x  |  Sector median 36.3x  [-54% vs benchmark]</t>
        </is>
      </c>
      <c r="E22" s="134" t="inlineStr">
        <is>
          <t>HIGH</t>
        </is>
      </c>
      <c r="F22" s="130">
        <f>IF(E22="HIGH",10,IF(E22="MOD-HIGH",7,IF(E22="MOD-LOW",3,IF(E22="LOW",0,""))))</f>
        <v/>
      </c>
      <c r="G22" s="131">
        <f>IF(F22="","",C22*F22)</f>
        <v/>
      </c>
      <c r="H22" s="132" t="inlineStr">
        <is>
          <t>Current 19.1x  |  5yr avg 41.4x  |  Sector median 36.3x  [-54% vs benchmark]</t>
        </is>
      </c>
    </row>
    <row r="23" ht="18" customHeight="1">
      <c r="A23" s="125" t="inlineStr">
        <is>
          <t xml:space="preserve">  Valuation vs Median  (P/FCF)</t>
        </is>
      </c>
      <c r="B23" s="126" t="inlineStr">
        <is>
          <t>P4</t>
        </is>
      </c>
      <c r="C23" s="127" t="n">
        <v>0.1</v>
      </c>
      <c r="D23" s="128" t="inlineStr">
        <is>
          <t>Current 13.8x  |  5yr avg 29.6x  |  Sector median 51.6x  [-53% vs benchmark]</t>
        </is>
      </c>
      <c r="E23" s="134" t="inlineStr">
        <is>
          <t>HIGH</t>
        </is>
      </c>
      <c r="F23" s="130">
        <f>IF(E23="HIGH",10,IF(E23="MOD-HIGH",7,IF(E23="MOD-LOW",3,IF(E23="LOW",0,""))))</f>
        <v/>
      </c>
      <c r="G23" s="131">
        <f>IF(F23="","",C23*F23)</f>
        <v/>
      </c>
      <c r="H23" s="132" t="inlineStr">
        <is>
          <t>Current 13.8x  |  5yr avg 29.6x  |  Sector median 51.6x  [-53%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2026-04-18T04:43:43Z</dcterms:created>
  <dcterms:modified xsi:type="dcterms:W3CDTF">2026-04-18T04:43:48Z</dcterms:modified>
</cp:coreProperties>
</file>