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B71C1C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i val="1"/>
      <color rgb="00B71C1C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5D4037"/>
      <sz val="10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FFEBEE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FFE0B2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0" fontId="12" fillId="13" borderId="1" applyAlignment="1" pivotButton="0" quotePrefix="0" xfId="0">
      <alignment horizontal="left" indent="2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171" fontId="13" fillId="6" borderId="1" applyAlignment="1" pivotButton="0" quotePrefix="0" xfId="0">
      <alignment horizontal="right"/>
    </xf>
    <xf numFmtId="0" fontId="14" fillId="6" borderId="1" applyAlignment="1" pivotButton="0" quotePrefix="0" xfId="0">
      <alignment horizontal="left" indent="1"/>
    </xf>
    <xf numFmtId="0" fontId="15" fillId="3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171" fontId="16" fillId="5" borderId="1" applyAlignment="1" pivotButton="0" quotePrefix="0" xfId="0">
      <alignment horizontal="right"/>
    </xf>
    <xf numFmtId="0" fontId="15" fillId="6" borderId="1" applyAlignment="1" pivotButton="0" quotePrefix="0" xfId="0">
      <alignment horizontal="center"/>
    </xf>
    <xf numFmtId="171" fontId="16" fillId="6" borderId="1" applyAlignment="1" pivotButton="0" quotePrefix="0" xfId="0">
      <alignment horizontal="right"/>
    </xf>
    <xf numFmtId="171" fontId="15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5" borderId="1" applyAlignment="1" pivotButton="0" quotePrefix="0" xfId="0">
      <alignment horizontal="right" vertical="center"/>
    </xf>
    <xf numFmtId="0" fontId="17" fillId="14" borderId="1" applyAlignment="1" pivotButton="0" quotePrefix="0" xfId="0">
      <alignment horizontal="left" indent="2"/>
    </xf>
    <xf numFmtId="0" fontId="3" fillId="15" borderId="1" applyAlignment="1" pivotButton="0" quotePrefix="0" xfId="0">
      <alignment horizontal="left" vertical="center" indent="1"/>
    </xf>
    <xf numFmtId="49" fontId="18" fillId="16" borderId="1" applyAlignment="1" pivotButton="0" quotePrefix="0" xfId="0">
      <alignment horizontal="right" vertical="center"/>
    </xf>
    <xf numFmtId="165" fontId="18" fillId="16" borderId="1" applyAlignment="1" pivotButton="0" quotePrefix="0" xfId="0">
      <alignment horizontal="right" vertical="center"/>
    </xf>
    <xf numFmtId="165" fontId="19" fillId="14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5" borderId="1" applyAlignment="1" pivotButton="0" quotePrefix="0" xfId="0">
      <alignment horizontal="right" vertical="center"/>
    </xf>
    <xf numFmtId="0" fontId="20" fillId="15" borderId="1" applyAlignment="1" pivotButton="0" quotePrefix="0" xfId="0">
      <alignment horizontal="left" wrapText="1" indent="1"/>
    </xf>
    <xf numFmtId="0" fontId="3" fillId="14" borderId="1" applyAlignment="1" pivotButton="0" quotePrefix="0" xfId="0">
      <alignment horizontal="left" vertical="center" indent="1"/>
    </xf>
    <xf numFmtId="164" fontId="7" fillId="16" borderId="1" applyAlignment="1" pivotButton="0" quotePrefix="0" xfId="0">
      <alignment horizontal="right" vertical="center"/>
    </xf>
    <xf numFmtId="164" fontId="19" fillId="14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0" fontId="20" fillId="5" borderId="1" applyAlignment="1" pivotButton="0" quotePrefix="0" xfId="0">
      <alignment horizontal="left" wrapText="1" indent="1"/>
    </xf>
    <xf numFmtId="0" fontId="21" fillId="5" borderId="1" applyAlignment="1" pivotButton="0" quotePrefix="0" xfId="0">
      <alignment horizontal="left" vertical="center" indent="2"/>
    </xf>
    <xf numFmtId="0" fontId="14" fillId="14" borderId="1" applyAlignment="1" pivotButton="0" quotePrefix="0" xfId="0">
      <alignment horizontal="right" vertical="center"/>
    </xf>
    <xf numFmtId="0" fontId="22" fillId="5" borderId="1" applyAlignment="1" pivotButton="0" quotePrefix="0" xfId="0">
      <alignment horizontal="right" vertical="center"/>
    </xf>
    <xf numFmtId="0" fontId="22" fillId="15" borderId="1" applyAlignment="1" pivotButton="0" quotePrefix="0" xfId="0">
      <alignment horizontal="right" vertical="center"/>
    </xf>
    <xf numFmtId="3" fontId="21" fillId="14" borderId="1" applyAlignment="1" pivotButton="0" quotePrefix="0" xfId="0">
      <alignment horizontal="right" vertical="center"/>
    </xf>
    <xf numFmtId="3" fontId="23" fillId="14" borderId="1" applyAlignment="1" pivotButton="0" quotePrefix="0" xfId="0">
      <alignment horizontal="right" vertical="center"/>
    </xf>
    <xf numFmtId="3" fontId="24" fillId="14" borderId="1" applyAlignment="1" pivotButton="0" quotePrefix="0" xfId="0">
      <alignment horizontal="right" vertical="center"/>
    </xf>
    <xf numFmtId="0" fontId="22" fillId="16" borderId="1" applyAlignment="1" pivotButton="0" quotePrefix="0" xfId="0">
      <alignment horizontal="right" vertical="center"/>
    </xf>
    <xf numFmtId="165" fontId="21" fillId="16" borderId="1" applyAlignment="1" pivotButton="0" quotePrefix="0" xfId="0">
      <alignment horizontal="right" vertical="center"/>
    </xf>
    <xf numFmtId="165" fontId="21" fillId="14" borderId="1" applyAlignment="1" pivotButton="0" quotePrefix="0" xfId="0">
      <alignment horizontal="right" vertical="center"/>
    </xf>
    <xf numFmtId="165" fontId="21" fillId="9" borderId="1" applyAlignment="1" pivotButton="0" quotePrefix="0" xfId="0">
      <alignment horizontal="right" vertical="center"/>
    </xf>
    <xf numFmtId="165" fontId="21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4" borderId="1" applyAlignment="1" pivotButton="0" quotePrefix="0" xfId="0">
      <alignment horizontal="right" vertical="center"/>
    </xf>
    <xf numFmtId="164" fontId="3" fillId="16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6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5" fontId="21" fillId="5" borderId="1" applyAlignment="1" pivotButton="0" quotePrefix="0" xfId="0">
      <alignment horizontal="right" vertical="center"/>
    </xf>
    <xf numFmtId="171" fontId="25" fillId="15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right" vertical="center"/>
    </xf>
    <xf numFmtId="171" fontId="5" fillId="15" borderId="1" applyAlignment="1" pivotButton="0" quotePrefix="0" xfId="0">
      <alignment horizontal="right" vertical="center"/>
    </xf>
    <xf numFmtId="173" fontId="5" fillId="1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6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5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5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4" borderId="1" applyAlignment="1" pivotButton="0" quotePrefix="0" xfId="0">
      <alignment horizontal="right" vertical="center"/>
    </xf>
    <xf numFmtId="167" fontId="26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7" fillId="2" borderId="0" applyAlignment="1" pivotButton="0" quotePrefix="0" xfId="0">
      <alignment horizontal="left" vertical="center" wrapText="1" indent="1"/>
    </xf>
    <xf numFmtId="0" fontId="16" fillId="6" borderId="0" applyAlignment="1" pivotButton="0" quotePrefix="0" xfId="0">
      <alignment horizontal="left" vertical="center" wrapText="1" indent="1"/>
    </xf>
    <xf numFmtId="0" fontId="28" fillId="17" borderId="0" applyAlignment="1" pivotButton="0" quotePrefix="0" xfId="0">
      <alignment horizontal="left" vertical="center" wrapText="1" indent="1"/>
    </xf>
    <xf numFmtId="0" fontId="29" fillId="7" borderId="1" applyAlignment="1" pivotButton="0" quotePrefix="0" xfId="0">
      <alignment horizontal="left" vertical="center" indent="1"/>
    </xf>
    <xf numFmtId="0" fontId="29" fillId="7" borderId="1" applyAlignment="1" pivotButton="0" quotePrefix="0" xfId="0">
      <alignment horizontal="center" vertical="center" indent="1"/>
    </xf>
    <xf numFmtId="0" fontId="6" fillId="18" borderId="1" applyAlignment="1" pivotButton="0" quotePrefix="0" xfId="0">
      <alignment horizontal="left" vertical="center"/>
    </xf>
    <xf numFmtId="0" fontId="30" fillId="18" borderId="1" applyAlignment="1" pivotButton="0" quotePrefix="0" xfId="0">
      <alignment horizontal="center" vertical="center"/>
    </xf>
    <xf numFmtId="168" fontId="6" fillId="18" borderId="1" applyAlignment="1" pivotButton="0" quotePrefix="0" xfId="0">
      <alignment horizontal="center" vertical="center"/>
    </xf>
    <xf numFmtId="0" fontId="22" fillId="18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8" borderId="1" applyAlignment="1" pivotButton="0" quotePrefix="0" xfId="0">
      <alignment horizontal="center" vertical="center"/>
    </xf>
    <xf numFmtId="176" fontId="6" fillId="18" borderId="1" applyAlignment="1" pivotButton="0" quotePrefix="0" xfId="0">
      <alignment horizontal="center" vertical="center"/>
    </xf>
    <xf numFmtId="0" fontId="14" fillId="18" borderId="1" applyAlignment="1" pivotButton="0" quotePrefix="0" xfId="0">
      <alignment horizontal="left" vertical="center" wrapText="1"/>
    </xf>
    <xf numFmtId="0" fontId="3" fillId="15" borderId="1" applyAlignment="1" pivotButton="0" quotePrefix="0" xfId="0">
      <alignment horizontal="left" vertical="center"/>
    </xf>
    <xf numFmtId="0" fontId="30" fillId="15" borderId="1" applyAlignment="1" pivotButton="0" quotePrefix="0" xfId="0">
      <alignment horizontal="center" vertical="center"/>
    </xf>
    <xf numFmtId="168" fontId="6" fillId="15" borderId="1" applyAlignment="1" pivotButton="0" quotePrefix="0" xfId="0">
      <alignment horizontal="center" vertical="center"/>
    </xf>
    <xf numFmtId="0" fontId="31" fillId="15" borderId="1" applyAlignment="1" pivotButton="0" quotePrefix="0" xfId="0">
      <alignment horizontal="left" vertical="center"/>
    </xf>
    <xf numFmtId="0" fontId="32" fillId="19" borderId="1" applyAlignment="1" pivotButton="0" quotePrefix="0" xfId="0">
      <alignment horizontal="center" vertical="center"/>
    </xf>
    <xf numFmtId="176" fontId="3" fillId="15" borderId="1" applyAlignment="1" pivotButton="0" quotePrefix="0" xfId="0">
      <alignment horizontal="center" vertical="center"/>
    </xf>
    <xf numFmtId="176" fontId="6" fillId="15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left" vertical="center" wrapText="1"/>
    </xf>
    <xf numFmtId="0" fontId="33" fillId="20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3" fillId="3" borderId="1" applyAlignment="1" pivotButton="0" quotePrefix="0" xfId="0">
      <alignment horizontal="center" vertical="center"/>
    </xf>
    <xf numFmtId="0" fontId="32" fillId="3" borderId="1" applyAlignment="1" pivotButton="0" quotePrefix="0" xfId="0">
      <alignment horizontal="left" vertical="center" indent="1"/>
    </xf>
    <xf numFmtId="0" fontId="34" fillId="13" borderId="1" applyAlignment="1" pivotButton="0" quotePrefix="0" xfId="0">
      <alignment horizontal="left" vertical="center" indent="1"/>
    </xf>
    <xf numFmtId="0" fontId="0" fillId="13" borderId="1" pivotButton="0" quotePrefix="0" xfId="0"/>
    <xf numFmtId="2" fontId="34" fillId="13" borderId="1" applyAlignment="1" pivotButton="0" quotePrefix="0" xfId="0">
      <alignment horizontal="center" vertical="center"/>
    </xf>
    <xf numFmtId="0" fontId="27" fillId="4" borderId="0" applyAlignment="1" pivotButton="0" quotePrefix="0" xfId="0">
      <alignment horizontal="center" vertical="center"/>
    </xf>
    <xf numFmtId="0" fontId="35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SOFI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4769.6</v>
      </c>
    </row>
    <row r="8">
      <c r="A8" s="3" t="inlineStr">
        <is>
          <t>Gross Profit ($mm)</t>
        </is>
      </c>
      <c r="B8" s="7" t="n">
        <v>3583.03</v>
      </c>
    </row>
    <row r="9">
      <c r="A9" s="3" t="inlineStr">
        <is>
          <t>EBITDA ($mm)</t>
        </is>
      </c>
      <c r="B9" s="7" t="n">
        <v>760.01</v>
      </c>
    </row>
    <row r="10">
      <c r="A10" s="3" t="inlineStr">
        <is>
          <t>EBIT ($mm)</t>
        </is>
      </c>
      <c r="B10" s="7" t="n">
        <v>525.86</v>
      </c>
    </row>
    <row r="11">
      <c r="A11" s="3" t="inlineStr">
        <is>
          <t>Net Income ($mm)</t>
        </is>
      </c>
      <c r="B11" s="7" t="n">
        <v>481.32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1087.65</v>
      </c>
      <c r="C5" s="16" t="n">
        <v>1762.81</v>
      </c>
      <c r="D5" s="16" t="n">
        <v>2897.54</v>
      </c>
      <c r="E5" s="16" t="n">
        <v>3703.68</v>
      </c>
      <c r="F5" s="16" t="n">
        <v>4769.6</v>
      </c>
    </row>
    <row r="6">
      <c r="A6" s="17" t="inlineStr">
        <is>
          <t>(2)  Cost of Revenue (COGS)</t>
        </is>
      </c>
      <c r="B6" s="18" t="n">
        <v>110.35</v>
      </c>
      <c r="C6" s="18" t="n">
        <v>243.61</v>
      </c>
      <c r="D6" s="18" t="n">
        <v>844.27</v>
      </c>
      <c r="E6" s="18" t="n">
        <v>1123.05</v>
      </c>
      <c r="F6" s="18" t="n">
        <v>1186.56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925.41</v>
      </c>
      <c r="C9" s="18" t="n">
        <v>1119.44</v>
      </c>
      <c r="D9" s="18" t="n">
        <v>1230.41</v>
      </c>
      <c r="E9" s="18" t="n">
        <v>1396.38</v>
      </c>
      <c r="F9" s="18" t="n">
        <v>1799.85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1458.48</v>
      </c>
      <c r="C11" s="18" t="n">
        <v>1837.92</v>
      </c>
      <c r="D11" s="18" t="n">
        <v>2354.43</v>
      </c>
      <c r="E11" s="18" t="n">
        <v>2347.28</v>
      </c>
      <c r="F11" s="18" t="n">
        <v>3057.18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101.57</v>
      </c>
      <c r="C14" s="18" t="n">
        <v>151.36</v>
      </c>
      <c r="D14" s="18" t="n">
        <v>201.42</v>
      </c>
      <c r="E14" s="18" t="n">
        <v>203.5</v>
      </c>
      <c r="F14" s="18" t="n">
        <v>234.15</v>
      </c>
    </row>
    <row r="15">
      <c r="A15" s="19" t="inlineStr">
        <is>
          <t>(8)  EBIT (Operating Income)</t>
        </is>
      </c>
      <c r="B15" s="24" t="n">
        <v>-481.18</v>
      </c>
      <c r="C15" s="24" t="n">
        <v>-318.72</v>
      </c>
      <c r="D15" s="24" t="n">
        <v>-301.16</v>
      </c>
      <c r="E15" s="24" t="n">
        <v>233.34</v>
      </c>
      <c r="F15" s="24" t="n">
        <v>525.86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102.78</v>
      </c>
      <c r="C17" s="18" t="n">
        <v>189.28</v>
      </c>
      <c r="D17" s="18" t="n">
        <v>789.33</v>
      </c>
      <c r="E17" s="18" t="n">
        <v>1091.34</v>
      </c>
      <c r="F17" s="18" t="n">
        <v>1156.24</v>
      </c>
    </row>
    <row r="18">
      <c r="A18" s="21" t="inlineStr">
        <is>
          <t xml:space="preserve">     Interest Income</t>
        </is>
      </c>
      <c r="B18" s="18" t="n">
        <v>355.02</v>
      </c>
      <c r="C18" s="18" t="n">
        <v>773.37</v>
      </c>
      <c r="D18" s="18" t="n">
        <v>2051.07</v>
      </c>
      <c r="E18" s="18" t="n">
        <v>2807.82</v>
      </c>
      <c r="F18" s="18" t="n">
        <v>3375.2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-481.18</v>
      </c>
      <c r="C21" s="24" t="n">
        <v>-318.72</v>
      </c>
      <c r="D21" s="24" t="n">
        <v>-301.16</v>
      </c>
      <c r="E21" s="24" t="n">
        <v>233.34</v>
      </c>
      <c r="F21" s="24" t="n">
        <v>525.86</v>
      </c>
    </row>
    <row r="22">
      <c r="A22" s="17" t="inlineStr">
        <is>
          <t>(11) Income Tax Expense</t>
        </is>
      </c>
      <c r="B22" s="18" t="n">
        <v>2.76</v>
      </c>
      <c r="C22" s="18" t="n">
        <v>1.69</v>
      </c>
      <c r="D22" s="18" t="n">
        <v>-0.42</v>
      </c>
      <c r="E22" s="18" t="n">
        <v>-265.32</v>
      </c>
      <c r="F22" s="18" t="n">
        <v>44.54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-483.94</v>
      </c>
      <c r="C24" s="24" t="n">
        <v>-320.41</v>
      </c>
      <c r="D24" s="24" t="n">
        <v>-300.74</v>
      </c>
      <c r="E24" s="24" t="n">
        <v>498.67</v>
      </c>
      <c r="F24" s="24" t="n">
        <v>481.32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1087.65</v>
      </c>
      <c r="C30" s="16" t="n">
        <v>1762.81</v>
      </c>
      <c r="D30" s="16" t="n">
        <v>2897.54</v>
      </c>
      <c r="E30" s="16" t="n">
        <v>3703.68</v>
      </c>
      <c r="F30" s="16" t="n">
        <v>4769.6</v>
      </c>
    </row>
    <row r="31">
      <c r="A31" s="17" t="inlineStr">
        <is>
          <t>Cost of Revenue</t>
        </is>
      </c>
      <c r="B31" s="18" t="n">
        <v>110.35</v>
      </c>
      <c r="C31" s="18" t="n">
        <v>243.61</v>
      </c>
      <c r="D31" s="18" t="n">
        <v>844.27</v>
      </c>
      <c r="E31" s="18" t="n">
        <v>1123.05</v>
      </c>
      <c r="F31" s="18" t="n">
        <v>1186.56</v>
      </c>
    </row>
    <row r="32">
      <c r="A32" s="26" t="inlineStr">
        <is>
          <t>Gross Profit</t>
        </is>
      </c>
      <c r="B32" s="27" t="n">
        <v>977.3</v>
      </c>
      <c r="C32" s="27" t="n">
        <v>1519.2</v>
      </c>
      <c r="D32" s="27" t="n">
        <v>2053.27</v>
      </c>
      <c r="E32" s="27" t="n">
        <v>2580.63</v>
      </c>
      <c r="F32" s="27" t="n">
        <v>3583.03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498.53</v>
      </c>
      <c r="C35" s="18" t="n">
        <v>501.62</v>
      </c>
      <c r="D35" s="18" t="n">
        <v>511.01</v>
      </c>
      <c r="E35" s="18" t="n">
        <v>600.09</v>
      </c>
      <c r="F35" s="18" t="n">
        <v>704.4400000000001</v>
      </c>
    </row>
    <row r="36">
      <c r="A36" s="17" t="inlineStr">
        <is>
          <t>Selling &amp; Marketing</t>
        </is>
      </c>
      <c r="B36" s="18" t="n">
        <v>426.88</v>
      </c>
      <c r="C36" s="18" t="n">
        <v>617.8200000000001</v>
      </c>
      <c r="D36" s="18" t="n">
        <v>719.4</v>
      </c>
      <c r="E36" s="18" t="n">
        <v>796.29</v>
      </c>
      <c r="F36" s="18" t="n">
        <v>1095.41</v>
      </c>
    </row>
    <row r="37">
      <c r="A37" s="17" t="inlineStr">
        <is>
          <t>SG&amp;A (Combined)</t>
        </is>
      </c>
      <c r="B37" s="18" t="n">
        <v>925.41</v>
      </c>
      <c r="C37" s="18" t="n">
        <v>1119.44</v>
      </c>
      <c r="D37" s="18" t="n">
        <v>1230.41</v>
      </c>
      <c r="E37" s="18" t="n">
        <v>1396.38</v>
      </c>
      <c r="F37" s="18" t="n">
        <v>1799.85</v>
      </c>
    </row>
    <row r="38">
      <c r="A38" s="17" t="inlineStr">
        <is>
          <t>Other Expenses</t>
        </is>
      </c>
      <c r="B38" s="18" t="n">
        <v>533.0700000000001</v>
      </c>
      <c r="C38" s="18" t="n">
        <v>718.48</v>
      </c>
      <c r="D38" s="18" t="n">
        <v>1124.02</v>
      </c>
      <c r="E38" s="18" t="n">
        <v>950.9</v>
      </c>
      <c r="F38" s="18" t="n">
        <v>1257.33</v>
      </c>
    </row>
    <row r="39">
      <c r="A39" s="26" t="inlineStr">
        <is>
          <t>Total Operating Expenses</t>
        </is>
      </c>
      <c r="B39" s="27" t="n">
        <v>1458.48</v>
      </c>
      <c r="C39" s="27" t="n">
        <v>1837.92</v>
      </c>
      <c r="D39" s="27" t="n">
        <v>2354.43</v>
      </c>
      <c r="E39" s="27" t="n">
        <v>2347.28</v>
      </c>
      <c r="F39" s="27" t="n">
        <v>3057.18</v>
      </c>
    </row>
    <row r="40">
      <c r="A40" s="17" t="inlineStr">
        <is>
          <t>Cost &amp; Expenses (COGS + Opex)</t>
        </is>
      </c>
      <c r="B40" s="18" t="n">
        <v>1568.83</v>
      </c>
      <c r="C40" s="18" t="n">
        <v>2081.53</v>
      </c>
      <c r="D40" s="18" t="n">
        <v>3198.7</v>
      </c>
      <c r="E40" s="18" t="n">
        <v>3470.33</v>
      </c>
      <c r="F40" s="18" t="n">
        <v>4243.74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-481.18</v>
      </c>
      <c r="C42" s="16" t="n">
        <v>-318.72</v>
      </c>
      <c r="D42" s="16" t="n">
        <v>-301.16</v>
      </c>
      <c r="E42" s="16" t="n">
        <v>233.34</v>
      </c>
      <c r="F42" s="16" t="n">
        <v>525.86</v>
      </c>
    </row>
    <row r="43">
      <c r="A43" s="17" t="inlineStr">
        <is>
          <t>EBIT (FMP field)</t>
        </is>
      </c>
      <c r="B43" s="18" t="n">
        <v>-481.18</v>
      </c>
      <c r="C43" s="18" t="n">
        <v>-318.72</v>
      </c>
      <c r="D43" s="18" t="n">
        <v>-301.16</v>
      </c>
      <c r="E43" s="18" t="n">
        <v>233.34</v>
      </c>
      <c r="F43" s="18" t="n">
        <v>525.86</v>
      </c>
    </row>
    <row r="44">
      <c r="A44" s="26" t="inlineStr">
        <is>
          <t>EBITDA</t>
        </is>
      </c>
      <c r="B44" s="27" t="n">
        <v>-379.61</v>
      </c>
      <c r="C44" s="27" t="n">
        <v>-167.36</v>
      </c>
      <c r="D44" s="27" t="n">
        <v>-99.73999999999999</v>
      </c>
      <c r="E44" s="27" t="n">
        <v>436.84</v>
      </c>
      <c r="F44" s="27" t="n">
        <v>760.01</v>
      </c>
    </row>
    <row r="45">
      <c r="A45" s="17" t="inlineStr">
        <is>
          <t>Depreciation &amp; Amortisation</t>
        </is>
      </c>
      <c r="B45" s="18" t="n">
        <v>101.57</v>
      </c>
      <c r="C45" s="18" t="n">
        <v>151.36</v>
      </c>
      <c r="D45" s="18" t="n">
        <v>201.42</v>
      </c>
      <c r="E45" s="18" t="n">
        <v>203.5</v>
      </c>
      <c r="F45" s="18" t="n">
        <v>234.15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355.02</v>
      </c>
      <c r="C47" s="18" t="n">
        <v>773.37</v>
      </c>
      <c r="D47" s="18" t="n">
        <v>2051.07</v>
      </c>
      <c r="E47" s="18" t="n">
        <v>2807.82</v>
      </c>
      <c r="F47" s="18" t="n">
        <v>3375.2</v>
      </c>
    </row>
    <row r="48">
      <c r="A48" s="17" t="inlineStr">
        <is>
          <t>Interest Expense</t>
        </is>
      </c>
      <c r="B48" s="18" t="n">
        <v>102.78</v>
      </c>
      <c r="C48" s="18" t="n">
        <v>189.28</v>
      </c>
      <c r="D48" s="18" t="n">
        <v>789.33</v>
      </c>
      <c r="E48" s="18" t="n">
        <v>1091.34</v>
      </c>
      <c r="F48" s="18" t="n">
        <v>1156.24</v>
      </c>
    </row>
    <row r="49">
      <c r="A49" s="17" t="inlineStr">
        <is>
          <t>Net Interest Income</t>
        </is>
      </c>
      <c r="B49" s="18" t="n">
        <v>252.24</v>
      </c>
      <c r="C49" s="18" t="n">
        <v>584.1</v>
      </c>
      <c r="D49" s="18" t="n">
        <v>1261.74</v>
      </c>
      <c r="E49" s="18" t="n">
        <v>1716.48</v>
      </c>
      <c r="F49" s="18" t="n">
        <v>2218.96</v>
      </c>
    </row>
    <row r="50">
      <c r="A50" s="17" t="inlineStr">
        <is>
          <t>Non-Operating Income (ex-interest)</t>
        </is>
      </c>
      <c r="B50" s="18" t="n">
        <v>0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Total Other Income / (Expenses)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26" t="inlineStr">
        <is>
          <t>EBT / Income Before Tax</t>
        </is>
      </c>
      <c r="B52" s="27" t="n">
        <v>-481.18</v>
      </c>
      <c r="C52" s="27" t="n">
        <v>-318.72</v>
      </c>
      <c r="D52" s="27" t="n">
        <v>-301.16</v>
      </c>
      <c r="E52" s="27" t="n">
        <v>233.34</v>
      </c>
      <c r="F52" s="27" t="n">
        <v>525.86</v>
      </c>
    </row>
    <row r="53">
      <c r="A53" s="17" t="inlineStr">
        <is>
          <t>Income Tax Expense</t>
        </is>
      </c>
      <c r="B53" s="18" t="n">
        <v>2.76</v>
      </c>
      <c r="C53" s="18" t="n">
        <v>1.69</v>
      </c>
      <c r="D53" s="18" t="n">
        <v>-0.42</v>
      </c>
      <c r="E53" s="18" t="n">
        <v>-265.32</v>
      </c>
      <c r="F53" s="18" t="n">
        <v>44.54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-483.94</v>
      </c>
      <c r="C55" s="18" t="n">
        <v>-320.41</v>
      </c>
      <c r="D55" s="18" t="n">
        <v>-300.74</v>
      </c>
      <c r="E55" s="18" t="n">
        <v>498.67</v>
      </c>
      <c r="F55" s="18" t="n">
        <v>481.32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-19.53</v>
      </c>
      <c r="F58" s="18" t="n">
        <v>0</v>
      </c>
    </row>
    <row r="59">
      <c r="A59" s="26" t="inlineStr">
        <is>
          <t>Net Income</t>
        </is>
      </c>
      <c r="B59" s="27" t="n">
        <v>-483.94</v>
      </c>
      <c r="C59" s="27" t="n">
        <v>-320.41</v>
      </c>
      <c r="D59" s="27" t="n">
        <v>-300.74</v>
      </c>
      <c r="E59" s="27" t="n">
        <v>498.67</v>
      </c>
      <c r="F59" s="27" t="n">
        <v>481.32</v>
      </c>
    </row>
    <row r="60">
      <c r="A60" s="15" t="inlineStr">
        <is>
          <t>Bottom Line Net Income</t>
        </is>
      </c>
      <c r="B60" s="16" t="n">
        <v>-524.36</v>
      </c>
      <c r="C60" s="16" t="n">
        <v>-360.83</v>
      </c>
      <c r="D60" s="16" t="n">
        <v>-341.17</v>
      </c>
      <c r="E60" s="16" t="n">
        <v>498.67</v>
      </c>
      <c r="F60" s="16" t="n">
        <v>481.32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-1</v>
      </c>
      <c r="C62" s="18" t="n">
        <v>-0.4</v>
      </c>
      <c r="D62" s="18" t="n">
        <v>-0.36</v>
      </c>
      <c r="E62" s="18" t="n">
        <v>0.46</v>
      </c>
      <c r="F62" s="18" t="n">
        <v>0.42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526.73</v>
      </c>
      <c r="C64" s="18" t="n">
        <v>900.89</v>
      </c>
      <c r="D64" s="18" t="n">
        <v>945.02</v>
      </c>
      <c r="E64" s="18" t="n">
        <v>1050.22</v>
      </c>
      <c r="F64" s="18" t="n">
        <v>1150.14</v>
      </c>
    </row>
    <row r="65">
      <c r="A65" s="17" t="inlineStr">
        <is>
          <t>Shares Outstanding — Diluted (mm)</t>
        </is>
      </c>
      <c r="B65" s="18" t="n">
        <v>526.73</v>
      </c>
      <c r="C65" s="18" t="n">
        <v>900.89</v>
      </c>
      <c r="D65" s="18" t="n">
        <v>945.02</v>
      </c>
      <c r="E65" s="18" t="n">
        <v>1101.39</v>
      </c>
      <c r="F65" s="18" t="n">
        <v>1251.77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494.71</v>
      </c>
      <c r="C5" s="18" t="n">
        <v>1421.91</v>
      </c>
      <c r="D5" s="18" t="n">
        <v>3085.02</v>
      </c>
      <c r="E5" s="18" t="n">
        <v>2538.29</v>
      </c>
      <c r="F5" s="18" t="n">
        <v>4929.45</v>
      </c>
    </row>
    <row r="6">
      <c r="A6" s="17" t="inlineStr">
        <is>
          <t>(2)  Receivables</t>
        </is>
      </c>
      <c r="B6" s="18" t="n">
        <v>85.52</v>
      </c>
      <c r="C6" s="18" t="n">
        <v>127.05</v>
      </c>
      <c r="D6" s="18" t="n">
        <v>169.85</v>
      </c>
      <c r="E6" s="18" t="n">
        <v>587.5</v>
      </c>
      <c r="F6" s="18" t="n">
        <v>0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833.04</v>
      </c>
      <c r="C9" s="24" t="n">
        <v>1661.82</v>
      </c>
      <c r="D9" s="24" t="n">
        <v>3868.56</v>
      </c>
      <c r="E9" s="24" t="n">
        <v>5206.76</v>
      </c>
      <c r="F9" s="24" t="n">
        <v>5356.77</v>
      </c>
    </row>
    <row r="10">
      <c r="A10" s="17" t="inlineStr">
        <is>
          <t>(6)  PP&amp;E (Net)</t>
        </is>
      </c>
      <c r="B10" s="18" t="n">
        <v>227.06</v>
      </c>
      <c r="C10" s="18" t="n">
        <v>267.24</v>
      </c>
      <c r="D10" s="18" t="n">
        <v>306.54</v>
      </c>
      <c r="E10" s="18" t="n">
        <v>369.09</v>
      </c>
      <c r="F10" s="18" t="n">
        <v>510.39</v>
      </c>
    </row>
    <row r="11">
      <c r="A11" s="17" t="inlineStr">
        <is>
          <t>(7)  Goodwill</t>
        </is>
      </c>
      <c r="B11" s="18" t="n">
        <v>898.53</v>
      </c>
      <c r="C11" s="18" t="n">
        <v>1622.99</v>
      </c>
      <c r="D11" s="18" t="n">
        <v>1393.51</v>
      </c>
      <c r="E11" s="18" t="n">
        <v>1393.51</v>
      </c>
      <c r="F11" s="18" t="n">
        <v>1393.51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267.22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8343.280000000001</v>
      </c>
      <c r="C14" s="24" t="n">
        <v>17345.86</v>
      </c>
      <c r="D14" s="24" t="n">
        <v>26206.3</v>
      </c>
      <c r="E14" s="24" t="n">
        <v>31044.19</v>
      </c>
      <c r="F14" s="24" t="n">
        <v>45303.71</v>
      </c>
    </row>
    <row r="15">
      <c r="A15" s="19" t="inlineStr">
        <is>
          <t>(11) Total Assets</t>
        </is>
      </c>
      <c r="B15" s="24" t="n">
        <v>9176.33</v>
      </c>
      <c r="C15" s="24" t="n">
        <v>19007.67</v>
      </c>
      <c r="D15" s="24" t="n">
        <v>30074.86</v>
      </c>
      <c r="E15" s="24" t="n">
        <v>36250.95</v>
      </c>
      <c r="F15" s="24" t="n">
        <v>50660.48</v>
      </c>
    </row>
    <row r="16" ht="6" customHeight="1"/>
    <row r="17">
      <c r="A17" s="17" t="inlineStr">
        <is>
          <t>(12) Accounts Payable</t>
        </is>
      </c>
      <c r="B17" s="18" t="n">
        <v>158.06</v>
      </c>
      <c r="C17" s="18" t="n">
        <v>144.57</v>
      </c>
      <c r="D17" s="18" t="n">
        <v>159.91</v>
      </c>
      <c r="E17" s="18" t="n">
        <v>132.78</v>
      </c>
      <c r="F17" s="18" t="n">
        <v>0</v>
      </c>
    </row>
    <row r="18">
      <c r="A18" s="17" t="inlineStr">
        <is>
          <t>(13) Short-Term Borrowings</t>
        </is>
      </c>
      <c r="B18" s="18" t="n">
        <v>497.81</v>
      </c>
      <c r="C18" s="18" t="n">
        <v>486</v>
      </c>
      <c r="D18" s="18" t="n">
        <v>486</v>
      </c>
      <c r="E18" s="18" t="n">
        <v>486</v>
      </c>
      <c r="F18" s="18" t="n">
        <v>0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750.0700000000001</v>
      </c>
      <c r="C21" s="24" t="n">
        <v>8118.84</v>
      </c>
      <c r="D21" s="24" t="n">
        <v>19468.84</v>
      </c>
      <c r="E21" s="24" t="n">
        <v>26862.3</v>
      </c>
      <c r="F21" s="24" t="n">
        <v>0</v>
      </c>
    </row>
    <row r="22">
      <c r="A22" s="17" t="inlineStr">
        <is>
          <t>(17) Long-Term Debt</t>
        </is>
      </c>
      <c r="B22" s="18" t="n">
        <v>3543.86</v>
      </c>
      <c r="C22" s="18" t="n">
        <v>5016.93</v>
      </c>
      <c r="D22" s="18" t="n">
        <v>4754.81</v>
      </c>
      <c r="E22" s="18" t="n">
        <v>2607.3</v>
      </c>
      <c r="F22" s="18" t="n">
        <v>1815.68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4478.62</v>
      </c>
      <c r="C25" s="24" t="n">
        <v>13479.2</v>
      </c>
      <c r="D25" s="24" t="n">
        <v>24519.87</v>
      </c>
      <c r="E25" s="24" t="n">
        <v>29725.82</v>
      </c>
      <c r="F25" s="24" t="n">
        <v>40170.98</v>
      </c>
    </row>
    <row r="26" ht="6" customHeight="1"/>
    <row r="27">
      <c r="A27" s="17" t="inlineStr">
        <is>
          <t>(21) Common Stock &amp; APIC</t>
        </is>
      </c>
      <c r="B27" s="18" t="n">
        <v>0.08</v>
      </c>
      <c r="C27" s="18" t="n">
        <v>0.09</v>
      </c>
      <c r="D27" s="18" t="n">
        <v>0.1</v>
      </c>
      <c r="E27" s="18" t="n">
        <v>0.11</v>
      </c>
      <c r="F27" s="18" t="n">
        <v>0.13</v>
      </c>
    </row>
    <row r="28">
      <c r="A28" s="17" t="inlineStr">
        <is>
          <t>(22) Retained Earnings</t>
        </is>
      </c>
      <c r="B28" s="18" t="n">
        <v>-1183.11</v>
      </c>
      <c r="C28" s="18" t="n">
        <v>-1503.52</v>
      </c>
      <c r="D28" s="18" t="n">
        <v>-1804.26</v>
      </c>
      <c r="E28" s="18" t="n">
        <v>-1305.6</v>
      </c>
      <c r="F28" s="18" t="n">
        <v>-824.28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4697.7</v>
      </c>
      <c r="C30" s="24" t="n">
        <v>5528.48</v>
      </c>
      <c r="D30" s="24" t="n">
        <v>5554.99</v>
      </c>
      <c r="E30" s="24" t="n">
        <v>6525.13</v>
      </c>
      <c r="F30" s="24" t="n">
        <v>10489.5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494.71</v>
      </c>
      <c r="C36" s="18" t="n">
        <v>1421.91</v>
      </c>
      <c r="D36" s="18" t="n">
        <v>3085.02</v>
      </c>
      <c r="E36" s="18" t="n">
        <v>2538.29</v>
      </c>
      <c r="F36" s="18" t="n">
        <v>4929.45</v>
      </c>
    </row>
    <row r="37">
      <c r="A37" s="17" t="inlineStr">
        <is>
          <t>Short-Term Investments</t>
        </is>
      </c>
      <c r="B37" s="18" t="n">
        <v>194.91</v>
      </c>
      <c r="C37" s="18" t="n">
        <v>39.43</v>
      </c>
      <c r="D37" s="18" t="n">
        <v>500.94</v>
      </c>
      <c r="E37" s="18" t="n">
        <v>1804.04</v>
      </c>
      <c r="F37" s="18" t="n">
        <v>0</v>
      </c>
    </row>
    <row r="38">
      <c r="A38" s="28" t="inlineStr">
        <is>
          <t>Cash &amp; Short-Term Investments</t>
        </is>
      </c>
      <c r="B38" s="29" t="n">
        <v>689.62</v>
      </c>
      <c r="C38" s="29" t="n">
        <v>1461.34</v>
      </c>
      <c r="D38" s="29" t="n">
        <v>3585.96</v>
      </c>
      <c r="E38" s="29" t="n">
        <v>4342.34</v>
      </c>
      <c r="F38" s="29" t="n">
        <v>4929.45</v>
      </c>
    </row>
    <row r="39">
      <c r="A39" s="17" t="inlineStr">
        <is>
          <t>Accounts Receivable (Trade)</t>
        </is>
      </c>
      <c r="B39" s="18" t="n">
        <v>85.52</v>
      </c>
      <c r="C39" s="18" t="n">
        <v>127.05</v>
      </c>
      <c r="D39" s="18" t="n">
        <v>169.85</v>
      </c>
      <c r="E39" s="18" t="n">
        <v>587.5</v>
      </c>
      <c r="F39" s="18" t="n">
        <v>0</v>
      </c>
    </row>
    <row r="40">
      <c r="A40" s="17" t="inlineStr">
        <is>
          <t>Other Receivables</t>
        </is>
      </c>
      <c r="B40" s="18" t="n">
        <v>0</v>
      </c>
      <c r="C40" s="18" t="n">
        <v>0</v>
      </c>
      <c r="D40" s="18" t="n">
        <v>0</v>
      </c>
      <c r="E40" s="18" t="n">
        <v>0</v>
      </c>
      <c r="F40" s="18" t="n">
        <v>0</v>
      </c>
    </row>
    <row r="41">
      <c r="A41" s="28" t="inlineStr">
        <is>
          <t>Net Receivables (Total)</t>
        </is>
      </c>
      <c r="B41" s="29" t="n">
        <v>85.52</v>
      </c>
      <c r="C41" s="29" t="n">
        <v>127.05</v>
      </c>
      <c r="D41" s="29" t="n">
        <v>169.85</v>
      </c>
      <c r="E41" s="29" t="n">
        <v>587.5</v>
      </c>
      <c r="F41" s="29" t="n">
        <v>0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57.9</v>
      </c>
      <c r="C43" s="18" t="n">
        <v>73.43000000000001</v>
      </c>
      <c r="D43" s="18" t="n">
        <v>112.75</v>
      </c>
      <c r="E43" s="18" t="n">
        <v>276.93</v>
      </c>
      <c r="F43" s="18" t="n">
        <v>0</v>
      </c>
    </row>
    <row r="44">
      <c r="A44" s="17" t="inlineStr">
        <is>
          <t>Other Current Assets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427.32</v>
      </c>
    </row>
    <row r="45">
      <c r="A45" s="26" t="inlineStr">
        <is>
          <t>Total Current Assets</t>
        </is>
      </c>
      <c r="B45" s="27" t="n">
        <v>833.04</v>
      </c>
      <c r="C45" s="27" t="n">
        <v>1661.82</v>
      </c>
      <c r="D45" s="27" t="n">
        <v>3868.56</v>
      </c>
      <c r="E45" s="27" t="n">
        <v>5206.76</v>
      </c>
      <c r="F45" s="27" t="n">
        <v>5356.77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227.06</v>
      </c>
      <c r="C47" s="18" t="n">
        <v>267.24</v>
      </c>
      <c r="D47" s="18" t="n">
        <v>306.54</v>
      </c>
      <c r="E47" s="18" t="n">
        <v>369.09</v>
      </c>
      <c r="F47" s="18" t="n">
        <v>510.39</v>
      </c>
    </row>
    <row r="48">
      <c r="A48" s="17" t="inlineStr">
        <is>
          <t>Goodwill</t>
        </is>
      </c>
      <c r="B48" s="18" t="n">
        <v>898.53</v>
      </c>
      <c r="C48" s="18" t="n">
        <v>1622.99</v>
      </c>
      <c r="D48" s="18" t="n">
        <v>1393.51</v>
      </c>
      <c r="E48" s="18" t="n">
        <v>1393.51</v>
      </c>
      <c r="F48" s="18" t="n">
        <v>1393.51</v>
      </c>
    </row>
    <row r="49">
      <c r="A49" s="17" t="inlineStr">
        <is>
          <t>Intangible Assets</t>
        </is>
      </c>
      <c r="B49" s="18" t="n">
        <v>452.84</v>
      </c>
      <c r="C49" s="18" t="n">
        <v>592.01</v>
      </c>
      <c r="D49" s="18" t="n">
        <v>544.52</v>
      </c>
      <c r="E49" s="18" t="n">
        <v>639.92</v>
      </c>
      <c r="F49" s="18" t="n">
        <v>610.1</v>
      </c>
    </row>
    <row r="50">
      <c r="A50" s="17" t="inlineStr">
        <is>
          <t>Long-Term Investments</t>
        </is>
      </c>
      <c r="B50" s="18" t="n">
        <v>6484.7</v>
      </c>
      <c r="C50" s="18" t="n">
        <v>14279.8</v>
      </c>
      <c r="D50" s="18" t="n">
        <v>23292.45</v>
      </c>
      <c r="E50" s="18" t="n">
        <v>28031.78</v>
      </c>
      <c r="F50" s="18" t="n">
        <v>25387.42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267.22</v>
      </c>
      <c r="F51" s="18" t="n">
        <v>0</v>
      </c>
    </row>
    <row r="52">
      <c r="A52" s="17" t="inlineStr">
        <is>
          <t>Total Investments</t>
        </is>
      </c>
      <c r="B52" s="18" t="n">
        <v>6679.61</v>
      </c>
      <c r="C52" s="18" t="n">
        <v>14319.24</v>
      </c>
      <c r="D52" s="18" t="n">
        <v>23793.39</v>
      </c>
      <c r="E52" s="18" t="n">
        <v>29835.83</v>
      </c>
      <c r="F52" s="18" t="n">
        <v>25387.42</v>
      </c>
    </row>
    <row r="53">
      <c r="A53" s="17" t="inlineStr">
        <is>
          <t>Other Non-Current Assets</t>
        </is>
      </c>
      <c r="B53" s="18" t="n">
        <v>280.15</v>
      </c>
      <c r="C53" s="18" t="n">
        <v>583.8200000000001</v>
      </c>
      <c r="D53" s="18" t="n">
        <v>669.28</v>
      </c>
      <c r="E53" s="18" t="n">
        <v>342.67</v>
      </c>
      <c r="F53" s="18" t="n">
        <v>17402.29</v>
      </c>
    </row>
    <row r="54">
      <c r="A54" s="26" t="inlineStr">
        <is>
          <t>Total Non-Current Assets</t>
        </is>
      </c>
      <c r="B54" s="27" t="n">
        <v>8343.280000000001</v>
      </c>
      <c r="C54" s="27" t="n">
        <v>17345.86</v>
      </c>
      <c r="D54" s="27" t="n">
        <v>26206.3</v>
      </c>
      <c r="E54" s="27" t="n">
        <v>31044.19</v>
      </c>
      <c r="F54" s="27" t="n">
        <v>45303.71</v>
      </c>
    </row>
    <row r="55">
      <c r="A55" s="13" t="inlineStr">
        <is>
          <t>TOTAL ASSETS</t>
        </is>
      </c>
      <c r="B55" s="30" t="n">
        <v>9176.33</v>
      </c>
      <c r="C55" s="30" t="n">
        <v>19007.67</v>
      </c>
      <c r="D55" s="30" t="n">
        <v>30074.86</v>
      </c>
      <c r="E55" s="30" t="n">
        <v>36250.95</v>
      </c>
      <c r="F55" s="30" t="n">
        <v>50660.48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158.06</v>
      </c>
      <c r="C57" s="18" t="n">
        <v>144.57</v>
      </c>
      <c r="D57" s="18" t="n">
        <v>159.91</v>
      </c>
      <c r="E57" s="18" t="n">
        <v>132.78</v>
      </c>
      <c r="F57" s="18" t="n">
        <v>0</v>
      </c>
    </row>
    <row r="58">
      <c r="A58" s="17" t="inlineStr">
        <is>
          <t>Short-Term Debt</t>
        </is>
      </c>
      <c r="B58" s="18" t="n">
        <v>497.81</v>
      </c>
      <c r="C58" s="18" t="n">
        <v>486</v>
      </c>
      <c r="D58" s="18" t="n">
        <v>486</v>
      </c>
      <c r="E58" s="18" t="n">
        <v>486</v>
      </c>
      <c r="F58" s="18" t="n">
        <v>0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0</v>
      </c>
      <c r="C61" s="18" t="n">
        <v>7342.3</v>
      </c>
      <c r="D61" s="18" t="n">
        <v>18620.66</v>
      </c>
      <c r="E61" s="18" t="n">
        <v>25978.2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750.0700000000001</v>
      </c>
      <c r="C63" s="27" t="n">
        <v>8118.84</v>
      </c>
      <c r="D63" s="27" t="n">
        <v>19468.84</v>
      </c>
      <c r="E63" s="27" t="n">
        <v>26862.3</v>
      </c>
      <c r="F63" s="27" t="n">
        <v>0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3543.86</v>
      </c>
      <c r="C65" s="18" t="n">
        <v>5016.93</v>
      </c>
      <c r="D65" s="18" t="n">
        <v>4754.81</v>
      </c>
      <c r="E65" s="18" t="n">
        <v>2607.3</v>
      </c>
      <c r="F65" s="18" t="n">
        <v>1815.68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2.55</v>
      </c>
      <c r="C67" s="18" t="n">
        <v>10.03</v>
      </c>
      <c r="D67" s="18" t="n">
        <v>5.72</v>
      </c>
      <c r="E67" s="18" t="n">
        <v>7.47</v>
      </c>
      <c r="F67" s="18" t="n">
        <v>0</v>
      </c>
    </row>
    <row r="68">
      <c r="A68" s="17" t="inlineStr">
        <is>
          <t>Deferred Tax Liabilities</t>
        </is>
      </c>
      <c r="B68" s="18" t="n">
        <v>1.79</v>
      </c>
      <c r="C68" s="18" t="n">
        <v>56.48</v>
      </c>
      <c r="D68" s="18" t="n">
        <v>40.23</v>
      </c>
      <c r="E68" s="18" t="n">
        <v>20.16</v>
      </c>
      <c r="F68" s="18" t="n">
        <v>0</v>
      </c>
    </row>
    <row r="69">
      <c r="A69" s="17" t="inlineStr">
        <is>
          <t>Other Non-Current Liabilities</t>
        </is>
      </c>
      <c r="B69" s="18" t="n">
        <v>27.39</v>
      </c>
      <c r="C69" s="18" t="n">
        <v>145.48</v>
      </c>
      <c r="D69" s="18" t="n">
        <v>128.46</v>
      </c>
      <c r="E69" s="18" t="n">
        <v>117.67</v>
      </c>
      <c r="F69" s="18" t="n">
        <v>38355.3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4478.62</v>
      </c>
      <c r="C71" s="30" t="n">
        <v>13479.2</v>
      </c>
      <c r="D71" s="30" t="n">
        <v>24519.87</v>
      </c>
      <c r="E71" s="30" t="n">
        <v>29725.82</v>
      </c>
      <c r="F71" s="30" t="n">
        <v>40170.98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0.08</v>
      </c>
      <c r="C73" s="18" t="n">
        <v>0.09</v>
      </c>
      <c r="D73" s="18" t="n">
        <v>0.1</v>
      </c>
      <c r="E73" s="18" t="n">
        <v>0.11</v>
      </c>
      <c r="F73" s="18" t="n">
        <v>0.13</v>
      </c>
    </row>
    <row r="74">
      <c r="A74" s="17" t="inlineStr">
        <is>
          <t>Retained Earnings</t>
        </is>
      </c>
      <c r="B74" s="18" t="n">
        <v>-1183.11</v>
      </c>
      <c r="C74" s="18" t="n">
        <v>-1503.52</v>
      </c>
      <c r="D74" s="18" t="n">
        <v>-1804.26</v>
      </c>
      <c r="E74" s="18" t="n">
        <v>-1305.6</v>
      </c>
      <c r="F74" s="18" t="n">
        <v>-824.28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4697.7</v>
      </c>
      <c r="C78" s="27" t="n">
        <v>5528.48</v>
      </c>
      <c r="D78" s="27" t="n">
        <v>5554.99</v>
      </c>
      <c r="E78" s="27" t="n">
        <v>6525.13</v>
      </c>
      <c r="F78" s="27" t="n">
        <v>10489.5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-1350.22</v>
      </c>
      <c r="C5" s="24" t="n">
        <v>-7255.86</v>
      </c>
      <c r="D5" s="24" t="n">
        <v>-7227.14</v>
      </c>
      <c r="E5" s="24" t="n">
        <v>-1119.81</v>
      </c>
      <c r="F5" s="24" t="n">
        <v>-3742.46</v>
      </c>
    </row>
    <row r="6">
      <c r="A6" s="17" t="inlineStr">
        <is>
          <t>(2)  Capital Expenditures</t>
        </is>
      </c>
      <c r="B6" s="18" t="n">
        <v>-52.26</v>
      </c>
      <c r="C6" s="18" t="n">
        <v>-103.73</v>
      </c>
      <c r="D6" s="18" t="n">
        <v>-121.19</v>
      </c>
      <c r="E6" s="18" t="n">
        <v>-163.62</v>
      </c>
      <c r="F6" s="18" t="n">
        <v>-242.44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-908.38</v>
      </c>
      <c r="C9" s="18" t="n">
        <v>1341.6</v>
      </c>
      <c r="D9" s="18" t="n">
        <v>-279.82</v>
      </c>
      <c r="E9" s="18" t="n">
        <v>-1490.72</v>
      </c>
      <c r="F9" s="18" t="n">
        <v>-1286.71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-1402.48</v>
      </c>
      <c r="C15" s="24" t="n">
        <v>-7359.59</v>
      </c>
      <c r="D15" s="24" t="n">
        <v>-7348.33</v>
      </c>
      <c r="E15" s="24" t="n">
        <v>-1283.42</v>
      </c>
      <c r="F15" s="24" t="n">
        <v>-3984.9</v>
      </c>
    </row>
    <row r="16">
      <c r="A16" s="15" t="inlineStr">
        <is>
          <t xml:space="preserve">     Net Change in Cash</t>
        </is>
      </c>
      <c r="B16" s="16" t="n">
        <v>-554.99</v>
      </c>
      <c r="C16" s="16" t="n">
        <v>1077.87</v>
      </c>
      <c r="D16" s="16" t="n">
        <v>1769.28</v>
      </c>
      <c r="E16" s="16" t="n">
        <v>-906.22</v>
      </c>
      <c r="F16" s="16" t="n">
        <v>2647.41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-483.94</v>
      </c>
      <c r="C21" s="18" t="n">
        <v>-320.41</v>
      </c>
      <c r="D21" s="18" t="n">
        <v>-300.74</v>
      </c>
      <c r="E21" s="18" t="n">
        <v>498.67</v>
      </c>
      <c r="F21" s="18" t="n">
        <v>481.32</v>
      </c>
    </row>
    <row r="22">
      <c r="A22" s="17" t="inlineStr">
        <is>
          <t>Depreciation &amp; Amortisation</t>
        </is>
      </c>
      <c r="B22" s="18" t="n">
        <v>101.57</v>
      </c>
      <c r="C22" s="18" t="n">
        <v>151.36</v>
      </c>
      <c r="D22" s="18" t="n">
        <v>201.42</v>
      </c>
      <c r="E22" s="18" t="n">
        <v>203.5</v>
      </c>
      <c r="F22" s="18" t="n">
        <v>234.15</v>
      </c>
    </row>
    <row r="23">
      <c r="A23" s="17" t="inlineStr">
        <is>
          <t>Deferred Income Tax</t>
        </is>
      </c>
      <c r="B23" s="18" t="n">
        <v>1.2</v>
      </c>
      <c r="C23" s="18" t="n">
        <v>-3.5</v>
      </c>
      <c r="D23" s="18" t="n">
        <v>-15.83</v>
      </c>
      <c r="E23" s="18" t="n">
        <v>-286.92</v>
      </c>
      <c r="F23" s="18" t="n">
        <v>16.19</v>
      </c>
    </row>
    <row r="24">
      <c r="A24" s="17" t="inlineStr">
        <is>
          <t>Stock-Based Compensation</t>
        </is>
      </c>
      <c r="B24" s="18" t="n">
        <v>239.01</v>
      </c>
      <c r="C24" s="18" t="n">
        <v>305.99</v>
      </c>
      <c r="D24" s="18" t="n">
        <v>271.22</v>
      </c>
      <c r="E24" s="18" t="n">
        <v>246.15</v>
      </c>
      <c r="F24" s="18" t="n">
        <v>262.06</v>
      </c>
    </row>
    <row r="25">
      <c r="A25" s="17" t="inlineStr">
        <is>
          <t>Change in Working Capital</t>
        </is>
      </c>
      <c r="B25" s="18" t="n">
        <v>-1345.31</v>
      </c>
      <c r="C25" s="18" t="n">
        <v>-7495.56</v>
      </c>
      <c r="D25" s="18" t="n">
        <v>-7633.17</v>
      </c>
      <c r="E25" s="18" t="n">
        <v>-1612.86</v>
      </c>
      <c r="F25" s="18" t="n">
        <v>-4438.43</v>
      </c>
    </row>
    <row r="26">
      <c r="A26" s="21" t="inlineStr">
        <is>
          <t xml:space="preserve">  — Accounts Receivable</t>
        </is>
      </c>
      <c r="B26" s="18" t="n">
        <v>1.4</v>
      </c>
      <c r="C26" s="18" t="n">
        <v>0</v>
      </c>
      <c r="D26" s="18" t="n">
        <v>0</v>
      </c>
      <c r="E26" s="18" t="n">
        <v>0</v>
      </c>
      <c r="F26" s="18" t="n">
        <v>-45.31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-9.02</v>
      </c>
      <c r="C28" s="18" t="n">
        <v>6.37</v>
      </c>
      <c r="D28" s="18" t="n">
        <v>42.09</v>
      </c>
      <c r="E28" s="18" t="n">
        <v>23.55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-1337.69</v>
      </c>
      <c r="C29" s="18" t="n">
        <v>-7501.93</v>
      </c>
      <c r="D29" s="18" t="n">
        <v>-7675.26</v>
      </c>
      <c r="E29" s="18" t="n">
        <v>-1636.41</v>
      </c>
      <c r="F29" s="18" t="n">
        <v>-4393.12</v>
      </c>
    </row>
    <row r="30">
      <c r="A30" s="17" t="inlineStr">
        <is>
          <t>Other Non-Cash Items</t>
        </is>
      </c>
      <c r="B30" s="18" t="n">
        <v>137.25</v>
      </c>
      <c r="C30" s="18" t="n">
        <v>106.26</v>
      </c>
      <c r="D30" s="18" t="n">
        <v>249.97</v>
      </c>
      <c r="E30" s="18" t="n">
        <v>-168.34</v>
      </c>
      <c r="F30" s="18" t="n">
        <v>-297.74</v>
      </c>
    </row>
    <row r="31">
      <c r="A31" s="26" t="inlineStr">
        <is>
          <t>Net Cash from Operations (CFO)</t>
        </is>
      </c>
      <c r="B31" s="27" t="n">
        <v>-1350.22</v>
      </c>
      <c r="C31" s="27" t="n">
        <v>-7255.86</v>
      </c>
      <c r="D31" s="27" t="n">
        <v>-7227.14</v>
      </c>
      <c r="E31" s="27" t="n">
        <v>-1119.81</v>
      </c>
      <c r="F31" s="27" t="n">
        <v>-3742.46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-52.26</v>
      </c>
      <c r="C33" s="18" t="n">
        <v>-103.73</v>
      </c>
      <c r="D33" s="18" t="n">
        <v>-121.19</v>
      </c>
      <c r="E33" s="18" t="n">
        <v>-163.62</v>
      </c>
      <c r="F33" s="18" t="n">
        <v>-242.44</v>
      </c>
    </row>
    <row r="34">
      <c r="A34" s="21" t="inlineStr">
        <is>
          <t xml:space="preserve">  (Alt: Invest. in PP&amp;E)</t>
        </is>
      </c>
      <c r="B34" s="18" t="n">
        <v>-52.26</v>
      </c>
      <c r="C34" s="18" t="n">
        <v>-93.2</v>
      </c>
      <c r="D34" s="18" t="n">
        <v>-111.41</v>
      </c>
      <c r="E34" s="18" t="n">
        <v>-154.26</v>
      </c>
      <c r="F34" s="18" t="n">
        <v>-242.44</v>
      </c>
    </row>
    <row r="35">
      <c r="A35" s="17" t="inlineStr">
        <is>
          <t>Acquisitions (Net)</t>
        </is>
      </c>
      <c r="B35" s="18" t="n">
        <v>0</v>
      </c>
      <c r="C35" s="18" t="n">
        <v>58.54</v>
      </c>
      <c r="D35" s="18" t="n">
        <v>-72.3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-268.37</v>
      </c>
      <c r="C36" s="18" t="n">
        <v>-44.97</v>
      </c>
      <c r="D36" s="18" t="n">
        <v>-867.0599999999999</v>
      </c>
      <c r="E36" s="18" t="n">
        <v>-2228.3</v>
      </c>
      <c r="F36" s="18" t="n">
        <v>-3734.83</v>
      </c>
    </row>
    <row r="37">
      <c r="A37" s="17" t="inlineStr">
        <is>
          <t>Sales / Maturities of Investments</t>
        </is>
      </c>
      <c r="B37" s="18" t="n">
        <v>414.13</v>
      </c>
      <c r="C37" s="18" t="n">
        <v>157.56</v>
      </c>
      <c r="D37" s="18" t="n">
        <v>533.11</v>
      </c>
      <c r="E37" s="18" t="n">
        <v>1076.72</v>
      </c>
      <c r="F37" s="18" t="n">
        <v>1464.14</v>
      </c>
    </row>
    <row r="38">
      <c r="A38" s="17" t="inlineStr">
        <is>
          <t>Other Investing Activities</t>
        </is>
      </c>
      <c r="B38" s="18" t="n">
        <v>16.69</v>
      </c>
      <c r="C38" s="18" t="n">
        <v>-184.26</v>
      </c>
      <c r="D38" s="18" t="n">
        <v>-1372.2</v>
      </c>
      <c r="E38" s="18" t="n">
        <v>-3515.14</v>
      </c>
      <c r="F38" s="18" t="n">
        <v>-4205.98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-908.38</v>
      </c>
      <c r="C41" s="18" t="n">
        <v>1341.6</v>
      </c>
      <c r="D41" s="18" t="n">
        <v>-279.82</v>
      </c>
      <c r="E41" s="18" t="n">
        <v>-1490.72</v>
      </c>
      <c r="F41" s="18" t="n">
        <v>-1286.71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-283.38</v>
      </c>
      <c r="C44" s="18" t="n">
        <v>0</v>
      </c>
      <c r="D44" s="18" t="n">
        <v>0</v>
      </c>
      <c r="E44" s="18" t="n">
        <v>0</v>
      </c>
      <c r="F44" s="18" t="n">
        <v>-64.98999999999999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1917.18</v>
      </c>
      <c r="C46" s="18" t="n">
        <v>7138.31</v>
      </c>
      <c r="D46" s="18" t="n">
        <v>11205.85</v>
      </c>
      <c r="E46" s="18" t="n">
        <v>6865.2</v>
      </c>
      <c r="F46" s="18" t="n">
        <v>14461.03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0.05</v>
      </c>
      <c r="C49" s="18" t="n">
        <v>0.57</v>
      </c>
      <c r="D49" s="18" t="n">
        <v>0.68</v>
      </c>
      <c r="E49" s="18" t="n">
        <v>0</v>
      </c>
      <c r="F49" s="18" t="n">
        <v>-0.35</v>
      </c>
    </row>
    <row r="50">
      <c r="A50" s="15" t="inlineStr">
        <is>
          <t>Net Change in Cash</t>
        </is>
      </c>
      <c r="B50" s="16" t="n">
        <v>-554.99</v>
      </c>
      <c r="C50" s="16" t="n">
        <v>1077.87</v>
      </c>
      <c r="D50" s="16" t="n">
        <v>1769.28</v>
      </c>
      <c r="E50" s="16" t="n">
        <v>-906.22</v>
      </c>
      <c r="F50" s="16" t="n">
        <v>2647.41</v>
      </c>
    </row>
    <row r="51">
      <c r="A51" s="17" t="inlineStr">
        <is>
          <t>Cash at Beginning of Period</t>
        </is>
      </c>
      <c r="B51" s="18" t="n">
        <v>1323.43</v>
      </c>
      <c r="C51" s="18" t="n">
        <v>768.4400000000001</v>
      </c>
      <c r="D51" s="18" t="n">
        <v>1846.3</v>
      </c>
      <c r="E51" s="18" t="n">
        <v>3615.58</v>
      </c>
      <c r="F51" s="18" t="n">
        <v>2709.36</v>
      </c>
    </row>
    <row r="52">
      <c r="A52" s="26" t="inlineStr">
        <is>
          <t>Cash at End of Period</t>
        </is>
      </c>
      <c r="B52" s="27" t="n">
        <v>768.4400000000001</v>
      </c>
      <c r="C52" s="27" t="n">
        <v>1846.3</v>
      </c>
      <c r="D52" s="27" t="n">
        <v>3615.58</v>
      </c>
      <c r="E52" s="27" t="n">
        <v>2709.36</v>
      </c>
      <c r="F52" s="27" t="n">
        <v>5356.77</v>
      </c>
    </row>
    <row r="53">
      <c r="A53" s="26" t="inlineStr">
        <is>
          <t>Free Cash Flow</t>
        </is>
      </c>
      <c r="B53" s="27" t="n">
        <v>-1402.48</v>
      </c>
      <c r="C53" s="27" t="n">
        <v>-7359.59</v>
      </c>
      <c r="D53" s="27" t="n">
        <v>-7348.33</v>
      </c>
      <c r="E53" s="27" t="n">
        <v>-1283.42</v>
      </c>
      <c r="F53" s="27" t="n">
        <v>-3984.9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526.73</v>
      </c>
      <c r="C61" s="18" t="n">
        <v>900.89</v>
      </c>
      <c r="D61" s="18" t="n">
        <v>945.02</v>
      </c>
      <c r="E61" s="18" t="n">
        <v>1101.39</v>
      </c>
      <c r="F61" s="18" t="n">
        <v>1251.77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SOFI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450.21</v>
      </c>
      <c r="C5" s="18" t="n">
        <v>395.18</v>
      </c>
      <c r="D5" s="18" t="n">
        <v>436.51</v>
      </c>
      <c r="E5" s="18" t="n">
        <v>167.68</v>
      </c>
      <c r="F5" s="18" t="n">
        <v>54.67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SOFI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20036.3988</v>
      </c>
      <c r="C5" s="44" t="inlineStr">
        <is>
          <t>FMP marketCap  |  price $15.62</t>
        </is>
      </c>
    </row>
    <row r="6">
      <c r="A6" s="17" t="inlineStr">
        <is>
          <t>Debt  (gross book value, $mm)</t>
        </is>
      </c>
      <c r="B6" s="43" t="n">
        <v>1815.682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0.04559999999999999</v>
      </c>
      <c r="C12" s="44" t="inlineStr">
        <is>
          <t>FRED series DGS10  |  latest: 2026-05-22</t>
        </is>
      </c>
    </row>
    <row r="13">
      <c r="A13" s="47" t="inlineStr">
        <is>
          <t>► Selected Rf  (override if needed)</t>
        </is>
      </c>
      <c r="B13" s="48" t="n">
        <v>0.0456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2.126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1.754</v>
      </c>
      <c r="C17" s="44" t="inlineStr">
        <is>
          <t>Mean-reversion toward market beta of 1.0</t>
        </is>
      </c>
    </row>
    <row r="18">
      <c r="A18" s="17" t="inlineStr">
        <is>
          <t>Damodaran industry unlevered  (Financial - Credit Services)</t>
        </is>
      </c>
      <c r="B18" s="50" t="n">
        <v>0.55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0.09x,  t = 8.5%)</t>
        </is>
      </c>
      <c r="B19" s="50" t="n">
        <v>0.596</v>
      </c>
      <c r="C19" s="44">
        <f> unlevered × (1 + (1 − t) × D/E)</f>
        <v/>
      </c>
    </row>
    <row r="20">
      <c r="A20" s="51" t="inlineStr">
        <is>
          <t>FLAG: Raw beta (2.13) is 3.9x Damodaran industry avg (0.55) — historical window may include structural break or regime change.</t>
        </is>
      </c>
    </row>
    <row r="21">
      <c r="A21" s="47" t="inlineStr">
        <is>
          <t>► Selected beta  (user override)</t>
        </is>
      </c>
      <c r="B21" s="52" t="n">
        <v>1.492</v>
      </c>
      <c r="C21" s="49" t="inlineStr">
        <is>
          <t>Default = average of 3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3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4" t="inlineStr">
        <is>
          <t>Not available</t>
        </is>
      </c>
      <c r="C32" s="44" t="inlineStr">
        <is>
          <t>FMP /ratings endpoint</t>
        </is>
      </c>
    </row>
    <row r="33">
      <c r="A33" s="17" t="inlineStr">
        <is>
          <t>FRED matched yield</t>
        </is>
      </c>
      <c r="B33" s="54" t="n"/>
      <c r="C33" s="44" t="inlineStr">
        <is>
          <t>No rating returned — FRED method not applicable</t>
        </is>
      </c>
    </row>
    <row r="34">
      <c r="A34" s="17" t="inlineStr">
        <is>
          <t>Interest Coverage Ratio  (EBIT / Gross Int Exp)</t>
        </is>
      </c>
      <c r="B34" s="50" t="n">
        <v>0.5</v>
      </c>
      <c r="C34" s="44" t="inlineStr">
        <is>
          <t>EBIT $526mm  /  Int Exp $1156mm</t>
        </is>
      </c>
    </row>
    <row r="35">
      <c r="A35" s="17" t="inlineStr">
        <is>
          <t>Synthetic rating  (Damodaran ICR table)</t>
        </is>
      </c>
      <c r="B35" s="54" t="inlineStr">
        <is>
          <t>CC</t>
        </is>
      </c>
      <c r="C35" s="44" t="inlineStr">
        <is>
          <t>ICR 0.5x  →  CC</t>
        </is>
      </c>
    </row>
    <row r="36">
      <c r="A36" s="17" t="inlineStr">
        <is>
          <t>Synthetic Rd  (Rf + Damodaran default spread)</t>
        </is>
      </c>
      <c r="B36" s="46" t="n">
        <v>0.1656</v>
      </c>
      <c r="C36" s="44" t="inlineStr">
        <is>
          <t>Rf 4.56% + spread 12.00%</t>
        </is>
      </c>
    </row>
    <row r="37">
      <c r="A37" s="17" t="inlineStr">
        <is>
          <t>Accounting Rd  (Gross int exp / Avg gross debt)</t>
        </is>
      </c>
      <c r="B37" s="46" t="n">
        <v>0.4710723178303938</v>
      </c>
      <c r="C37" s="44" t="inlineStr">
        <is>
          <t>Cross-check only — backward-looking</t>
        </is>
      </c>
    </row>
    <row r="38">
      <c r="A38" s="17" t="inlineStr">
        <is>
          <t xml:space="preserve">  Note: net interest INCOME of $2219mm  (int inc $3375mm &gt; int exp $1156mm)</t>
        </is>
      </c>
      <c r="B38" s="54" t="n"/>
      <c r="C38" s="44" t="inlineStr">
        <is>
          <t>Gross Rd is the correct basis here — net figure is distorted</t>
        </is>
      </c>
    </row>
    <row r="39">
      <c r="A39" s="47" t="inlineStr">
        <is>
          <t>► Selected pre-tax Rd  (user override)</t>
        </is>
      </c>
      <c r="B39" s="48" t="n">
        <v>0.3183</v>
      </c>
      <c r="C39" s="49" t="inlineStr">
        <is>
          <t>Default = average of 2 source(s) above — override freely</t>
        </is>
      </c>
    </row>
    <row r="40">
      <c r="A40" s="42" t="n"/>
      <c r="B40" s="42" t="n"/>
      <c r="C40" s="42" t="n"/>
    </row>
    <row r="41" ht="18" customHeight="1">
      <c r="A41" s="25" t="inlineStr">
        <is>
          <t>STEP 6 — TAX RATE</t>
        </is>
      </c>
    </row>
    <row r="42">
      <c r="A42" s="17" t="inlineStr">
        <is>
          <t>Effective tax rate  (tax expense / pre-tax income)</t>
        </is>
      </c>
      <c r="B42" s="46" t="n">
        <v>0.0847</v>
      </c>
      <c r="C42" s="44" t="inlineStr">
        <is>
          <t>FMP: $45mm  /  $526mm</t>
        </is>
      </c>
    </row>
    <row r="43">
      <c r="A43" s="47" t="inlineStr">
        <is>
          <t>► Selected tax rate  (user override)</t>
        </is>
      </c>
      <c r="B43" s="48" t="n">
        <v>0.0847</v>
      </c>
      <c r="C43" s="49" t="inlineStr">
        <is>
          <t>Adjust to normalised / marginal rate if preferred</t>
        </is>
      </c>
    </row>
    <row r="44">
      <c r="A44" s="42" t="n"/>
      <c r="B44" s="42" t="n"/>
      <c r="C44" s="42" t="n"/>
    </row>
    <row r="45" ht="18" customHeight="1">
      <c r="A45" s="5" t="inlineStr">
        <is>
          <t>WACC OUTPUT</t>
        </is>
      </c>
    </row>
    <row r="46" ht="22" customHeight="1">
      <c r="A46" s="55" t="inlineStr">
        <is>
          <t>WACC  =  MAX(8.5%, (E/V × Re) + (D/V × Rd × (1 − t)))</t>
        </is>
      </c>
      <c r="B46" s="56">
        <f>MAX(0.085, B8*B29+B9*B39*(1-B43))</f>
        <v/>
      </c>
      <c r="C46" s="57" t="inlineStr">
        <is>
          <t>Floored 8.5% (D-001); raw formula below</t>
        </is>
      </c>
    </row>
    <row r="47">
      <c r="A47" s="42" t="n"/>
      <c r="B47" s="42" t="n"/>
      <c r="C47" s="42" t="n"/>
    </row>
    <row r="48" ht="18" customHeight="1">
      <c r="A48" s="10" t="inlineStr">
        <is>
          <t>SENSITIVITY — WACC (%)  by Beta offset × ERP offset</t>
        </is>
      </c>
    </row>
    <row r="49">
      <c r="A49" s="58" t="inlineStr">
        <is>
          <t>Beta offset  \  ERP offset →</t>
        </is>
      </c>
      <c r="B49" s="58" t="inlineStr">
        <is>
          <t>-1.0%</t>
        </is>
      </c>
      <c r="C49" s="58" t="inlineStr">
        <is>
          <t>-0.5%</t>
        </is>
      </c>
      <c r="D49" s="58" t="inlineStr">
        <is>
          <t>Base ERP</t>
        </is>
      </c>
      <c r="E49" s="58" t="inlineStr">
        <is>
          <t>+0.5%</t>
        </is>
      </c>
      <c r="F49" s="58" t="inlineStr">
        <is>
          <t>+1.0%</t>
        </is>
      </c>
    </row>
    <row r="50">
      <c r="A50" s="59" t="inlineStr">
        <is>
          <t>-1.0</t>
        </is>
      </c>
      <c r="B50" s="60">
        <f>B8*(B13+(B21+(-1.0))*(B26+(-0.01)))+B9*B39*(1-B43)</f>
        <v/>
      </c>
      <c r="C50" s="60">
        <f>B8*(B13+(B21+(-1.0))*(B26+(-0.005)))+B9*B39*(1-B43)</f>
        <v/>
      </c>
      <c r="D50" s="60">
        <f>B8*(B13+(B21+(-1.0))*(B26+(0.0)))+B9*B39*(1-B43)</f>
        <v/>
      </c>
      <c r="E50" s="60">
        <f>B8*(B13+(B21+(-1.0))*(B26+(0.005)))+B9*B39*(1-B43)</f>
        <v/>
      </c>
      <c r="F50" s="60">
        <f>B8*(B13+(B21+(-1.0))*(B26+(0.01)))+B9*B39*(1-B43)</f>
        <v/>
      </c>
    </row>
    <row r="51">
      <c r="A51" s="59" t="inlineStr">
        <is>
          <t>-0.5</t>
        </is>
      </c>
      <c r="B51" s="60">
        <f>B8*(B13+(B21+(-0.5))*(B26+(-0.01)))+B9*B39*(1-B43)</f>
        <v/>
      </c>
      <c r="C51" s="60">
        <f>B8*(B13+(B21+(-0.5))*(B26+(-0.005)))+B9*B39*(1-B43)</f>
        <v/>
      </c>
      <c r="D51" s="60">
        <f>B8*(B13+(B21+(-0.5))*(B26+(0.0)))+B9*B39*(1-B43)</f>
        <v/>
      </c>
      <c r="E51" s="60">
        <f>B8*(B13+(B21+(-0.5))*(B26+(0.005)))+B9*B39*(1-B43)</f>
        <v/>
      </c>
      <c r="F51" s="60">
        <f>B8*(B13+(B21+(-0.5))*(B26+(0.01)))+B9*B39*(1-B43)</f>
        <v/>
      </c>
    </row>
    <row r="52">
      <c r="A52" s="61" t="inlineStr">
        <is>
          <t>Base β</t>
        </is>
      </c>
      <c r="B52" s="62">
        <f>B8*(B13+(B21+(0.0))*(B26+(-0.01)))+B9*B39*(1-B43)</f>
        <v/>
      </c>
      <c r="C52" s="62">
        <f>B8*(B13+(B21+(0.0))*(B26+(-0.005)))+B9*B39*(1-B43)</f>
        <v/>
      </c>
      <c r="D52" s="63">
        <f>B8*(B13+(B21+(0.0))*(B26+(0.0)))+B9*B39*(1-B43)</f>
        <v/>
      </c>
      <c r="E52" s="62">
        <f>B8*(B13+(B21+(0.0))*(B26+(0.005)))+B9*B39*(1-B43)</f>
        <v/>
      </c>
      <c r="F52" s="62">
        <f>B8*(B13+(B21+(0.0))*(B26+(0.01)))+B9*B39*(1-B43)</f>
        <v/>
      </c>
    </row>
    <row r="53">
      <c r="A53" s="59" t="inlineStr">
        <is>
          <t>+0.5</t>
        </is>
      </c>
      <c r="B53" s="60">
        <f>B8*(B13+(B21+(0.5))*(B26+(-0.01)))+B9*B39*(1-B43)</f>
        <v/>
      </c>
      <c r="C53" s="60">
        <f>B8*(B13+(B21+(0.5))*(B26+(-0.005)))+B9*B39*(1-B43)</f>
        <v/>
      </c>
      <c r="D53" s="60">
        <f>B8*(B13+(B21+(0.5))*(B26+(0.0)))+B9*B39*(1-B43)</f>
        <v/>
      </c>
      <c r="E53" s="60">
        <f>B8*(B13+(B21+(0.5))*(B26+(0.005)))+B9*B39*(1-B43)</f>
        <v/>
      </c>
      <c r="F53" s="60">
        <f>B8*(B13+(B21+(0.5))*(B26+(0.01)))+B9*B39*(1-B43)</f>
        <v/>
      </c>
    </row>
    <row r="54">
      <c r="A54" s="59" t="inlineStr">
        <is>
          <t>+1.0</t>
        </is>
      </c>
      <c r="B54" s="60">
        <f>B8*(B13+(B21+(1.0))*(B26+(-0.01)))+B9*B39*(1-B43)</f>
        <v/>
      </c>
      <c r="C54" s="60">
        <f>B8*(B13+(B21+(1.0))*(B26+(-0.005)))+B9*B39*(1-B43)</f>
        <v/>
      </c>
      <c r="D54" s="60">
        <f>B8*(B13+(B21+(1.0))*(B26+(0.0)))+B9*B39*(1-B43)</f>
        <v/>
      </c>
      <c r="E54" s="60">
        <f>B8*(B13+(B21+(1.0))*(B26+(0.005)))+B9*B39*(1-B43)</f>
        <v/>
      </c>
      <c r="F54" s="60">
        <f>B8*(B13+(B21+(1.0))*(B26+(0.01)))+B9*B39*(1-B43)</f>
        <v/>
      </c>
    </row>
  </sheetData>
  <mergeCells count="12">
    <mergeCell ref="A28:C28"/>
    <mergeCell ref="A41:C41"/>
    <mergeCell ref="A11:C11"/>
    <mergeCell ref="A1:C1"/>
    <mergeCell ref="A23:C23"/>
    <mergeCell ref="A45:C45"/>
    <mergeCell ref="A31:C31"/>
    <mergeCell ref="A15:C15"/>
    <mergeCell ref="A4:C4"/>
    <mergeCell ref="A48:C48"/>
    <mergeCell ref="A20:C20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SOFI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4" t="inlineStr">
        <is>
          <t>Fiscal Year</t>
        </is>
      </c>
      <c r="B3" s="65" t="inlineStr">
        <is>
          <t>2021</t>
        </is>
      </c>
      <c r="C3" s="65" t="inlineStr">
        <is>
          <t>2022</t>
        </is>
      </c>
      <c r="D3" s="65" t="inlineStr">
        <is>
          <t>2023</t>
        </is>
      </c>
      <c r="E3" s="65" t="inlineStr">
        <is>
          <t>2024</t>
        </is>
      </c>
      <c r="F3" s="65" t="inlineStr">
        <is>
          <t>2025</t>
        </is>
      </c>
      <c r="G3" s="66" t="inlineStr">
        <is>
          <t>2026E</t>
        </is>
      </c>
      <c r="H3" s="66" t="inlineStr">
        <is>
          <t>2027E</t>
        </is>
      </c>
      <c r="I3" s="66" t="inlineStr">
        <is>
          <t>2028E</t>
        </is>
      </c>
      <c r="J3" s="66" t="inlineStr">
        <is>
          <t>2029E</t>
        </is>
      </c>
      <c r="K3" s="67" t="inlineStr">
        <is>
          <t>2030E</t>
        </is>
      </c>
      <c r="L3" s="68" t="inlineStr">
        <is>
          <t>Terminal</t>
        </is>
      </c>
      <c r="M3" s="64" t="inlineStr">
        <is>
          <t>Source / Notes</t>
        </is>
      </c>
    </row>
    <row r="4" ht="16" customHeight="1">
      <c r="A4" s="69" t="inlineStr">
        <is>
          <t>FMP analyst consensus: 2026E – 2029E  (4 years)   |   User estimates required from: 2030E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70" t="inlineStr">
        <is>
          <t>Revenue Growth %</t>
        </is>
      </c>
      <c r="B7" s="71" t="inlineStr">
        <is>
          <t>—</t>
        </is>
      </c>
      <c r="C7" s="72">
        <f>'P&amp;L'!C5/'P&amp;L'!B5-1</f>
        <v/>
      </c>
      <c r="D7" s="72">
        <f>'P&amp;L'!D5/'P&amp;L'!C5-1</f>
        <v/>
      </c>
      <c r="E7" s="72">
        <f>'P&amp;L'!E5/'P&amp;L'!D5-1</f>
        <v/>
      </c>
      <c r="F7" s="72">
        <f>'P&amp;L'!F5/'P&amp;L'!E5-1</f>
        <v/>
      </c>
      <c r="G7" s="73" t="n">
        <v>-0.0197</v>
      </c>
      <c r="H7" s="73" t="n">
        <v>0.2249</v>
      </c>
      <c r="I7" s="73" t="n">
        <v>0.2332</v>
      </c>
      <c r="J7" s="74">
        <f>I7</f>
        <v/>
      </c>
      <c r="K7" s="74">
        <f>I7</f>
        <v/>
      </c>
      <c r="L7" s="75" t="n">
        <v>0.03</v>
      </c>
      <c r="M7" s="76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70" t="inlineStr">
        <is>
          <t>EBITDA Margin %</t>
        </is>
      </c>
      <c r="B8" s="72">
        <f>'P&amp;L'!B12/'P&amp;L'!B5</f>
        <v/>
      </c>
      <c r="C8" s="72">
        <f>'P&amp;L'!C12/'P&amp;L'!C5</f>
        <v/>
      </c>
      <c r="D8" s="72">
        <f>'P&amp;L'!D12/'P&amp;L'!D5</f>
        <v/>
      </c>
      <c r="E8" s="72">
        <f>'P&amp;L'!E12/'P&amp;L'!E5</f>
        <v/>
      </c>
      <c r="F8" s="72">
        <f>'P&amp;L'!F12/'P&amp;L'!F5</f>
        <v/>
      </c>
      <c r="G8" s="73" t="n">
        <v>0.5298</v>
      </c>
      <c r="H8" s="73" t="n">
        <v>0.5298</v>
      </c>
      <c r="I8" s="73" t="n">
        <v>0.5298</v>
      </c>
      <c r="J8" s="74">
        <f>I8</f>
        <v/>
      </c>
      <c r="K8" s="74">
        <f>I8</f>
        <v/>
      </c>
      <c r="L8" s="75" t="n">
        <v>0.1593</v>
      </c>
      <c r="M8" s="76" t="inlineStr">
        <is>
          <t>Yrs 1-3: FMP analyst consensus margin.  Yrs 4-5: = Yr 3 margin.  Terminal: long-run normalised EBITDA margin (user input).</t>
        </is>
      </c>
    </row>
    <row r="9" ht="20" customHeight="1">
      <c r="A9" s="70" t="inlineStr">
        <is>
          <t>D&amp;A as % of Revenue</t>
        </is>
      </c>
      <c r="B9" s="72">
        <f>'P&amp;L'!B14/'P&amp;L'!B5</f>
        <v/>
      </c>
      <c r="C9" s="72">
        <f>'P&amp;L'!C14/'P&amp;L'!C5</f>
        <v/>
      </c>
      <c r="D9" s="72">
        <f>'P&amp;L'!D14/'P&amp;L'!D5</f>
        <v/>
      </c>
      <c r="E9" s="72">
        <f>'P&amp;L'!E14/'P&amp;L'!E5</f>
        <v/>
      </c>
      <c r="F9" s="72">
        <f>'P&amp;L'!F14/'P&amp;L'!F5</f>
        <v/>
      </c>
      <c r="G9" s="74">
        <f>AVERAGE(B9:F9)</f>
        <v/>
      </c>
      <c r="H9" s="74">
        <f>G9</f>
        <v/>
      </c>
      <c r="I9" s="74">
        <f>G9</f>
        <v/>
      </c>
      <c r="J9" s="74">
        <f>G9</f>
        <v/>
      </c>
      <c r="K9" s="74">
        <f>G9</f>
        <v/>
      </c>
      <c r="L9" s="75">
        <f>G9</f>
        <v/>
      </c>
      <c r="M9" s="76" t="inlineStr">
        <is>
          <t>Historical linked from P&amp;L.  Yr 1 = avg of historicals; Yrs 2-5 &amp; terminal = Yr 1.</t>
        </is>
      </c>
    </row>
    <row r="10" ht="20" customHeight="1">
      <c r="A10" s="70" t="inlineStr">
        <is>
          <t>CapEx as % of Revenue</t>
        </is>
      </c>
      <c r="B10" s="72">
        <f>-'Cash Flow'!B6/'P&amp;L'!B5</f>
        <v/>
      </c>
      <c r="C10" s="72">
        <f>-'Cash Flow'!C6/'P&amp;L'!C5</f>
        <v/>
      </c>
      <c r="D10" s="72">
        <f>-'Cash Flow'!D6/'P&amp;L'!D5</f>
        <v/>
      </c>
      <c r="E10" s="72">
        <f>-'Cash Flow'!E6/'P&amp;L'!E5</f>
        <v/>
      </c>
      <c r="F10" s="72">
        <f>-'Cash Flow'!F6/'P&amp;L'!F5</f>
        <v/>
      </c>
      <c r="G10" s="74">
        <f>AVERAGE(B10:F10)</f>
        <v/>
      </c>
      <c r="H10" s="74">
        <f>G10</f>
        <v/>
      </c>
      <c r="I10" s="74">
        <f>G10</f>
        <v/>
      </c>
      <c r="J10" s="74">
        <f>G10</f>
        <v/>
      </c>
      <c r="K10" s="74">
        <f>G10</f>
        <v/>
      </c>
      <c r="L10" s="75">
        <f>G10</f>
        <v/>
      </c>
      <c r="M10" s="76" t="inlineStr">
        <is>
          <t>Historical linked from Cash Flow.  Yr 1 = avg of historicals; Yrs 2-5 &amp; terminal = Yr 1.</t>
        </is>
      </c>
    </row>
    <row r="11" ht="20" customHeight="1">
      <c r="A11" s="70" t="inlineStr">
        <is>
          <t>Change in NWC as % of Revenue</t>
        </is>
      </c>
      <c r="B11" s="71" t="inlineStr">
        <is>
          <t>—</t>
        </is>
      </c>
      <c r="C11" s="72">
        <f>(('Balance Sheet'!C9-'Balance Sheet'!C21)-('Balance Sheet'!B9-'Balance Sheet'!B21))/'P&amp;L'!C5</f>
        <v/>
      </c>
      <c r="D11" s="72">
        <f>(('Balance Sheet'!D9-'Balance Sheet'!D21)-('Balance Sheet'!C9-'Balance Sheet'!C21))/'P&amp;L'!D5</f>
        <v/>
      </c>
      <c r="E11" s="72">
        <f>(('Balance Sheet'!E9-'Balance Sheet'!E21)-('Balance Sheet'!D9-'Balance Sheet'!D21))/'P&amp;L'!E5</f>
        <v/>
      </c>
      <c r="F11" s="72">
        <f>(('Balance Sheet'!F9-'Balance Sheet'!F21)-('Balance Sheet'!E9-'Balance Sheet'!E21))/'P&amp;L'!F5</f>
        <v/>
      </c>
      <c r="G11" s="74">
        <f>MAX(-0.02,MIN(0.05,AVERAGE(C11:F11)))</f>
        <v/>
      </c>
      <c r="H11" s="74">
        <f>G11*4/5</f>
        <v/>
      </c>
      <c r="I11" s="74">
        <f>G11*3/5</f>
        <v/>
      </c>
      <c r="J11" s="74">
        <f>G11*2/5</f>
        <v/>
      </c>
      <c r="K11" s="74">
        <f>G11*1/5</f>
        <v/>
      </c>
      <c r="L11" s="75" t="n">
        <v>0</v>
      </c>
      <c r="M11" s="76" t="inlineStr">
        <is>
          <t>Yr 1 = clamped avg of historicals [-2%, +5%]. Yrs 2-5 fade linearly to 0. Terminal = 0 (steady-state: NWC tracks revenue).</t>
        </is>
      </c>
    </row>
    <row r="12" ht="20" customHeight="1">
      <c r="A12" s="70" t="inlineStr">
        <is>
          <t>Effective Tax Rate</t>
        </is>
      </c>
      <c r="B12" s="72">
        <f>IFERROR(MAX(0,MIN(0.5,'P&amp;L'!B22/'P&amp;L'!B21)),0)</f>
        <v/>
      </c>
      <c r="C12" s="72">
        <f>IFERROR(MAX(0,MIN(0.5,'P&amp;L'!C22/'P&amp;L'!C21)),0)</f>
        <v/>
      </c>
      <c r="D12" s="72">
        <f>IFERROR(MAX(0,MIN(0.5,'P&amp;L'!D22/'P&amp;L'!D21)),0)</f>
        <v/>
      </c>
      <c r="E12" s="72">
        <f>IFERROR(MAX(0,MIN(0.5,'P&amp;L'!E22/'P&amp;L'!E21)),0)</f>
        <v/>
      </c>
      <c r="F12" s="72">
        <f>IFERROR(MAX(0,MIN(0.5,'P&amp;L'!F22/'P&amp;L'!F21)),0)</f>
        <v/>
      </c>
      <c r="G12" s="74">
        <f>AVERAGE(B12:F12)</f>
        <v/>
      </c>
      <c r="H12" s="74">
        <f>G12</f>
        <v/>
      </c>
      <c r="I12" s="74">
        <f>G12</f>
        <v/>
      </c>
      <c r="J12" s="74">
        <f>G12</f>
        <v/>
      </c>
      <c r="K12" s="74">
        <f>G12</f>
        <v/>
      </c>
      <c r="L12" s="75">
        <f>G12</f>
        <v/>
      </c>
      <c r="M12" s="76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7" t="inlineStr">
        <is>
          <t>Revenue</t>
        </is>
      </c>
      <c r="B15" s="78">
        <f>'P&amp;L'!B5</f>
        <v/>
      </c>
      <c r="C15" s="78">
        <f>'P&amp;L'!C5</f>
        <v/>
      </c>
      <c r="D15" s="78">
        <f>'P&amp;L'!D5</f>
        <v/>
      </c>
      <c r="E15" s="78">
        <f>'P&amp;L'!E5</f>
        <v/>
      </c>
      <c r="F15" s="78">
        <f>'P&amp;L'!F5</f>
        <v/>
      </c>
      <c r="G15" s="79" t="n">
        <v>4675.7</v>
      </c>
      <c r="H15" s="79" t="n">
        <v>5727</v>
      </c>
      <c r="I15" s="79" t="n">
        <v>7062.6</v>
      </c>
      <c r="J15" s="80">
        <f>I15*(1+J7)</f>
        <v/>
      </c>
      <c r="K15" s="80">
        <f>J15*(1+K7)</f>
        <v/>
      </c>
      <c r="L15" s="81">
        <f>K15*(1+L7)</f>
        <v/>
      </c>
      <c r="M15" s="82" t="inlineStr">
        <is>
          <t>FMP consensus years: analyst revenue average ($mm).  Range: Low–High shown below.  User years: prior × (1+growth).</t>
        </is>
      </c>
    </row>
    <row r="16" ht="20" customHeight="1">
      <c r="A16" s="83" t="inlineStr">
        <is>
          <t xml:space="preserve">  Analyst Range:  Low — High  ($mm)</t>
        </is>
      </c>
      <c r="G16" s="84" t="inlineStr">
        <is>
          <t>4,474 — 4,736</t>
        </is>
      </c>
      <c r="H16" s="84" t="inlineStr">
        <is>
          <t>5,102 — 6,219</t>
        </is>
      </c>
      <c r="I16" s="84" t="inlineStr">
        <is>
          <t>6,958 — 7,167</t>
        </is>
      </c>
      <c r="J16" s="84" t="inlineStr">
        <is>
          <t>7,122 — 8,033</t>
        </is>
      </c>
      <c r="K16" s="85" t="inlineStr">
        <is>
          <t>—</t>
        </is>
      </c>
      <c r="L16" s="86" t="inlineStr">
        <is>
          <t>—</t>
        </is>
      </c>
      <c r="M16" s="82" t="inlineStr">
        <is>
          <t>Sell-side analyst low / high revenue estimates for consensus years</t>
        </is>
      </c>
    </row>
    <row r="17" ht="20" customHeight="1">
      <c r="A17" s="83" t="inlineStr">
        <is>
          <t xml:space="preserve">  Number of Analysts</t>
        </is>
      </c>
      <c r="G17" s="87" t="n">
        <v>16</v>
      </c>
      <c r="H17" s="87" t="n">
        <v>15</v>
      </c>
      <c r="I17" s="88" t="n">
        <v>9</v>
      </c>
      <c r="J17" s="89" t="n">
        <v>4</v>
      </c>
      <c r="K17" s="85" t="inlineStr">
        <is>
          <t>—</t>
        </is>
      </c>
      <c r="L17" s="86" t="inlineStr">
        <is>
          <t>—</t>
        </is>
      </c>
      <c r="M17" s="82" t="inlineStr">
        <is>
          <t>Red &lt; 5 analysts — treat estimate with caution.  Orange &lt; 10.</t>
        </is>
      </c>
    </row>
    <row r="18" ht="20" customHeight="1">
      <c r="A18" s="83" t="inlineStr">
        <is>
          <t xml:space="preserve">  YoY Revenue Growth %</t>
        </is>
      </c>
      <c r="B18" s="90" t="inlineStr">
        <is>
          <t>—</t>
        </is>
      </c>
      <c r="C18" s="91">
        <f>IFERROR(C15/B15-1,"")</f>
        <v/>
      </c>
      <c r="D18" s="91">
        <f>IFERROR(D15/C15-1,"")</f>
        <v/>
      </c>
      <c r="E18" s="91">
        <f>IFERROR(E15/D15-1,"")</f>
        <v/>
      </c>
      <c r="F18" s="91">
        <f>IFERROR(F15/E15-1,"")</f>
        <v/>
      </c>
      <c r="G18" s="92">
        <f>IFERROR(G15/F15-1,"")</f>
        <v/>
      </c>
      <c r="H18" s="92">
        <f>IFERROR(H15/G15-1,"")</f>
        <v/>
      </c>
      <c r="I18" s="92">
        <f>IFERROR(I15/H15-1,"")</f>
        <v/>
      </c>
      <c r="J18" s="92">
        <f>IFERROR(J15/I15-1,"")</f>
        <v/>
      </c>
      <c r="K18" s="93">
        <f>IFERROR(K15/J15-1,"")</f>
        <v/>
      </c>
      <c r="L18" s="94">
        <f>L7</f>
        <v/>
      </c>
      <c r="M18" s="82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7" t="inlineStr">
        <is>
          <t>EBITDA</t>
        </is>
      </c>
      <c r="B20" s="78">
        <f>'P&amp;L'!B12</f>
        <v/>
      </c>
      <c r="C20" s="78">
        <f>'P&amp;L'!C12</f>
        <v/>
      </c>
      <c r="D20" s="78">
        <f>'P&amp;L'!D12</f>
        <v/>
      </c>
      <c r="E20" s="78">
        <f>'P&amp;L'!E12</f>
        <v/>
      </c>
      <c r="F20" s="78">
        <f>'P&amp;L'!F12</f>
        <v/>
      </c>
      <c r="G20" s="79" t="n">
        <v>2477.2</v>
      </c>
      <c r="H20" s="79" t="n">
        <v>3034.3</v>
      </c>
      <c r="I20" s="79" t="n">
        <v>3741.8</v>
      </c>
      <c r="J20" s="80">
        <f>J15*J8</f>
        <v/>
      </c>
      <c r="K20" s="80">
        <f>K15*K8</f>
        <v/>
      </c>
      <c r="L20" s="81">
        <f>L15*L8</f>
        <v/>
      </c>
      <c r="M20" s="82" t="inlineStr">
        <is>
          <t>FMP consensus years: analyst EBITDA average.  User years: Revenue × EBITDA margin assumption.</t>
        </is>
      </c>
    </row>
    <row r="21" ht="20" customHeight="1">
      <c r="A21" s="83" t="inlineStr">
        <is>
          <t xml:space="preserve">  Analyst Range:  Low — High  ($mm)</t>
        </is>
      </c>
      <c r="G21" s="84" t="inlineStr">
        <is>
          <t>2,370 — 2,509</t>
        </is>
      </c>
      <c r="H21" s="84" t="inlineStr">
        <is>
          <t>2,703 — 3,295</t>
        </is>
      </c>
      <c r="I21" s="84" t="inlineStr">
        <is>
          <t>3,686 — 3,797</t>
        </is>
      </c>
      <c r="J21" s="84" t="inlineStr">
        <is>
          <t>3,773 — 4,256</t>
        </is>
      </c>
      <c r="K21" s="85" t="inlineStr">
        <is>
          <t>—</t>
        </is>
      </c>
      <c r="L21" s="86" t="inlineStr">
        <is>
          <t>—</t>
        </is>
      </c>
      <c r="M21" s="82" t="inlineStr">
        <is>
          <t>Sell-side analyst low / high EBITDA estimates for consensus years</t>
        </is>
      </c>
    </row>
    <row r="22" ht="20" customHeight="1">
      <c r="A22" s="83" t="inlineStr">
        <is>
          <t xml:space="preserve">  EBITDA Margin %</t>
        </is>
      </c>
      <c r="B22" s="91">
        <f>IFERROR(B20/B15,"")</f>
        <v/>
      </c>
      <c r="C22" s="91">
        <f>IFERROR(C20/C15,"")</f>
        <v/>
      </c>
      <c r="D22" s="91">
        <f>IFERROR(D20/D15,"")</f>
        <v/>
      </c>
      <c r="E22" s="91">
        <f>IFERROR(E20/E15,"")</f>
        <v/>
      </c>
      <c r="F22" s="91">
        <f>IFERROR(F20/F15,"")</f>
        <v/>
      </c>
      <c r="G22" s="92">
        <f>IFERROR(G20/G15,"")</f>
        <v/>
      </c>
      <c r="H22" s="92">
        <f>IFERROR(H20/H15,"")</f>
        <v/>
      </c>
      <c r="I22" s="92">
        <f>IFERROR(I20/I15,"")</f>
        <v/>
      </c>
      <c r="J22" s="92">
        <f>IFERROR(J20/J15,"")</f>
        <v/>
      </c>
      <c r="K22" s="93">
        <f>IFERROR(K20/K15,"")</f>
        <v/>
      </c>
      <c r="L22" s="94">
        <f>IFERROR(L20/L15,"")</f>
        <v/>
      </c>
      <c r="M22" s="82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5" t="inlineStr">
        <is>
          <t xml:space="preserve">  Less: D&amp;A</t>
        </is>
      </c>
      <c r="B25" s="78">
        <f>-'P&amp;L'!B14</f>
        <v/>
      </c>
      <c r="C25" s="78">
        <f>-'P&amp;L'!C14</f>
        <v/>
      </c>
      <c r="D25" s="78">
        <f>-'P&amp;L'!D14</f>
        <v/>
      </c>
      <c r="E25" s="78">
        <f>-'P&amp;L'!E14</f>
        <v/>
      </c>
      <c r="F25" s="78">
        <f>-'P&amp;L'!F14</f>
        <v/>
      </c>
      <c r="G25" s="96">
        <f>-G15*G9</f>
        <v/>
      </c>
      <c r="H25" s="96">
        <f>-H15*H9</f>
        <v/>
      </c>
      <c r="I25" s="96">
        <f>-I15*I9</f>
        <v/>
      </c>
      <c r="J25" s="96">
        <f>-J15*J9</f>
        <v/>
      </c>
      <c r="K25" s="80">
        <f>-K15*K9</f>
        <v/>
      </c>
      <c r="L25" s="81">
        <f>-L15*L9</f>
        <v/>
      </c>
      <c r="M25" s="82">
        <f> Revenue × D&amp;A % assumption  (negative = P&amp;L charge)</f>
        <v/>
      </c>
    </row>
    <row r="26" ht="20" customHeight="1">
      <c r="A26" s="64" t="inlineStr">
        <is>
          <t>EBIT  (Operating Profit)</t>
        </is>
      </c>
      <c r="B26" s="97">
        <f>B20+B25</f>
        <v/>
      </c>
      <c r="C26" s="97">
        <f>C20+C25</f>
        <v/>
      </c>
      <c r="D26" s="97">
        <f>D20+D25</f>
        <v/>
      </c>
      <c r="E26" s="97">
        <f>E20+E25</f>
        <v/>
      </c>
      <c r="F26" s="97">
        <f>F20+F25</f>
        <v/>
      </c>
      <c r="G26" s="98">
        <f>G20+G25</f>
        <v/>
      </c>
      <c r="H26" s="98">
        <f>H20+H25</f>
        <v/>
      </c>
      <c r="I26" s="98">
        <f>I20+I25</f>
        <v/>
      </c>
      <c r="J26" s="98">
        <f>J20+J25</f>
        <v/>
      </c>
      <c r="K26" s="98">
        <f>K20+K25</f>
        <v/>
      </c>
      <c r="L26" s="98">
        <f>L20+L25</f>
        <v/>
      </c>
      <c r="M26" s="82">
        <f> EBITDA + D&amp;A  (GAAP operating income, EBIT)</f>
        <v/>
      </c>
    </row>
    <row r="27" ht="20" customHeight="1">
      <c r="A27" s="95" t="inlineStr">
        <is>
          <t xml:space="preserve">  Less: Tax on EBIT  (unlevered)</t>
        </is>
      </c>
      <c r="B27" s="99">
        <f>-B26*B12</f>
        <v/>
      </c>
      <c r="C27" s="99">
        <f>-C26*C12</f>
        <v/>
      </c>
      <c r="D27" s="99">
        <f>-D26*D12</f>
        <v/>
      </c>
      <c r="E27" s="99">
        <f>-E26*E12</f>
        <v/>
      </c>
      <c r="F27" s="99">
        <f>-F26*F12</f>
        <v/>
      </c>
      <c r="G27" s="100">
        <f>-G26*G12</f>
        <v/>
      </c>
      <c r="H27" s="100">
        <f>-H26*H12</f>
        <v/>
      </c>
      <c r="I27" s="100">
        <f>-I26*I12</f>
        <v/>
      </c>
      <c r="J27" s="100">
        <f>-J26*J12</f>
        <v/>
      </c>
      <c r="K27" s="100">
        <f>-K26*K12</f>
        <v/>
      </c>
      <c r="L27" s="100">
        <f>-L26*L12</f>
        <v/>
      </c>
      <c r="M27" s="82">
        <f> EBIT × tax rate  (no interest tax shield — UFCF is pre-debt)</f>
        <v/>
      </c>
    </row>
    <row r="28" ht="20" customHeight="1">
      <c r="A28" s="77" t="inlineStr">
        <is>
          <t>NOPAT</t>
        </is>
      </c>
      <c r="B28" s="97">
        <f>B26+B27</f>
        <v/>
      </c>
      <c r="C28" s="97">
        <f>C26+C27</f>
        <v/>
      </c>
      <c r="D28" s="97">
        <f>D26+D27</f>
        <v/>
      </c>
      <c r="E28" s="97">
        <f>E26+E27</f>
        <v/>
      </c>
      <c r="F28" s="97">
        <f>F26+F27</f>
        <v/>
      </c>
      <c r="G28" s="101">
        <f>G26+G27</f>
        <v/>
      </c>
      <c r="H28" s="101">
        <f>H26+H27</f>
        <v/>
      </c>
      <c r="I28" s="101">
        <f>I26+I27</f>
        <v/>
      </c>
      <c r="J28" s="101">
        <f>J26+J27</f>
        <v/>
      </c>
      <c r="K28" s="101">
        <f>K26+K27</f>
        <v/>
      </c>
      <c r="L28" s="101">
        <f>L26+L27</f>
        <v/>
      </c>
      <c r="M28" s="82">
        <f> EBIT × (1 − tax rate)</f>
        <v/>
      </c>
    </row>
    <row r="29" ht="20" customHeight="1">
      <c r="A29" s="95" t="inlineStr">
        <is>
          <t xml:space="preserve">  (+) D&amp;A add-back  (non-cash)</t>
        </is>
      </c>
      <c r="B29" s="99">
        <f>-B25</f>
        <v/>
      </c>
      <c r="C29" s="99">
        <f>-C25</f>
        <v/>
      </c>
      <c r="D29" s="99">
        <f>-D25</f>
        <v/>
      </c>
      <c r="E29" s="99">
        <f>-E25</f>
        <v/>
      </c>
      <c r="F29" s="99">
        <f>-F25</f>
        <v/>
      </c>
      <c r="G29" s="100">
        <f>-G25</f>
        <v/>
      </c>
      <c r="H29" s="100">
        <f>-H25</f>
        <v/>
      </c>
      <c r="I29" s="100">
        <f>-I25</f>
        <v/>
      </c>
      <c r="J29" s="100">
        <f>-J25</f>
        <v/>
      </c>
      <c r="K29" s="100">
        <f>-K25</f>
        <v/>
      </c>
      <c r="L29" s="100">
        <f>-L25</f>
        <v/>
      </c>
      <c r="M29" s="82">
        <f> D&amp;A added back (non-cash charge — converts NOPAT to cash basis)</f>
        <v/>
      </c>
    </row>
    <row r="30" ht="20" customHeight="1">
      <c r="A30" s="95" t="inlineStr">
        <is>
          <t xml:space="preserve">  (−) Capital Expenditures</t>
        </is>
      </c>
      <c r="B30" s="78">
        <f>'Cash Flow'!B6</f>
        <v/>
      </c>
      <c r="C30" s="78">
        <f>'Cash Flow'!C6</f>
        <v/>
      </c>
      <c r="D30" s="78">
        <f>'Cash Flow'!D6</f>
        <v/>
      </c>
      <c r="E30" s="78">
        <f>'Cash Flow'!E6</f>
        <v/>
      </c>
      <c r="F30" s="78">
        <f>'Cash Flow'!F6</f>
        <v/>
      </c>
      <c r="G30" s="100">
        <f>-G15*G10</f>
        <v/>
      </c>
      <c r="H30" s="100">
        <f>-H15*H10</f>
        <v/>
      </c>
      <c r="I30" s="100">
        <f>-I15*I10</f>
        <v/>
      </c>
      <c r="J30" s="100">
        <f>-J15*J10</f>
        <v/>
      </c>
      <c r="K30" s="100">
        <f>-K15*K10</f>
        <v/>
      </c>
      <c r="L30" s="100">
        <f>-L15*L10</f>
        <v/>
      </c>
      <c r="M30" s="82">
        <f> Revenue × CapEx % assumption  (negative = cash outflow)</f>
        <v/>
      </c>
    </row>
    <row r="31" ht="20" customHeight="1">
      <c r="A31" s="95" t="inlineStr">
        <is>
          <t xml:space="preserve">  (−) Increase in Net Working Capital</t>
        </is>
      </c>
      <c r="B31" s="99" t="n"/>
      <c r="C31" s="99">
        <f>-(('Balance Sheet'!C9-'Balance Sheet'!C21)-('Balance Sheet'!B9-'Balance Sheet'!B21))</f>
        <v/>
      </c>
      <c r="D31" s="99">
        <f>-(('Balance Sheet'!D9-'Balance Sheet'!D21)-('Balance Sheet'!C9-'Balance Sheet'!C21))</f>
        <v/>
      </c>
      <c r="E31" s="99">
        <f>-(('Balance Sheet'!E9-'Balance Sheet'!E21)-('Balance Sheet'!D9-'Balance Sheet'!D21))</f>
        <v/>
      </c>
      <c r="F31" s="99">
        <f>-(('Balance Sheet'!F9-'Balance Sheet'!F21)-('Balance Sheet'!E9-'Balance Sheet'!E21))</f>
        <v/>
      </c>
      <c r="G31" s="100">
        <f>-G15*G11</f>
        <v/>
      </c>
      <c r="H31" s="100">
        <f>-H15*H11</f>
        <v/>
      </c>
      <c r="I31" s="100">
        <f>-I15*I11</f>
        <v/>
      </c>
      <c r="J31" s="100">
        <f>-J15*J11</f>
        <v/>
      </c>
      <c r="K31" s="100">
        <f>-K15*K11</f>
        <v/>
      </c>
      <c r="L31" s="100">
        <f>-L15*L11</f>
        <v/>
      </c>
      <c r="M31" s="82">
        <f> −Revenue × NWC%  (positive NWC% → cash outflow, reduces UFCF)</f>
        <v/>
      </c>
    </row>
    <row r="32" ht="20" customHeight="1">
      <c r="A32" s="77" t="inlineStr">
        <is>
          <t>UNLEVERED FREE CASH FLOW  (UFCF)</t>
        </is>
      </c>
      <c r="B32" s="97">
        <f>B28+B29+B30+B31</f>
        <v/>
      </c>
      <c r="C32" s="97">
        <f>C28+C29+C30+C31</f>
        <v/>
      </c>
      <c r="D32" s="97">
        <f>D28+D29+D30+D31</f>
        <v/>
      </c>
      <c r="E32" s="97">
        <f>E28+E29+E30+E31</f>
        <v/>
      </c>
      <c r="F32" s="97">
        <f>F28+F29+F30+F31</f>
        <v/>
      </c>
      <c r="G32" s="101">
        <f>G28+G29+G30+G31</f>
        <v/>
      </c>
      <c r="H32" s="101">
        <f>H28+H29+H30+H31</f>
        <v/>
      </c>
      <c r="I32" s="101">
        <f>I28+I29+I30+I31</f>
        <v/>
      </c>
      <c r="J32" s="101">
        <f>J28+J29+J30+J31</f>
        <v/>
      </c>
      <c r="K32" s="101">
        <f>K28+K29+K30+K31</f>
        <v/>
      </c>
      <c r="L32" s="101">
        <f>L28+L29+L30+L31</f>
        <v/>
      </c>
      <c r="M32" s="82">
        <f> NOPAT + D&amp;A − CapEx − ΔNWC  (pre-debt, pre-interest free cash flow)</f>
        <v/>
      </c>
    </row>
    <row r="33" ht="20" customHeight="1">
      <c r="A33" s="83" t="inlineStr">
        <is>
          <t xml:space="preserve">  UFCF Margin %</t>
        </is>
      </c>
      <c r="B33" s="91">
        <f>B32/B15</f>
        <v/>
      </c>
      <c r="C33" s="91">
        <f>C32/C15</f>
        <v/>
      </c>
      <c r="D33" s="91">
        <f>D32/D15</f>
        <v/>
      </c>
      <c r="E33" s="91">
        <f>E32/E15</f>
        <v/>
      </c>
      <c r="F33" s="91">
        <f>F32/F15</f>
        <v/>
      </c>
      <c r="G33" s="102">
        <f>IFERROR(G32/G15,"")</f>
        <v/>
      </c>
      <c r="H33" s="102">
        <f>IFERROR(H32/H15,"")</f>
        <v/>
      </c>
      <c r="I33" s="102">
        <f>IFERROR(I32/I15,"")</f>
        <v/>
      </c>
      <c r="J33" s="102">
        <f>IFERROR(J32/J15,"")</f>
        <v/>
      </c>
      <c r="K33" s="102">
        <f>IFERROR(K32/K15,"")</f>
        <v/>
      </c>
      <c r="L33" s="102">
        <f>IFERROR(L32/L15,"")</f>
        <v/>
      </c>
      <c r="M33" s="82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70" t="inlineStr">
        <is>
          <t>WACC  (from WACC tab)</t>
        </is>
      </c>
      <c r="B36" s="103">
        <f>WACC!B46</f>
        <v/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76" t="inlineStr">
        <is>
          <t>Auto-linked from WACC tab selected output.  Override manually if needed.</t>
        </is>
      </c>
    </row>
    <row r="37" ht="20" customHeight="1">
      <c r="A37" s="70" t="inlineStr">
        <is>
          <t>Terminal Growth Rate  (g)</t>
        </is>
      </c>
      <c r="B37" s="105" t="n">
        <v>0.04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76" t="inlineStr">
        <is>
          <t>Growth tier: HIGH (40.3% 3yr avg rev growth).  Bear 3.00% / Base 4.0% / Bull 5.00%.  Keep below WACC.</t>
        </is>
      </c>
    </row>
    <row r="38" ht="20" customHeight="1">
      <c r="A38" s="70" t="inlineStr">
        <is>
          <t>Terminal EV/EBITDA Multiple  (exit multiple method)</t>
        </is>
      </c>
      <c r="B38" s="106" t="n">
        <v>28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76" t="inlineStr">
        <is>
          <t>Growth tier: HIGH (40.3% 3yr avg rev growth).  Bear 22x / Base 28x / Bull 32x.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7" t="inlineStr">
        <is>
          <t>Terminal Year UFCF  (grown by g)</t>
        </is>
      </c>
      <c r="B40" s="108">
        <f>L32</f>
        <v/>
      </c>
      <c r="C40" s="109" t="n"/>
      <c r="D40" s="109" t="n"/>
      <c r="E40" s="109" t="n"/>
      <c r="F40" s="109" t="n"/>
      <c r="G40" s="109" t="n"/>
      <c r="H40" s="109" t="n"/>
      <c r="I40" s="109" t="n"/>
      <c r="J40" s="109" t="n"/>
      <c r="K40" s="109" t="n"/>
      <c r="L40" s="109" t="n"/>
      <c r="M40" s="82" t="inlineStr">
        <is>
          <t>Cross-ref from Section 3 — terminal year UFCF (already grown by g in assumptions)</t>
        </is>
      </c>
    </row>
    <row r="41" ht="20" customHeight="1">
      <c r="A41" s="77" t="inlineStr">
        <is>
          <t>Terminal Value  [Gordon Growth:  UFCF / (WACC − g)]</t>
        </is>
      </c>
      <c r="B41" s="101">
        <f>B40/(B36-B37)</f>
        <v/>
      </c>
      <c r="C41" s="110" t="n"/>
      <c r="D41" s="110" t="n"/>
      <c r="E41" s="110" t="n"/>
      <c r="F41" s="110" t="n"/>
      <c r="G41" s="110" t="n"/>
      <c r="H41" s="110" t="n"/>
      <c r="I41" s="110" t="n"/>
      <c r="J41" s="110" t="n"/>
      <c r="K41" s="110" t="n"/>
      <c r="L41" s="110" t="n"/>
      <c r="M41" s="82" t="inlineStr">
        <is>
          <t>Sensitive to g — always cross-check vs Exit Multiple below</t>
        </is>
      </c>
    </row>
    <row r="42" ht="20" customHeight="1">
      <c r="A42" s="77" t="inlineStr">
        <is>
          <t>Terminal Value  [Exit Multiple:  Terminal EBITDA × Multiple]</t>
        </is>
      </c>
      <c r="B42" s="101">
        <f>L20*B38</f>
        <v/>
      </c>
      <c r="C42" s="110" t="n"/>
      <c r="D42" s="110" t="n"/>
      <c r="E42" s="110" t="n"/>
      <c r="F42" s="110" t="n"/>
      <c r="G42" s="110" t="n"/>
      <c r="H42" s="110" t="n"/>
      <c r="I42" s="110" t="n"/>
      <c r="J42" s="110" t="n"/>
      <c r="K42" s="110" t="n"/>
      <c r="L42" s="110" t="n"/>
      <c r="M42" s="82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7" t="inlineStr">
        <is>
          <t>Discount Period  (mid-year convention)</t>
        </is>
      </c>
      <c r="G45" s="111" t="n">
        <v>0.5</v>
      </c>
      <c r="H45" s="111" t="n">
        <v>1.5</v>
      </c>
      <c r="I45" s="111" t="n">
        <v>2.5</v>
      </c>
      <c r="J45" s="111" t="n">
        <v>3.5</v>
      </c>
      <c r="K45" s="111" t="n">
        <v>4.5</v>
      </c>
      <c r="L45" s="112" t="n">
        <v>5</v>
      </c>
      <c r="M45" s="82" t="inlineStr">
        <is>
          <t>Mid-year: 0.5, 1.5, 2.5...  assumes FCF received evenly through each year</t>
        </is>
      </c>
    </row>
    <row r="46" ht="20" customHeight="1">
      <c r="A46" s="107" t="inlineStr">
        <is>
          <t>Discount Factor  =  1 / (1 + WACC) ^ period</t>
        </is>
      </c>
      <c r="G46" s="113">
        <f>1/(1+B36)^G45</f>
        <v/>
      </c>
      <c r="H46" s="113">
        <f>1/(1+B36)^H45</f>
        <v/>
      </c>
      <c r="I46" s="113">
        <f>1/(1+B36)^I45</f>
        <v/>
      </c>
      <c r="J46" s="113">
        <f>1/(1+B36)^J45</f>
        <v/>
      </c>
      <c r="K46" s="113">
        <f>1/(1+B36)^K45</f>
        <v/>
      </c>
      <c r="L46" s="114">
        <f>1/(1+B36)^L45</f>
        <v/>
      </c>
      <c r="M46" s="82">
        <f> 1 / (1 + WACC) ^ discount period</f>
        <v/>
      </c>
    </row>
    <row r="47" ht="20" customHeight="1">
      <c r="A47" s="77" t="inlineStr">
        <is>
          <t>PV of UFCF</t>
        </is>
      </c>
      <c r="G47" s="101">
        <f>G32*G46</f>
        <v/>
      </c>
      <c r="H47" s="101">
        <f>H32*H46</f>
        <v/>
      </c>
      <c r="I47" s="101">
        <f>I32*I46</f>
        <v/>
      </c>
      <c r="J47" s="101">
        <f>J32*J46</f>
        <v/>
      </c>
      <c r="K47" s="101">
        <f>K32*K46</f>
        <v/>
      </c>
      <c r="L47" s="110" t="n"/>
      <c r="M47" s="82">
        <f> UFCF × discount factor</f>
        <v/>
      </c>
    </row>
    <row r="48" ht="20" customHeight="1">
      <c r="A48" s="64" t="inlineStr">
        <is>
          <t>Sum of PV of FCFs  (explicit period)</t>
        </is>
      </c>
      <c r="B48" s="98">
        <f>G47+H47+I47+J47+K47</f>
        <v/>
      </c>
      <c r="C48" s="115" t="n"/>
      <c r="D48" s="115" t="n"/>
      <c r="E48" s="115" t="n"/>
      <c r="F48" s="115" t="n"/>
      <c r="G48" s="115" t="n"/>
      <c r="H48" s="115" t="n"/>
      <c r="I48" s="115" t="n"/>
      <c r="J48" s="115" t="n"/>
      <c r="K48" s="115" t="n"/>
      <c r="L48" s="115" t="n"/>
      <c r="M48" s="82" t="inlineStr">
        <is>
          <t>Sum of 5 discounted annual FCFs</t>
        </is>
      </c>
    </row>
    <row r="49" ht="20" customHeight="1">
      <c r="A49" s="64" t="inlineStr">
        <is>
          <t>PV of Terminal Value  [Gordon Growth]</t>
        </is>
      </c>
      <c r="B49" s="98">
        <f>B41*L46</f>
        <v/>
      </c>
      <c r="C49" s="115" t="n"/>
      <c r="D49" s="115" t="n"/>
      <c r="E49" s="115" t="n"/>
      <c r="F49" s="115" t="n"/>
      <c r="G49" s="115" t="n"/>
      <c r="H49" s="115" t="n"/>
      <c r="I49" s="115" t="n"/>
      <c r="J49" s="115" t="n"/>
      <c r="K49" s="115" t="n"/>
      <c r="L49" s="115" t="n"/>
      <c r="M49" s="82" t="inlineStr">
        <is>
          <t>Terminal value × terminal-year discount factor</t>
        </is>
      </c>
    </row>
    <row r="50" ht="20" customHeight="1">
      <c r="A50" s="64" t="inlineStr">
        <is>
          <t>PV of Terminal Value  [Exit Multiple]</t>
        </is>
      </c>
      <c r="B50" s="98">
        <f>B42*L46</f>
        <v/>
      </c>
      <c r="C50" s="115" t="n"/>
      <c r="D50" s="115" t="n"/>
      <c r="E50" s="115" t="n"/>
      <c r="F50" s="115" t="n"/>
      <c r="G50" s="115" t="n"/>
      <c r="H50" s="115" t="n"/>
      <c r="I50" s="115" t="n"/>
      <c r="J50" s="115" t="n"/>
      <c r="K50" s="115" t="n"/>
      <c r="L50" s="115" t="n"/>
      <c r="M50" s="82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7" t="inlineStr">
        <is>
          <t>Enterprise Value  [Gordon Growth]</t>
        </is>
      </c>
      <c r="B53" s="101">
        <f>B48+B49</f>
        <v/>
      </c>
      <c r="C53" s="110" t="n"/>
      <c r="D53" s="110" t="n"/>
      <c r="E53" s="110" t="n"/>
      <c r="F53" s="110" t="n"/>
      <c r="G53" s="110" t="n"/>
      <c r="H53" s="110" t="n"/>
      <c r="I53" s="110" t="n"/>
      <c r="J53" s="110" t="n"/>
      <c r="K53" s="110" t="n"/>
      <c r="L53" s="110" t="n"/>
      <c r="M53" s="110" t="n"/>
    </row>
    <row r="54">
      <c r="A54" s="77" t="inlineStr">
        <is>
          <t>Enterprise Value  [Exit Multiple]</t>
        </is>
      </c>
      <c r="B54" s="101">
        <f>B48+B50</f>
        <v/>
      </c>
      <c r="C54" s="110" t="n"/>
      <c r="D54" s="110" t="n"/>
      <c r="E54" s="110" t="n"/>
      <c r="F54" s="110" t="n"/>
      <c r="G54" s="110" t="n"/>
      <c r="H54" s="110" t="n"/>
      <c r="I54" s="110" t="n"/>
      <c r="J54" s="110" t="n"/>
      <c r="K54" s="110" t="n"/>
      <c r="L54" s="110" t="n"/>
      <c r="M54" s="110" t="n"/>
    </row>
    <row r="55" ht="20" customHeight="1">
      <c r="A55" s="95" t="inlineStr">
        <is>
          <t xml:space="preserve">  Less: Net Debt  (Debt − Cash)</t>
        </is>
      </c>
      <c r="B55" s="108">
        <f>'Balance Sheet'!F81</f>
        <v/>
      </c>
      <c r="C55" s="109" t="n"/>
      <c r="D55" s="109" t="n"/>
      <c r="E55" s="109" t="n"/>
      <c r="F55" s="109" t="n"/>
      <c r="G55" s="109" t="n"/>
      <c r="H55" s="109" t="n"/>
      <c r="I55" s="109" t="n"/>
      <c r="J55" s="109" t="n"/>
      <c r="K55" s="109" t="n"/>
      <c r="L55" s="109" t="n"/>
      <c r="M55" s="82" t="inlineStr">
        <is>
          <t>Linked from Balance Sheet: Total Debt (ST+LT) − Cash &amp; Equivalents  (negative = net cash)</t>
        </is>
      </c>
    </row>
    <row r="56" ht="20" customHeight="1">
      <c r="A56" s="95" t="inlineStr">
        <is>
          <t xml:space="preserve">  Less: Minority Interest</t>
        </is>
      </c>
      <c r="B56" s="108" t="n">
        <v>0</v>
      </c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82" t="inlineStr">
        <is>
          <t>Auto-linked from Balance Sheet: minorityInterest</t>
        </is>
      </c>
    </row>
    <row r="57" ht="20" customHeight="1">
      <c r="A57" s="95" t="inlineStr">
        <is>
          <t xml:space="preserve">  Shares Outstanding — Diluted  (mm)</t>
        </is>
      </c>
      <c r="B57" s="108" t="n">
        <v>1251.8</v>
      </c>
      <c r="C57" s="109" t="n"/>
      <c r="D57" s="109" t="n"/>
      <c r="E57" s="109" t="n"/>
      <c r="F57" s="109" t="n"/>
      <c r="G57" s="109" t="n"/>
      <c r="H57" s="109" t="n"/>
      <c r="I57" s="109" t="n"/>
      <c r="J57" s="109" t="n"/>
      <c r="K57" s="109" t="n"/>
      <c r="L57" s="109" t="n"/>
      <c r="M57" s="82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7" t="inlineStr">
        <is>
          <t>Implied Share Price  [Gordon Growth]  ($)</t>
        </is>
      </c>
      <c r="B59" s="116">
        <f>IFERROR((B53-B55-B56)/B57,"")</f>
        <v/>
      </c>
      <c r="C59" s="110" t="n"/>
      <c r="D59" s="110" t="n"/>
      <c r="E59" s="110" t="n"/>
      <c r="F59" s="110" t="n"/>
      <c r="G59" s="110" t="n"/>
      <c r="H59" s="110" t="n"/>
      <c r="I59" s="110" t="n"/>
      <c r="J59" s="110" t="n"/>
      <c r="K59" s="110" t="n"/>
      <c r="L59" s="110" t="n"/>
      <c r="M59" s="110" t="n"/>
    </row>
    <row r="60">
      <c r="A60" s="77" t="inlineStr">
        <is>
          <t>Implied Share Price  [Exit Multiple]  ($)</t>
        </is>
      </c>
      <c r="B60" s="116">
        <f>IFERROR((B54-B55-B56)/B57,"")</f>
        <v/>
      </c>
      <c r="C60" s="110" t="n"/>
      <c r="D60" s="110" t="n"/>
      <c r="E60" s="110" t="n"/>
      <c r="F60" s="110" t="n"/>
      <c r="G60" s="110" t="n"/>
      <c r="H60" s="110" t="n"/>
      <c r="I60" s="110" t="n"/>
      <c r="J60" s="110" t="n"/>
      <c r="K60" s="110" t="n"/>
      <c r="L60" s="110" t="n"/>
      <c r="M60" s="110" t="n"/>
    </row>
    <row r="61" ht="20" customHeight="1">
      <c r="A61" s="107" t="inlineStr">
        <is>
          <t>Current Market Price  ($)</t>
        </is>
      </c>
      <c r="B61" s="117" t="n">
        <v>15.62</v>
      </c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82" t="inlineStr">
        <is>
          <t>Auto-linked from FMP company profile — price</t>
        </is>
      </c>
    </row>
    <row r="62">
      <c r="A62" s="64" t="inlineStr">
        <is>
          <t>Upside / (Downside)  [Gordon Growth]</t>
        </is>
      </c>
      <c r="B62" s="118">
        <f>IFERROR(B59/B61-1,"")</f>
        <v/>
      </c>
      <c r="C62" s="115" t="n"/>
      <c r="D62" s="115" t="n"/>
      <c r="E62" s="115" t="n"/>
      <c r="F62" s="115" t="n"/>
      <c r="G62" s="115" t="n"/>
      <c r="H62" s="115" t="n"/>
      <c r="I62" s="115" t="n"/>
      <c r="J62" s="115" t="n"/>
      <c r="K62" s="115" t="n"/>
      <c r="L62" s="115" t="n"/>
      <c r="M62" s="115" t="n"/>
    </row>
    <row r="63">
      <c r="A63" s="64" t="inlineStr">
        <is>
          <t>Upside / (Downside)  [Exit Multiple]</t>
        </is>
      </c>
      <c r="B63" s="118">
        <f>IFERROR(B60/B61-1,"")</f>
        <v/>
      </c>
      <c r="C63" s="115" t="n"/>
      <c r="D63" s="115" t="n"/>
      <c r="E63" s="115" t="n"/>
      <c r="F63" s="115" t="n"/>
      <c r="G63" s="115" t="n"/>
      <c r="H63" s="115" t="n"/>
      <c r="I63" s="115" t="n"/>
      <c r="J63" s="115" t="n"/>
      <c r="K63" s="115" t="n"/>
      <c r="L63" s="115" t="n"/>
      <c r="M63" s="115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9" t="inlineStr">
        <is>
          <t>JS SCORECARD — SOFI  |  Master Prompt v2  |  27 May 2026  |  Sector bucket: Bank</t>
        </is>
      </c>
    </row>
    <row r="2" ht="18" customHeight="1">
      <c r="A2" s="120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21" t="inlineStr">
        <is>
          <t>•  SOFT FLOOR CAP 90/100 applied — EBIT/Interest 0.5x → −10.2 pts  (kicks in at D/EBITDA &gt; 3.0x or EBIT/Int &lt; 3.0x; smooth, no cliffs)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22" t="inlineStr">
        <is>
          <t>CRITERION</t>
        </is>
      </c>
      <c r="B6" s="123" t="inlineStr">
        <is>
          <t>PART</t>
        </is>
      </c>
      <c r="C6" s="123" t="inlineStr">
        <is>
          <t>WEIGHT %</t>
        </is>
      </c>
      <c r="D6" s="123" t="inlineStr">
        <is>
          <t>CALCULATED VALUE</t>
        </is>
      </c>
      <c r="E6" s="123" t="inlineStr">
        <is>
          <t>TIER  ▼</t>
        </is>
      </c>
      <c r="F6" s="123" t="inlineStr">
        <is>
          <t>SCORE</t>
        </is>
      </c>
      <c r="G6" s="123" t="inlineStr">
        <is>
          <t>WTD SCORE</t>
        </is>
      </c>
      <c r="H6" s="122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4" t="inlineStr">
        <is>
          <t xml:space="preserve">  Business Clarity</t>
        </is>
      </c>
      <c r="B8" s="125" t="inlineStr">
        <is>
          <t>P1</t>
        </is>
      </c>
      <c r="C8" s="126" t="n">
        <v>0.075</v>
      </c>
      <c r="D8" s="127" t="inlineStr">
        <is>
          <t>— user input required</t>
        </is>
      </c>
      <c r="E8" s="128" t="n"/>
      <c r="F8" s="129">
        <f>IF(E8="HIGH",10,IF(E8="MOD-HIGH",7,IF(E8="MOD-LOW",3,IF(E8="LOW",0,""))))</f>
        <v/>
      </c>
      <c r="G8" s="130">
        <f>IF(F8="",0,C8*F8*10)</f>
        <v/>
      </c>
      <c r="H8" s="131" t="inlineStr"/>
    </row>
    <row r="9" ht="18" customHeight="1">
      <c r="A9" s="132" t="inlineStr">
        <is>
          <t xml:space="preserve">  Moat Profile</t>
        </is>
      </c>
      <c r="B9" s="133" t="inlineStr">
        <is>
          <t>P1</t>
        </is>
      </c>
      <c r="C9" s="134" t="n">
        <v>0.2</v>
      </c>
      <c r="D9" s="135" t="inlineStr">
        <is>
          <t>GM 75.1% ✓ (&gt;40%)  |  GM trend -11.1% ✗ (&gt;+1pp)  |  ROIC-WACC -9.6% ✗ (&gt;+5pp)  |  Rev consistency σ=17.5% ✗ (&lt;8%)  [1/4 indicators positive — proxy score]</t>
        </is>
      </c>
      <c r="E9" s="136" t="inlineStr">
        <is>
          <t>LOW</t>
        </is>
      </c>
      <c r="F9" s="137" t="n">
        <v>2.5</v>
      </c>
      <c r="G9" s="138">
        <f>IF(F9="",0,C9*F9*10)</f>
        <v/>
      </c>
      <c r="H9" s="139" t="inlineStr">
        <is>
          <t>GM 75.1% ✓ (&gt;40%)  |  GM trend -11.1% ✗ (&gt;+1pp)  |  ROIC-WACC -9.6% ✗ (&gt;+5pp)  |  Rev consistency σ=17.5% ✗ (&lt;8%)  [1/4 indicators positive — proxy score]</t>
        </is>
      </c>
    </row>
    <row r="10" ht="18" customHeight="1">
      <c r="A10" s="124" t="inlineStr">
        <is>
          <t xml:space="preserve">  Long-Term Potential</t>
        </is>
      </c>
      <c r="B10" s="125" t="inlineStr">
        <is>
          <t>P1</t>
        </is>
      </c>
      <c r="C10" s="126" t="n">
        <v>0.25</v>
      </c>
      <c r="D10" s="127" t="inlineStr">
        <is>
          <t>— user input required</t>
        </is>
      </c>
      <c r="E10" s="128" t="n"/>
      <c r="F10" s="129">
        <f>IF(E10="HIGH",10,IF(E10="MOD-HIGH",7,IF(E10="MOD-LOW",3,IF(E10="LOW",0,""))))</f>
        <v/>
      </c>
      <c r="G10" s="130">
        <f>IF(F10="",0,C10*F10*10)</f>
        <v/>
      </c>
      <c r="H10" s="131" t="inlineStr"/>
    </row>
    <row r="11" ht="18" customHeight="1">
      <c r="A11" s="132" t="inlineStr">
        <is>
          <t xml:space="preserve">  Management</t>
        </is>
      </c>
      <c r="B11" s="133" t="inlineStr">
        <is>
          <t>P1</t>
        </is>
      </c>
      <c r="C11" s="134" t="n">
        <v>0.125</v>
      </c>
      <c r="D11" s="135" t="inlineStr">
        <is>
          <t>ROIC trend +3.2% ✓ (&gt;=-2pp)  |  GM maintained -11.1% ✗  |  Op margin -7.1% ✗ (≥-2pp)  |  Capital returns MOD-LOW ✗  |  Share count +21.6%/yr ✗ (≤+2%/yr)  |  Goodwill/Equity 13% ✓ (&lt;40%)  [2/6 indicators positive — proxy score]</t>
        </is>
      </c>
      <c r="E11" s="136" t="inlineStr">
        <is>
          <t>LOW</t>
        </is>
      </c>
      <c r="F11" s="137" t="n">
        <v>3.33</v>
      </c>
      <c r="G11" s="138">
        <f>IF(F11="",0,C11*F11*10)</f>
        <v/>
      </c>
      <c r="H11" s="139" t="inlineStr">
        <is>
          <t>ROIC trend +3.2% ✓ (&gt;=-2pp)  |  GM maintained -11.1% ✗  |  Op margin -7.1% ✗ (≥-2pp)  |  Capital returns MOD-LOW ✗  |  Share count +21.6%/yr ✗ (≤+2%/yr)  |  Goodwill/Equity 13% ✓ (&lt;40%)  [2/6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32" t="inlineStr">
        <is>
          <t xml:space="preserve">  Revenue 3yr CAGR</t>
        </is>
      </c>
      <c r="B13" s="133" t="inlineStr">
        <is>
          <t>P2</t>
        </is>
      </c>
      <c r="C13" s="134" t="n">
        <v>0.25</v>
      </c>
      <c r="D13" s="135" t="inlineStr">
        <is>
          <t>39.3%</t>
        </is>
      </c>
      <c r="E13" s="140" t="inlineStr">
        <is>
          <t>HIGH</t>
        </is>
      </c>
      <c r="F13" s="137" t="n">
        <v>10</v>
      </c>
      <c r="G13" s="138">
        <f>IF(F13="",0,C13*F13*10)</f>
        <v/>
      </c>
      <c r="H13" s="139" t="inlineStr">
        <is>
          <t>39.3%</t>
        </is>
      </c>
    </row>
    <row r="14" ht="18" customHeight="1">
      <c r="A14" s="25" t="inlineStr">
        <is>
          <t>PART 3 — RISK PROFILE  (quantitative / qualitative)</t>
        </is>
      </c>
    </row>
    <row r="15" ht="18" customHeight="1">
      <c r="A15" s="132" t="inlineStr">
        <is>
          <t xml:space="preserve">  Credit Risk  (D / EBITDA)</t>
        </is>
      </c>
      <c r="B15" s="133" t="inlineStr">
        <is>
          <t>P3</t>
        </is>
      </c>
      <c r="C15" s="134" t="n">
        <v>0.05</v>
      </c>
      <c r="D15" s="135" t="inlineStr">
        <is>
          <t>Net cash $3,114mm — no net leverage  [through-cycle: 70/30 latest+5yr median, latest 2.4x → smoothed 3.1x]</t>
        </is>
      </c>
      <c r="E15" s="140" t="inlineStr">
        <is>
          <t>HIGH</t>
        </is>
      </c>
      <c r="F15" s="137" t="n">
        <v>10</v>
      </c>
      <c r="G15" s="138">
        <f>IF(F15="",0,C15*F15*10)</f>
        <v/>
      </c>
      <c r="H15" s="139" t="inlineStr">
        <is>
          <t>Net cash $3,114mm — no net leverage  [through-cycle: 70/30 latest+5yr median, latest 2.4x → smoothed 3.1x]</t>
        </is>
      </c>
    </row>
    <row r="16" ht="18" customHeight="1">
      <c r="A16" s="132" t="inlineStr">
        <is>
          <t xml:space="preserve">  Execution Risk</t>
        </is>
      </c>
      <c r="B16" s="133" t="inlineStr">
        <is>
          <t>P3</t>
        </is>
      </c>
      <c r="C16" s="134" t="n">
        <v>0.05</v>
      </c>
      <c r="D16" s="135" t="inlineStr">
        <is>
          <t>Rev growth σ=17.5%  |  OM trend -33.2%, σ=13.7%  [quality = direction + stability]</t>
        </is>
      </c>
      <c r="E16" s="136" t="inlineStr">
        <is>
          <t>LOW</t>
        </is>
      </c>
      <c r="F16" s="137" t="n">
        <v>0</v>
      </c>
      <c r="G16" s="138">
        <f>IF(F16="",0,C16*F16*10)</f>
        <v/>
      </c>
      <c r="H16" s="139" t="inlineStr">
        <is>
          <t>Rev growth σ=17.5%  |  OM trend -33.2%, σ=13.7%  [quality = direction + stability]</t>
        </is>
      </c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</row>
    <row r="18" ht="20" customHeight="1">
      <c r="A18" s="141" t="inlineStr">
        <is>
          <t>TOTAL SCORE  (max = 100.0)</t>
        </is>
      </c>
      <c r="B18" s="142" t="n"/>
      <c r="C18" s="142" t="n"/>
      <c r="D18" s="142" t="n"/>
      <c r="E18" s="142" t="n"/>
      <c r="F18" s="142" t="n"/>
      <c r="G18" s="143">
        <f>G8+G9+G10+G11+G13+G15+G16</f>
        <v/>
      </c>
      <c r="H18" s="144" t="inlineStr">
        <is>
          <t>Floor cap 89.8 applies — see gate warning above.</t>
        </is>
      </c>
    </row>
    <row r="19" ht="18" customHeight="1">
      <c r="A19" s="145" t="inlineStr">
        <is>
          <t>FLOOR-ADJUSTED SCORE  (capped at 89.8)</t>
        </is>
      </c>
      <c r="B19" s="146" t="n"/>
      <c r="C19" s="146" t="n"/>
      <c r="D19" s="146" t="n"/>
      <c r="E19" s="146" t="n"/>
      <c r="F19" s="146" t="n"/>
      <c r="G19" s="147">
        <f>MIN(G18,89.8)</f>
        <v/>
      </c>
      <c r="H19" s="146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</row>
    <row r="21" ht="24" customHeight="1">
      <c r="A21" s="148">
        <f>IF(G19="","Score incomplete — fill qualitative tiers above",IF(G19&gt;=80,"STRONG BUY",IF(G19&gt;=65,"BUY",IF(G19&gt;=50,"HOLD",IF(G19&gt;=35,"REDUCE","SELL")))))</f>
        <v/>
      </c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</row>
    <row r="23" ht="18" customHeight="1">
      <c r="A23" s="149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8">
    <mergeCell ref="A12:H12"/>
    <mergeCell ref="A4:H4"/>
    <mergeCell ref="A21:H21"/>
    <mergeCell ref="A7:H7"/>
    <mergeCell ref="A2:H2"/>
    <mergeCell ref="A14:H14"/>
    <mergeCell ref="A1:H1"/>
    <mergeCell ref="A23:H23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2026-05-27T02:26:55Z</dcterms:created>
  <dcterms:modified xmlns:dcterms="http://purl.org/dc/terms/" xmlns:xsi="http://www.w3.org/2001/XMLSchema-instance" xsi:type="dcterms:W3CDTF">2026-05-27T02:27:07Z</dcterms:modified>
</cp:coreProperties>
</file>