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B71C1C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i val="1"/>
      <color rgb="00B71C1C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FFEBEE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B71C1C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0" fontId="12" fillId="13" borderId="1" applyAlignment="1" pivotButton="0" quotePrefix="0" xfId="0">
      <alignment horizontal="left" indent="2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171" fontId="13" fillId="7" borderId="1" applyAlignment="1" pivotButton="0" quotePrefix="0" xfId="0">
      <alignment horizontal="right"/>
    </xf>
    <xf numFmtId="0" fontId="14" fillId="7" borderId="1" applyAlignment="1" pivotButton="0" quotePrefix="0" xfId="0">
      <alignment horizontal="left" indent="1"/>
    </xf>
    <xf numFmtId="0" fontId="15" fillId="5" borderId="1" applyAlignment="1" pivotButton="0" quotePrefix="0" xfId="0">
      <alignment horizontal="center"/>
    </xf>
    <xf numFmtId="0" fontId="16" fillId="6" borderId="1" applyAlignment="1" pivotButton="0" quotePrefix="0" xfId="0">
      <alignment horizontal="center"/>
    </xf>
    <xf numFmtId="171" fontId="16" fillId="6" borderId="1" applyAlignment="1" pivotButton="0" quotePrefix="0" xfId="0">
      <alignment horizontal="right"/>
    </xf>
    <xf numFmtId="0" fontId="15" fillId="7" borderId="1" applyAlignment="1" pivotButton="0" quotePrefix="0" xfId="0">
      <alignment horizontal="center"/>
    </xf>
    <xf numFmtId="171" fontId="16" fillId="7" borderId="1" applyAlignment="1" pivotButton="0" quotePrefix="0" xfId="0">
      <alignment horizontal="right"/>
    </xf>
    <xf numFmtId="171" fontId="15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0" fontId="17" fillId="14" borderId="1" applyAlignment="1" pivotButton="0" quotePrefix="0" xfId="0">
      <alignment horizontal="left" indent="2"/>
    </xf>
    <xf numFmtId="0" fontId="6" fillId="15" borderId="1" applyAlignment="1" pivotButton="0" quotePrefix="0" xfId="0">
      <alignment horizontal="left" vertical="center" indent="1"/>
    </xf>
    <xf numFmtId="49" fontId="18" fillId="16" borderId="1" applyAlignment="1" pivotButton="0" quotePrefix="0" xfId="0">
      <alignment horizontal="right" vertical="center"/>
    </xf>
    <xf numFmtId="168" fontId="18" fillId="16" borderId="1" applyAlignment="1" pivotButton="0" quotePrefix="0" xfId="0">
      <alignment horizontal="right" vertical="center"/>
    </xf>
    <xf numFmtId="168" fontId="19" fillId="14" borderId="1" applyAlignment="1" pivotButton="0" quotePrefix="0" xfId="0">
      <alignment horizontal="right" vertical="center"/>
    </xf>
    <xf numFmtId="168" fontId="5" fillId="9" borderId="1" applyAlignment="1" pivotButton="0" quotePrefix="0" xfId="0">
      <alignment horizontal="right" vertical="center"/>
    </xf>
    <xf numFmtId="168" fontId="5" fillId="15" borderId="1" applyAlignment="1" pivotButton="0" quotePrefix="0" xfId="0">
      <alignment horizontal="right" vertical="center"/>
    </xf>
    <xf numFmtId="0" fontId="20" fillId="15" borderId="1" applyAlignment="1" pivotButton="0" quotePrefix="0" xfId="0">
      <alignment horizontal="left" wrapText="1" indent="1"/>
    </xf>
    <xf numFmtId="0" fontId="6" fillId="14" borderId="1" applyAlignment="1" pivotButton="0" quotePrefix="0" xfId="0">
      <alignment horizontal="left" vertical="center" indent="1"/>
    </xf>
    <xf numFmtId="167" fontId="5" fillId="16" borderId="1" applyAlignment="1" pivotButton="0" quotePrefix="0" xfId="0">
      <alignment horizontal="right" vertical="center"/>
    </xf>
    <xf numFmtId="167" fontId="19" fillId="14" borderId="1" applyAlignment="1" pivotButton="0" quotePrefix="0" xfId="0">
      <alignment horizontal="right" vertical="center"/>
    </xf>
    <xf numFmtId="167" fontId="4" fillId="9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0" fontId="20" fillId="6" borderId="1" applyAlignment="1" pivotButton="0" quotePrefix="0" xfId="0">
      <alignment horizontal="left" wrapText="1" indent="1"/>
    </xf>
    <xf numFmtId="0" fontId="21" fillId="6" borderId="1" applyAlignment="1" pivotButton="0" quotePrefix="0" xfId="0">
      <alignment horizontal="left" vertical="center" indent="2"/>
    </xf>
    <xf numFmtId="0" fontId="14" fillId="14" borderId="1" applyAlignment="1" pivotButton="0" quotePrefix="0" xfId="0">
      <alignment horizontal="right" vertical="center"/>
    </xf>
    <xf numFmtId="0" fontId="22" fillId="6" borderId="1" applyAlignment="1" pivotButton="0" quotePrefix="0" xfId="0">
      <alignment horizontal="right" vertical="center"/>
    </xf>
    <xf numFmtId="0" fontId="22" fillId="15" borderId="1" applyAlignment="1" pivotButton="0" quotePrefix="0" xfId="0">
      <alignment horizontal="right" vertical="center"/>
    </xf>
    <xf numFmtId="3" fontId="21" fillId="14" borderId="1" applyAlignment="1" pivotButton="0" quotePrefix="0" xfId="0">
      <alignment horizontal="right" vertical="center"/>
    </xf>
    <xf numFmtId="3" fontId="23" fillId="14" borderId="1" applyAlignment="1" pivotButton="0" quotePrefix="0" xfId="0">
      <alignment horizontal="right" vertical="center"/>
    </xf>
    <xf numFmtId="3" fontId="24" fillId="14" borderId="1" applyAlignment="1" pivotButton="0" quotePrefix="0" xfId="0">
      <alignment horizontal="right" vertical="center"/>
    </xf>
    <xf numFmtId="0" fontId="22" fillId="16" borderId="1" applyAlignment="1" pivotButton="0" quotePrefix="0" xfId="0">
      <alignment horizontal="right" vertical="center"/>
    </xf>
    <xf numFmtId="168" fontId="21" fillId="16" borderId="1" applyAlignment="1" pivotButton="0" quotePrefix="0" xfId="0">
      <alignment horizontal="right" vertical="center"/>
    </xf>
    <xf numFmtId="168" fontId="21" fillId="14" borderId="1" applyAlignment="1" pivotButton="0" quotePrefix="0" xfId="0">
      <alignment horizontal="right" vertical="center"/>
    </xf>
    <xf numFmtId="168" fontId="21" fillId="9" borderId="1" applyAlignment="1" pivotButton="0" quotePrefix="0" xfId="0">
      <alignment horizontal="right" vertical="center"/>
    </xf>
    <xf numFmtId="168" fontId="21" fillId="1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4" borderId="1" applyAlignment="1" pivotButton="0" quotePrefix="0" xfId="0">
      <alignment horizontal="right" vertical="center"/>
    </xf>
    <xf numFmtId="167" fontId="6" fillId="16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6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4" borderId="1" applyAlignment="1" pivotButton="0" quotePrefix="0" xfId="0">
      <alignment horizontal="right" vertical="center"/>
    </xf>
    <xf numFmtId="168" fontId="21" fillId="6" borderId="1" applyAlignment="1" pivotButton="0" quotePrefix="0" xfId="0">
      <alignment horizontal="right" vertical="center"/>
    </xf>
    <xf numFmtId="171" fontId="25" fillId="15" borderId="1" applyAlignment="1" pivotButton="0" quotePrefix="0" xfId="0">
      <alignment horizontal="right" vertical="center"/>
    </xf>
    <xf numFmtId="0" fontId="4" fillId="15" borderId="1" applyAlignment="1" pivotButton="0" quotePrefix="0" xfId="0">
      <alignment horizontal="right" vertical="center"/>
    </xf>
    <xf numFmtId="171" fontId="8" fillId="15" borderId="1" applyAlignment="1" pivotButton="0" quotePrefix="0" xfId="0">
      <alignment horizontal="right" vertical="center"/>
    </xf>
    <xf numFmtId="173" fontId="8" fillId="1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6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5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4" borderId="1" applyAlignment="1" pivotButton="0" quotePrefix="0" xfId="0">
      <alignment horizontal="right" vertical="center"/>
    </xf>
    <xf numFmtId="165" fontId="26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7" fillId="2" borderId="0" applyAlignment="1" pivotButton="0" quotePrefix="0" xfId="0">
      <alignment horizontal="left" vertical="center" wrapText="1" indent="1"/>
    </xf>
    <xf numFmtId="0" fontId="16" fillId="7" borderId="0" applyAlignment="1" pivotButton="0" quotePrefix="0" xfId="0">
      <alignment horizontal="left" vertical="center" wrapText="1" indent="1"/>
    </xf>
    <xf numFmtId="0" fontId="3" fillId="17" borderId="0" applyAlignment="1" pivotButton="0" quotePrefix="0" xfId="0">
      <alignment horizontal="left" vertical="center" wrapText="1" indent="1"/>
    </xf>
    <xf numFmtId="0" fontId="28" fillId="4" borderId="1" applyAlignment="1" pivotButton="0" quotePrefix="0" xfId="0">
      <alignment horizontal="left" vertical="center" indent="1"/>
    </xf>
    <xf numFmtId="0" fontId="28" fillId="4" borderId="1" applyAlignment="1" pivotButton="0" quotePrefix="0" xfId="0">
      <alignment horizontal="center" vertical="center" indent="1"/>
    </xf>
    <xf numFmtId="0" fontId="4" fillId="18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66" fontId="4" fillId="18" borderId="1" applyAlignment="1" pivotButton="0" quotePrefix="0" xfId="0">
      <alignment horizontal="center" vertical="center"/>
    </xf>
    <xf numFmtId="0" fontId="22" fillId="18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8" borderId="1" applyAlignment="1" pivotButton="0" quotePrefix="0" xfId="0">
      <alignment horizontal="center" vertical="center"/>
    </xf>
    <xf numFmtId="177" fontId="4" fillId="18" borderId="1" applyAlignment="1" pivotButton="0" quotePrefix="0" xfId="0">
      <alignment horizontal="center" vertical="center"/>
    </xf>
    <xf numFmtId="0" fontId="14" fillId="18" borderId="1" applyAlignment="1" pivotButton="0" quotePrefix="0" xfId="0">
      <alignment horizontal="left" vertical="center" wrapText="1"/>
    </xf>
    <xf numFmtId="0" fontId="6" fillId="15" borderId="1" applyAlignment="1" pivotButton="0" quotePrefix="0" xfId="0">
      <alignment horizontal="left" vertical="center"/>
    </xf>
    <xf numFmtId="0" fontId="29" fillId="15" borderId="1" applyAlignment="1" pivotButton="0" quotePrefix="0" xfId="0">
      <alignment horizontal="center" vertical="center"/>
    </xf>
    <xf numFmtId="166" fontId="4" fillId="15" borderId="1" applyAlignment="1" pivotButton="0" quotePrefix="0" xfId="0">
      <alignment horizontal="center" vertical="center"/>
    </xf>
    <xf numFmtId="0" fontId="30" fillId="15" borderId="1" applyAlignment="1" pivotButton="0" quotePrefix="0" xfId="0">
      <alignment horizontal="left" vertical="center"/>
    </xf>
    <xf numFmtId="0" fontId="31" fillId="19" borderId="1" applyAlignment="1" pivotButton="0" quotePrefix="0" xfId="0">
      <alignment horizontal="center" vertical="center"/>
    </xf>
    <xf numFmtId="176" fontId="6" fillId="15" borderId="1" applyAlignment="1" pivotButton="0" quotePrefix="0" xfId="0">
      <alignment horizontal="center" vertical="center"/>
    </xf>
    <xf numFmtId="177" fontId="4" fillId="15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left" vertical="center" wrapText="1"/>
    </xf>
    <xf numFmtId="0" fontId="32" fillId="20" borderId="1" applyAlignment="1" pivotButton="0" quotePrefix="0" xfId="0">
      <alignment horizontal="center" vertical="center"/>
    </xf>
    <xf numFmtId="0" fontId="33" fillId="21" borderId="1" applyAlignment="1" pivotButton="0" quotePrefix="0" xfId="0">
      <alignment horizontal="center" vertical="center"/>
    </xf>
    <xf numFmtId="0" fontId="34" fillId="22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3" fillId="5" borderId="1" applyAlignment="1" pivotButton="0" quotePrefix="0" xfId="0">
      <alignment horizontal="center" vertical="center"/>
    </xf>
    <xf numFmtId="0" fontId="31" fillId="5" borderId="1" applyAlignment="1" pivotButton="0" quotePrefix="0" xfId="0">
      <alignment horizontal="left" vertical="center" indent="1"/>
    </xf>
    <xf numFmtId="0" fontId="35" fillId="13" borderId="1" applyAlignment="1" pivotButton="0" quotePrefix="0" xfId="0">
      <alignment horizontal="left" vertical="center" indent="1"/>
    </xf>
    <xf numFmtId="0" fontId="0" fillId="13" borderId="1" pivotButton="0" quotePrefix="0" xfId="0"/>
    <xf numFmtId="2" fontId="35" fillId="13" borderId="1" applyAlignment="1" pivotButton="0" quotePrefix="0" xfId="0">
      <alignment horizontal="center" vertical="center"/>
    </xf>
    <xf numFmtId="0" fontId="27" fillId="3" borderId="0" applyAlignment="1" pivotButton="0" quotePrefix="0" xfId="0">
      <alignment horizontal="center" vertical="center"/>
    </xf>
    <xf numFmtId="0" fontId="36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SOFI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4769.6</v>
      </c>
    </row>
    <row r="7">
      <c r="A7" s="4" t="inlineStr">
        <is>
          <t>Gross Profit ($mm)</t>
        </is>
      </c>
      <c r="B7" s="6" t="n">
        <v>3278.12</v>
      </c>
    </row>
    <row r="8">
      <c r="A8" s="4" t="inlineStr">
        <is>
          <t>EBITDA ($mm)</t>
        </is>
      </c>
      <c r="B8" s="6" t="n">
        <v>1916.25</v>
      </c>
    </row>
    <row r="9">
      <c r="A9" s="4" t="inlineStr">
        <is>
          <t>EBIT ($mm)</t>
        </is>
      </c>
      <c r="B9" s="6" t="n">
        <v>1682.1</v>
      </c>
    </row>
    <row r="10">
      <c r="A10" s="4" t="inlineStr">
        <is>
          <t>Net Income ($mm)</t>
        </is>
      </c>
      <c r="B10" s="6" t="n">
        <v>481.32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SOFI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1087.65</v>
      </c>
      <c r="C5" s="15" t="n">
        <v>1762.81</v>
      </c>
      <c r="D5" s="15" t="n">
        <v>2897.54</v>
      </c>
      <c r="E5" s="15" t="n">
        <v>3703.68</v>
      </c>
      <c r="F5" s="15" t="n">
        <v>4769.6</v>
      </c>
    </row>
    <row r="6">
      <c r="A6" s="16" t="inlineStr">
        <is>
          <t>(2)  Cost of Revenue (COGS)</t>
        </is>
      </c>
      <c r="B6" s="17" t="n">
        <v>110.35</v>
      </c>
      <c r="C6" s="17" t="n">
        <v>243.61</v>
      </c>
      <c r="D6" s="17" t="n">
        <v>844.27</v>
      </c>
      <c r="E6" s="17" t="n">
        <v>1123.05</v>
      </c>
      <c r="F6" s="17" t="n">
        <v>1491.48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925.41</v>
      </c>
      <c r="C9" s="17" t="n">
        <v>1119.44</v>
      </c>
      <c r="D9" s="17" t="n">
        <v>1230.41</v>
      </c>
      <c r="E9" s="17" t="n">
        <v>1396.38</v>
      </c>
      <c r="F9" s="17" t="n">
        <v>1799.85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1458.48</v>
      </c>
      <c r="C11" s="17" t="n">
        <v>1837.92</v>
      </c>
      <c r="D11" s="17" t="n">
        <v>2354.43</v>
      </c>
      <c r="E11" s="17" t="n">
        <v>2347.28</v>
      </c>
      <c r="F11" s="17" t="n">
        <v>1596.02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101.57</v>
      </c>
      <c r="C14" s="17" t="n">
        <v>151.36</v>
      </c>
      <c r="D14" s="17" t="n">
        <v>201.42</v>
      </c>
      <c r="E14" s="17" t="n">
        <v>203.5</v>
      </c>
      <c r="F14" s="17" t="n">
        <v>234.15</v>
      </c>
    </row>
    <row r="15">
      <c r="A15" s="18" t="inlineStr">
        <is>
          <t>(8)  EBIT (Operating Income)</t>
        </is>
      </c>
      <c r="B15" s="23" t="n">
        <v>-481.18</v>
      </c>
      <c r="C15" s="23" t="n">
        <v>-318.72</v>
      </c>
      <c r="D15" s="23" t="n">
        <v>-301.16</v>
      </c>
      <c r="E15" s="23" t="n">
        <v>233.34</v>
      </c>
      <c r="F15" s="23" t="n">
        <v>1682.1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102.78</v>
      </c>
      <c r="C17" s="17" t="n">
        <v>189.28</v>
      </c>
      <c r="D17" s="17" t="n">
        <v>789.33</v>
      </c>
      <c r="E17" s="17" t="n">
        <v>1091.34</v>
      </c>
      <c r="F17" s="17" t="n">
        <v>1156.24</v>
      </c>
    </row>
    <row r="18">
      <c r="A18" s="20" t="inlineStr">
        <is>
          <t xml:space="preserve">     Interest Income</t>
        </is>
      </c>
      <c r="B18" s="17" t="n">
        <v>355.02</v>
      </c>
      <c r="C18" s="17" t="n">
        <v>773.37</v>
      </c>
      <c r="D18" s="17" t="n">
        <v>2051.07</v>
      </c>
      <c r="E18" s="17" t="n">
        <v>2807.82</v>
      </c>
      <c r="F18" s="17" t="n">
        <v>0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-481.18</v>
      </c>
      <c r="C21" s="23" t="n">
        <v>-318.72</v>
      </c>
      <c r="D21" s="23" t="n">
        <v>-301.16</v>
      </c>
      <c r="E21" s="23" t="n">
        <v>233.34</v>
      </c>
      <c r="F21" s="23" t="n">
        <v>525.86</v>
      </c>
    </row>
    <row r="22">
      <c r="A22" s="16" t="inlineStr">
        <is>
          <t>(11) Income Tax Expense</t>
        </is>
      </c>
      <c r="B22" s="17" t="n">
        <v>2.76</v>
      </c>
      <c r="C22" s="17" t="n">
        <v>1.69</v>
      </c>
      <c r="D22" s="17" t="n">
        <v>-0.42</v>
      </c>
      <c r="E22" s="17" t="n">
        <v>-265.32</v>
      </c>
      <c r="F22" s="17" t="n">
        <v>44.54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-483.94</v>
      </c>
      <c r="C24" s="23" t="n">
        <v>-320.41</v>
      </c>
      <c r="D24" s="23" t="n">
        <v>-300.74</v>
      </c>
      <c r="E24" s="23" t="n">
        <v>498.67</v>
      </c>
      <c r="F24" s="23" t="n">
        <v>481.32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1087.65</v>
      </c>
      <c r="C30" s="15" t="n">
        <v>1762.81</v>
      </c>
      <c r="D30" s="15" t="n">
        <v>2897.54</v>
      </c>
      <c r="E30" s="15" t="n">
        <v>3703.68</v>
      </c>
      <c r="F30" s="15" t="n">
        <v>4769.6</v>
      </c>
    </row>
    <row r="31">
      <c r="A31" s="16" t="inlineStr">
        <is>
          <t>Cost of Revenue</t>
        </is>
      </c>
      <c r="B31" s="17" t="n">
        <v>110.35</v>
      </c>
      <c r="C31" s="17" t="n">
        <v>243.61</v>
      </c>
      <c r="D31" s="17" t="n">
        <v>844.27</v>
      </c>
      <c r="E31" s="17" t="n">
        <v>1123.05</v>
      </c>
      <c r="F31" s="17" t="n">
        <v>1491.48</v>
      </c>
    </row>
    <row r="32">
      <c r="A32" s="25" t="inlineStr">
        <is>
          <t>Gross Profit</t>
        </is>
      </c>
      <c r="B32" s="26" t="n">
        <v>977.3</v>
      </c>
      <c r="C32" s="26" t="n">
        <v>1519.2</v>
      </c>
      <c r="D32" s="26" t="n">
        <v>2053.27</v>
      </c>
      <c r="E32" s="26" t="n">
        <v>2580.63</v>
      </c>
      <c r="F32" s="26" t="n">
        <v>3278.12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648.33</v>
      </c>
    </row>
    <row r="35">
      <c r="A35" s="16" t="inlineStr">
        <is>
          <t>General &amp; Administrative</t>
        </is>
      </c>
      <c r="B35" s="17" t="n">
        <v>498.53</v>
      </c>
      <c r="C35" s="17" t="n">
        <v>501.62</v>
      </c>
      <c r="D35" s="17" t="n">
        <v>511.01</v>
      </c>
      <c r="E35" s="17" t="n">
        <v>600.09</v>
      </c>
      <c r="F35" s="17" t="n">
        <v>704.4400000000001</v>
      </c>
    </row>
    <row r="36">
      <c r="A36" s="16" t="inlineStr">
        <is>
          <t>Selling &amp; Marketing</t>
        </is>
      </c>
      <c r="B36" s="17" t="n">
        <v>426.88</v>
      </c>
      <c r="C36" s="17" t="n">
        <v>617.8200000000001</v>
      </c>
      <c r="D36" s="17" t="n">
        <v>719.4</v>
      </c>
      <c r="E36" s="17" t="n">
        <v>796.29</v>
      </c>
      <c r="F36" s="17" t="n">
        <v>1095.41</v>
      </c>
    </row>
    <row r="37">
      <c r="A37" s="16" t="inlineStr">
        <is>
          <t>SG&amp;A (Combined)</t>
        </is>
      </c>
      <c r="B37" s="17" t="n">
        <v>925.41</v>
      </c>
      <c r="C37" s="17" t="n">
        <v>1119.44</v>
      </c>
      <c r="D37" s="17" t="n">
        <v>1230.41</v>
      </c>
      <c r="E37" s="17" t="n">
        <v>1396.38</v>
      </c>
      <c r="F37" s="17" t="n">
        <v>1799.85</v>
      </c>
    </row>
    <row r="38">
      <c r="A38" s="16" t="inlineStr">
        <is>
          <t>Other Expenses</t>
        </is>
      </c>
      <c r="B38" s="17" t="n">
        <v>533.0700000000001</v>
      </c>
      <c r="C38" s="17" t="n">
        <v>718.48</v>
      </c>
      <c r="D38" s="17" t="n">
        <v>1124.02</v>
      </c>
      <c r="E38" s="17" t="n">
        <v>950.9</v>
      </c>
      <c r="F38" s="17" t="n">
        <v>-852.16</v>
      </c>
    </row>
    <row r="39">
      <c r="A39" s="25" t="inlineStr">
        <is>
          <t>Total Operating Expenses</t>
        </is>
      </c>
      <c r="B39" s="26" t="n">
        <v>1458.48</v>
      </c>
      <c r="C39" s="26" t="n">
        <v>1837.92</v>
      </c>
      <c r="D39" s="26" t="n">
        <v>2354.43</v>
      </c>
      <c r="E39" s="26" t="n">
        <v>2347.28</v>
      </c>
      <c r="F39" s="26" t="n">
        <v>1596.02</v>
      </c>
    </row>
    <row r="40">
      <c r="A40" s="16" t="inlineStr">
        <is>
          <t>Cost &amp; Expenses (COGS + Opex)</t>
        </is>
      </c>
      <c r="B40" s="17" t="n">
        <v>1568.83</v>
      </c>
      <c r="C40" s="17" t="n">
        <v>2081.53</v>
      </c>
      <c r="D40" s="17" t="n">
        <v>3198.7</v>
      </c>
      <c r="E40" s="17" t="n">
        <v>3470.33</v>
      </c>
      <c r="F40" s="17" t="n">
        <v>3087.5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-481.18</v>
      </c>
      <c r="C42" s="15" t="n">
        <v>-318.72</v>
      </c>
      <c r="D42" s="15" t="n">
        <v>-301.16</v>
      </c>
      <c r="E42" s="15" t="n">
        <v>233.34</v>
      </c>
      <c r="F42" s="15" t="n">
        <v>1682.1</v>
      </c>
    </row>
    <row r="43">
      <c r="A43" s="16" t="inlineStr">
        <is>
          <t>EBIT (FMP field)</t>
        </is>
      </c>
      <c r="B43" s="17" t="n">
        <v>-481.18</v>
      </c>
      <c r="C43" s="17" t="n">
        <v>-318.72</v>
      </c>
      <c r="D43" s="17" t="n">
        <v>-301.16</v>
      </c>
      <c r="E43" s="17" t="n">
        <v>233.34</v>
      </c>
      <c r="F43" s="17" t="n">
        <v>1682.1</v>
      </c>
    </row>
    <row r="44">
      <c r="A44" s="25" t="inlineStr">
        <is>
          <t>EBITDA</t>
        </is>
      </c>
      <c r="B44" s="26" t="n">
        <v>-379.61</v>
      </c>
      <c r="C44" s="26" t="n">
        <v>-167.36</v>
      </c>
      <c r="D44" s="26" t="n">
        <v>-99.73999999999999</v>
      </c>
      <c r="E44" s="26" t="n">
        <v>436.84</v>
      </c>
      <c r="F44" s="26" t="n">
        <v>1916.25</v>
      </c>
    </row>
    <row r="45">
      <c r="A45" s="16" t="inlineStr">
        <is>
          <t>Depreciation &amp; Amortisation</t>
        </is>
      </c>
      <c r="B45" s="17" t="n">
        <v>101.57</v>
      </c>
      <c r="C45" s="17" t="n">
        <v>151.36</v>
      </c>
      <c r="D45" s="17" t="n">
        <v>201.42</v>
      </c>
      <c r="E45" s="17" t="n">
        <v>203.5</v>
      </c>
      <c r="F45" s="17" t="n">
        <v>234.15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355.02</v>
      </c>
      <c r="C47" s="17" t="n">
        <v>773.37</v>
      </c>
      <c r="D47" s="17" t="n">
        <v>2051.07</v>
      </c>
      <c r="E47" s="17" t="n">
        <v>2807.82</v>
      </c>
      <c r="F47" s="17" t="n">
        <v>0</v>
      </c>
    </row>
    <row r="48">
      <c r="A48" s="16" t="inlineStr">
        <is>
          <t>Interest Expense</t>
        </is>
      </c>
      <c r="B48" s="17" t="n">
        <v>102.78</v>
      </c>
      <c r="C48" s="17" t="n">
        <v>189.28</v>
      </c>
      <c r="D48" s="17" t="n">
        <v>789.33</v>
      </c>
      <c r="E48" s="17" t="n">
        <v>1091.34</v>
      </c>
      <c r="F48" s="17" t="n">
        <v>1156.24</v>
      </c>
    </row>
    <row r="49">
      <c r="A49" s="16" t="inlineStr">
        <is>
          <t>Net Interest Income</t>
        </is>
      </c>
      <c r="B49" s="17" t="n">
        <v>252.24</v>
      </c>
      <c r="C49" s="17" t="n">
        <v>584.1</v>
      </c>
      <c r="D49" s="17" t="n">
        <v>1261.74</v>
      </c>
      <c r="E49" s="17" t="n">
        <v>1716.48</v>
      </c>
      <c r="F49" s="17" t="n">
        <v>-1156.24</v>
      </c>
    </row>
    <row r="50">
      <c r="A50" s="16" t="inlineStr">
        <is>
          <t>Non-Operating Income (ex-interest)</t>
        </is>
      </c>
      <c r="B50" s="17" t="n">
        <v>0</v>
      </c>
      <c r="C50" s="17" t="n">
        <v>0</v>
      </c>
      <c r="D50" s="17" t="n">
        <v>0</v>
      </c>
      <c r="E50" s="17" t="n">
        <v>0</v>
      </c>
      <c r="F50" s="17" t="n">
        <v>0</v>
      </c>
    </row>
    <row r="51">
      <c r="A51" s="16" t="inlineStr">
        <is>
          <t>Total Other Income / (Expenses)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-1156.24</v>
      </c>
    </row>
    <row r="52">
      <c r="A52" s="25" t="inlineStr">
        <is>
          <t>EBT / Income Before Tax</t>
        </is>
      </c>
      <c r="B52" s="26" t="n">
        <v>-481.18</v>
      </c>
      <c r="C52" s="26" t="n">
        <v>-318.72</v>
      </c>
      <c r="D52" s="26" t="n">
        <v>-301.16</v>
      </c>
      <c r="E52" s="26" t="n">
        <v>233.34</v>
      </c>
      <c r="F52" s="26" t="n">
        <v>525.86</v>
      </c>
    </row>
    <row r="53">
      <c r="A53" s="16" t="inlineStr">
        <is>
          <t>Income Tax Expense</t>
        </is>
      </c>
      <c r="B53" s="17" t="n">
        <v>2.76</v>
      </c>
      <c r="C53" s="17" t="n">
        <v>1.69</v>
      </c>
      <c r="D53" s="17" t="n">
        <v>-0.42</v>
      </c>
      <c r="E53" s="17" t="n">
        <v>-265.32</v>
      </c>
      <c r="F53" s="17" t="n">
        <v>44.54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-483.94</v>
      </c>
      <c r="C55" s="17" t="n">
        <v>-320.41</v>
      </c>
      <c r="D55" s="17" t="n">
        <v>-300.74</v>
      </c>
      <c r="E55" s="17" t="n">
        <v>498.67</v>
      </c>
      <c r="F55" s="17" t="n">
        <v>481.32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-19.53</v>
      </c>
      <c r="F58" s="17" t="n">
        <v>0</v>
      </c>
    </row>
    <row r="59">
      <c r="A59" s="25" t="inlineStr">
        <is>
          <t>Net Income</t>
        </is>
      </c>
      <c r="B59" s="26" t="n">
        <v>-483.94</v>
      </c>
      <c r="C59" s="26" t="n">
        <v>-320.41</v>
      </c>
      <c r="D59" s="26" t="n">
        <v>-300.74</v>
      </c>
      <c r="E59" s="26" t="n">
        <v>498.67</v>
      </c>
      <c r="F59" s="26" t="n">
        <v>481.32</v>
      </c>
    </row>
    <row r="60">
      <c r="A60" s="14" t="inlineStr">
        <is>
          <t>Bottom Line Net Income</t>
        </is>
      </c>
      <c r="B60" s="15" t="n">
        <v>-524.36</v>
      </c>
      <c r="C60" s="15" t="n">
        <v>-360.83</v>
      </c>
      <c r="D60" s="15" t="n">
        <v>-341.17</v>
      </c>
      <c r="E60" s="15" t="n">
        <v>498.67</v>
      </c>
      <c r="F60" s="15" t="n">
        <v>481.32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-1</v>
      </c>
      <c r="C62" s="17" t="n">
        <v>-0.4</v>
      </c>
      <c r="D62" s="17" t="n">
        <v>-0.36</v>
      </c>
      <c r="E62" s="17" t="n">
        <v>0.46</v>
      </c>
      <c r="F62" s="17" t="n">
        <v>0.42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526.73</v>
      </c>
      <c r="C64" s="17" t="n">
        <v>900.89</v>
      </c>
      <c r="D64" s="17" t="n">
        <v>945.02</v>
      </c>
      <c r="E64" s="17" t="n">
        <v>1050.22</v>
      </c>
      <c r="F64" s="17" t="n">
        <v>1150.14</v>
      </c>
    </row>
    <row r="65">
      <c r="A65" s="16" t="inlineStr">
        <is>
          <t>Shares Outstanding — Diluted (mm)</t>
        </is>
      </c>
      <c r="B65" s="17" t="n">
        <v>526.73</v>
      </c>
      <c r="C65" s="17" t="n">
        <v>900.89</v>
      </c>
      <c r="D65" s="17" t="n">
        <v>945.02</v>
      </c>
      <c r="E65" s="17" t="n">
        <v>1101.39</v>
      </c>
      <c r="F65" s="17" t="n">
        <v>1251.77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SOFI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494.71</v>
      </c>
      <c r="C5" s="17" t="n">
        <v>1421.91</v>
      </c>
      <c r="D5" s="17" t="n">
        <v>3085.02</v>
      </c>
      <c r="E5" s="17" t="n">
        <v>2538.29</v>
      </c>
      <c r="F5" s="17" t="n">
        <v>4929.45</v>
      </c>
    </row>
    <row r="6">
      <c r="A6" s="16" t="inlineStr">
        <is>
          <t>(2)  Receivables</t>
        </is>
      </c>
      <c r="B6" s="17" t="n">
        <v>85.52</v>
      </c>
      <c r="C6" s="17" t="n">
        <v>127.05</v>
      </c>
      <c r="D6" s="17" t="n">
        <v>169.85</v>
      </c>
      <c r="E6" s="17" t="n">
        <v>587.5</v>
      </c>
      <c r="F6" s="17" t="n">
        <v>0</v>
      </c>
    </row>
    <row r="7">
      <c r="A7" s="16" t="inlineStr">
        <is>
          <t>(3)  Inventory</t>
        </is>
      </c>
      <c r="B7" s="17" t="n">
        <v>0</v>
      </c>
      <c r="C7" s="17" t="n">
        <v>0</v>
      </c>
      <c r="D7" s="17" t="n">
        <v>0</v>
      </c>
      <c r="E7" s="17" t="n">
        <v>0</v>
      </c>
      <c r="F7" s="17" t="n">
        <v>0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833.04</v>
      </c>
      <c r="C9" s="23" t="n">
        <v>1661.82</v>
      </c>
      <c r="D9" s="23" t="n">
        <v>3868.56</v>
      </c>
      <c r="E9" s="23" t="n">
        <v>5206.76</v>
      </c>
      <c r="F9" s="23" t="n">
        <v>5356.77</v>
      </c>
    </row>
    <row r="10">
      <c r="A10" s="16" t="inlineStr">
        <is>
          <t>(6)  PP&amp;E (Net)</t>
        </is>
      </c>
      <c r="B10" s="17" t="n">
        <v>227.06</v>
      </c>
      <c r="C10" s="17" t="n">
        <v>267.24</v>
      </c>
      <c r="D10" s="17" t="n">
        <v>306.54</v>
      </c>
      <c r="E10" s="17" t="n">
        <v>369.09</v>
      </c>
      <c r="F10" s="17" t="n">
        <v>510.39</v>
      </c>
    </row>
    <row r="11">
      <c r="A11" s="16" t="inlineStr">
        <is>
          <t>(7)  Goodwill</t>
        </is>
      </c>
      <c r="B11" s="17" t="n">
        <v>898.53</v>
      </c>
      <c r="C11" s="17" t="n">
        <v>1622.99</v>
      </c>
      <c r="D11" s="17" t="n">
        <v>1393.51</v>
      </c>
      <c r="E11" s="17" t="n">
        <v>1393.51</v>
      </c>
      <c r="F11" s="17" t="n">
        <v>1393.51</v>
      </c>
    </row>
    <row r="12">
      <c r="A12" s="16" t="inlineStr">
        <is>
          <t>(8)  Deferred Tax Assets</t>
        </is>
      </c>
      <c r="B12" s="17" t="n">
        <v>0</v>
      </c>
      <c r="C12" s="17" t="n">
        <v>0</v>
      </c>
      <c r="D12" s="17" t="n">
        <v>0</v>
      </c>
      <c r="E12" s="17" t="n">
        <v>267.22</v>
      </c>
      <c r="F12" s="17" t="n">
        <v>0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8343.280000000001</v>
      </c>
      <c r="C14" s="23" t="n">
        <v>17345.86</v>
      </c>
      <c r="D14" s="23" t="n">
        <v>26206.3</v>
      </c>
      <c r="E14" s="23" t="n">
        <v>31044.19</v>
      </c>
      <c r="F14" s="23" t="n">
        <v>45303.71</v>
      </c>
    </row>
    <row r="15">
      <c r="A15" s="18" t="inlineStr">
        <is>
          <t>(11) Total Assets</t>
        </is>
      </c>
      <c r="B15" s="23" t="n">
        <v>9176.33</v>
      </c>
      <c r="C15" s="23" t="n">
        <v>19007.67</v>
      </c>
      <c r="D15" s="23" t="n">
        <v>30074.86</v>
      </c>
      <c r="E15" s="23" t="n">
        <v>36250.95</v>
      </c>
      <c r="F15" s="23" t="n">
        <v>50660.48</v>
      </c>
    </row>
    <row r="16" ht="6" customHeight="1"/>
    <row r="17">
      <c r="A17" s="16" t="inlineStr">
        <is>
          <t>(12) Accounts Payable</t>
        </is>
      </c>
      <c r="B17" s="17" t="n">
        <v>158.06</v>
      </c>
      <c r="C17" s="17" t="n">
        <v>144.57</v>
      </c>
      <c r="D17" s="17" t="n">
        <v>159.91</v>
      </c>
      <c r="E17" s="17" t="n">
        <v>132.78</v>
      </c>
      <c r="F17" s="17" t="n">
        <v>0</v>
      </c>
    </row>
    <row r="18">
      <c r="A18" s="16" t="inlineStr">
        <is>
          <t>(13) Short-Term Borrowings</t>
        </is>
      </c>
      <c r="B18" s="17" t="n">
        <v>497.81</v>
      </c>
      <c r="C18" s="17" t="n">
        <v>486</v>
      </c>
      <c r="D18" s="17" t="n">
        <v>486</v>
      </c>
      <c r="E18" s="17" t="n">
        <v>486</v>
      </c>
      <c r="F18" s="17" t="n">
        <v>0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750.0700000000001</v>
      </c>
      <c r="C21" s="23" t="n">
        <v>8118.84</v>
      </c>
      <c r="D21" s="23" t="n">
        <v>19468.84</v>
      </c>
      <c r="E21" s="23" t="n">
        <v>26862.3</v>
      </c>
      <c r="F21" s="23" t="n">
        <v>0</v>
      </c>
    </row>
    <row r="22">
      <c r="A22" s="16" t="inlineStr">
        <is>
          <t>(17) Long-Term Debt</t>
        </is>
      </c>
      <c r="B22" s="17" t="n">
        <v>3543.86</v>
      </c>
      <c r="C22" s="17" t="n">
        <v>5016.93</v>
      </c>
      <c r="D22" s="17" t="n">
        <v>4754.81</v>
      </c>
      <c r="E22" s="17" t="n">
        <v>2607.3</v>
      </c>
      <c r="F22" s="17" t="n">
        <v>1815.68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4478.62</v>
      </c>
      <c r="C25" s="23" t="n">
        <v>13479.2</v>
      </c>
      <c r="D25" s="23" t="n">
        <v>24519.87</v>
      </c>
      <c r="E25" s="23" t="n">
        <v>29725.82</v>
      </c>
      <c r="F25" s="23" t="n">
        <v>40170.98</v>
      </c>
    </row>
    <row r="26" ht="6" customHeight="1"/>
    <row r="27">
      <c r="A27" s="16" t="inlineStr">
        <is>
          <t>(21) Common Stock &amp; APIC</t>
        </is>
      </c>
      <c r="B27" s="17" t="n">
        <v>0.08</v>
      </c>
      <c r="C27" s="17" t="n">
        <v>0.09</v>
      </c>
      <c r="D27" s="17" t="n">
        <v>0.1</v>
      </c>
      <c r="E27" s="17" t="n">
        <v>0.11</v>
      </c>
      <c r="F27" s="17" t="n">
        <v>0.13</v>
      </c>
    </row>
    <row r="28">
      <c r="A28" s="16" t="inlineStr">
        <is>
          <t>(22) Retained Earnings</t>
        </is>
      </c>
      <c r="B28" s="17" t="n">
        <v>-1183.11</v>
      </c>
      <c r="C28" s="17" t="n">
        <v>-1503.52</v>
      </c>
      <c r="D28" s="17" t="n">
        <v>-1804.26</v>
      </c>
      <c r="E28" s="17" t="n">
        <v>-1305.6</v>
      </c>
      <c r="F28" s="17" t="n">
        <v>-824.28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4697.7</v>
      </c>
      <c r="C30" s="23" t="n">
        <v>5528.48</v>
      </c>
      <c r="D30" s="23" t="n">
        <v>5554.99</v>
      </c>
      <c r="E30" s="23" t="n">
        <v>6525.13</v>
      </c>
      <c r="F30" s="23" t="n">
        <v>10489.5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494.71</v>
      </c>
      <c r="C36" s="17" t="n">
        <v>1421.91</v>
      </c>
      <c r="D36" s="17" t="n">
        <v>3085.02</v>
      </c>
      <c r="E36" s="17" t="n">
        <v>2538.29</v>
      </c>
      <c r="F36" s="17" t="n">
        <v>4929.45</v>
      </c>
    </row>
    <row r="37">
      <c r="A37" s="16" t="inlineStr">
        <is>
          <t>Short-Term Investments</t>
        </is>
      </c>
      <c r="B37" s="17" t="n">
        <v>194.91</v>
      </c>
      <c r="C37" s="17" t="n">
        <v>39.43</v>
      </c>
      <c r="D37" s="17" t="n">
        <v>500.94</v>
      </c>
      <c r="E37" s="17" t="n">
        <v>1804.04</v>
      </c>
      <c r="F37" s="17" t="n">
        <v>0</v>
      </c>
    </row>
    <row r="38">
      <c r="A38" s="27" t="inlineStr">
        <is>
          <t>Cash &amp; Short-Term Investments</t>
        </is>
      </c>
      <c r="B38" s="28" t="n">
        <v>689.62</v>
      </c>
      <c r="C38" s="28" t="n">
        <v>1461.34</v>
      </c>
      <c r="D38" s="28" t="n">
        <v>3585.96</v>
      </c>
      <c r="E38" s="28" t="n">
        <v>4342.34</v>
      </c>
      <c r="F38" s="28" t="n">
        <v>4929.45</v>
      </c>
    </row>
    <row r="39">
      <c r="A39" s="16" t="inlineStr">
        <is>
          <t>Accounts Receivable (Trade)</t>
        </is>
      </c>
      <c r="B39" s="17" t="n">
        <v>85.52</v>
      </c>
      <c r="C39" s="17" t="n">
        <v>127.05</v>
      </c>
      <c r="D39" s="17" t="n">
        <v>169.85</v>
      </c>
      <c r="E39" s="17" t="n">
        <v>587.5</v>
      </c>
      <c r="F39" s="17" t="n">
        <v>0</v>
      </c>
    </row>
    <row r="40">
      <c r="A40" s="16" t="inlineStr">
        <is>
          <t>Other Receivables</t>
        </is>
      </c>
      <c r="B40" s="17" t="n">
        <v>0</v>
      </c>
      <c r="C40" s="17" t="n">
        <v>0</v>
      </c>
      <c r="D40" s="17" t="n">
        <v>0</v>
      </c>
      <c r="E40" s="17" t="n">
        <v>0</v>
      </c>
      <c r="F40" s="17" t="n">
        <v>0</v>
      </c>
    </row>
    <row r="41">
      <c r="A41" s="27" t="inlineStr">
        <is>
          <t>Net Receivables (Total)</t>
        </is>
      </c>
      <c r="B41" s="28" t="n">
        <v>85.52</v>
      </c>
      <c r="C41" s="28" t="n">
        <v>127.05</v>
      </c>
      <c r="D41" s="28" t="n">
        <v>169.85</v>
      </c>
      <c r="E41" s="28" t="n">
        <v>587.5</v>
      </c>
      <c r="F41" s="28" t="n">
        <v>0</v>
      </c>
    </row>
    <row r="42">
      <c r="A42" s="16" t="inlineStr">
        <is>
          <t>Inventory</t>
        </is>
      </c>
      <c r="B42" s="17" t="n">
        <v>0</v>
      </c>
      <c r="C42" s="17" t="n">
        <v>0</v>
      </c>
      <c r="D42" s="17" t="n">
        <v>0</v>
      </c>
      <c r="E42" s="17" t="n">
        <v>0</v>
      </c>
      <c r="F42" s="17" t="n">
        <v>0</v>
      </c>
    </row>
    <row r="43">
      <c r="A43" s="16" t="inlineStr">
        <is>
          <t>Prepaids</t>
        </is>
      </c>
      <c r="B43" s="17" t="n">
        <v>57.9</v>
      </c>
      <c r="C43" s="17" t="n">
        <v>73.43000000000001</v>
      </c>
      <c r="D43" s="17" t="n">
        <v>112.75</v>
      </c>
      <c r="E43" s="17" t="n">
        <v>276.93</v>
      </c>
      <c r="F43" s="17" t="n">
        <v>0</v>
      </c>
    </row>
    <row r="44">
      <c r="A44" s="16" t="inlineStr">
        <is>
          <t>Other Current Assets</t>
        </is>
      </c>
      <c r="B44" s="17" t="n">
        <v>0</v>
      </c>
      <c r="C44" s="17" t="n">
        <v>0</v>
      </c>
      <c r="D44" s="17" t="n">
        <v>0</v>
      </c>
      <c r="E44" s="17" t="n">
        <v>0</v>
      </c>
      <c r="F44" s="17" t="n">
        <v>427.32</v>
      </c>
    </row>
    <row r="45">
      <c r="A45" s="25" t="inlineStr">
        <is>
          <t>Total Current Assets</t>
        </is>
      </c>
      <c r="B45" s="26" t="n">
        <v>833.04</v>
      </c>
      <c r="C45" s="26" t="n">
        <v>1661.82</v>
      </c>
      <c r="D45" s="26" t="n">
        <v>3868.56</v>
      </c>
      <c r="E45" s="26" t="n">
        <v>5206.76</v>
      </c>
      <c r="F45" s="26" t="n">
        <v>5356.77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227.06</v>
      </c>
      <c r="C47" s="17" t="n">
        <v>267.24</v>
      </c>
      <c r="D47" s="17" t="n">
        <v>306.54</v>
      </c>
      <c r="E47" s="17" t="n">
        <v>369.09</v>
      </c>
      <c r="F47" s="17" t="n">
        <v>510.39</v>
      </c>
    </row>
    <row r="48">
      <c r="A48" s="16" t="inlineStr">
        <is>
          <t>Goodwill</t>
        </is>
      </c>
      <c r="B48" s="17" t="n">
        <v>898.53</v>
      </c>
      <c r="C48" s="17" t="n">
        <v>1622.99</v>
      </c>
      <c r="D48" s="17" t="n">
        <v>1393.51</v>
      </c>
      <c r="E48" s="17" t="n">
        <v>1393.51</v>
      </c>
      <c r="F48" s="17" t="n">
        <v>1393.51</v>
      </c>
    </row>
    <row r="49">
      <c r="A49" s="16" t="inlineStr">
        <is>
          <t>Intangible Assets</t>
        </is>
      </c>
      <c r="B49" s="17" t="n">
        <v>452.84</v>
      </c>
      <c r="C49" s="17" t="n">
        <v>592.01</v>
      </c>
      <c r="D49" s="17" t="n">
        <v>544.52</v>
      </c>
      <c r="E49" s="17" t="n">
        <v>639.92</v>
      </c>
      <c r="F49" s="17" t="n">
        <v>610.1</v>
      </c>
    </row>
    <row r="50">
      <c r="A50" s="16" t="inlineStr">
        <is>
          <t>Long-Term Investments</t>
        </is>
      </c>
      <c r="B50" s="17" t="n">
        <v>6484.7</v>
      </c>
      <c r="C50" s="17" t="n">
        <v>14279.8</v>
      </c>
      <c r="D50" s="17" t="n">
        <v>23292.45</v>
      </c>
      <c r="E50" s="17" t="n">
        <v>28031.78</v>
      </c>
      <c r="F50" s="17" t="n">
        <v>25387.42</v>
      </c>
    </row>
    <row r="51">
      <c r="A51" s="16" t="inlineStr">
        <is>
          <t>Tax Assets (Deferred)</t>
        </is>
      </c>
      <c r="B51" s="17" t="n">
        <v>0</v>
      </c>
      <c r="C51" s="17" t="n">
        <v>0</v>
      </c>
      <c r="D51" s="17" t="n">
        <v>0</v>
      </c>
      <c r="E51" s="17" t="n">
        <v>267.22</v>
      </c>
      <c r="F51" s="17" t="n">
        <v>0</v>
      </c>
    </row>
    <row r="52">
      <c r="A52" s="16" t="inlineStr">
        <is>
          <t>Total Investments</t>
        </is>
      </c>
      <c r="B52" s="17" t="n">
        <v>6679.61</v>
      </c>
      <c r="C52" s="17" t="n">
        <v>14319.24</v>
      </c>
      <c r="D52" s="17" t="n">
        <v>23793.39</v>
      </c>
      <c r="E52" s="17" t="n">
        <v>29835.83</v>
      </c>
      <c r="F52" s="17" t="n">
        <v>25387.42</v>
      </c>
    </row>
    <row r="53">
      <c r="A53" s="16" t="inlineStr">
        <is>
          <t>Other Non-Current Assets</t>
        </is>
      </c>
      <c r="B53" s="17" t="n">
        <v>280.15</v>
      </c>
      <c r="C53" s="17" t="n">
        <v>583.8200000000001</v>
      </c>
      <c r="D53" s="17" t="n">
        <v>669.28</v>
      </c>
      <c r="E53" s="17" t="n">
        <v>342.67</v>
      </c>
      <c r="F53" s="17" t="n">
        <v>17402.29</v>
      </c>
    </row>
    <row r="54">
      <c r="A54" s="25" t="inlineStr">
        <is>
          <t>Total Non-Current Assets</t>
        </is>
      </c>
      <c r="B54" s="26" t="n">
        <v>8343.280000000001</v>
      </c>
      <c r="C54" s="26" t="n">
        <v>17345.86</v>
      </c>
      <c r="D54" s="26" t="n">
        <v>26206.3</v>
      </c>
      <c r="E54" s="26" t="n">
        <v>31044.19</v>
      </c>
      <c r="F54" s="26" t="n">
        <v>45303.71</v>
      </c>
    </row>
    <row r="55">
      <c r="A55" s="12" t="inlineStr">
        <is>
          <t>TOTAL ASSETS</t>
        </is>
      </c>
      <c r="B55" s="29" t="n">
        <v>9176.33</v>
      </c>
      <c r="C55" s="29" t="n">
        <v>19007.67</v>
      </c>
      <c r="D55" s="29" t="n">
        <v>30074.86</v>
      </c>
      <c r="E55" s="29" t="n">
        <v>36250.95</v>
      </c>
      <c r="F55" s="29" t="n">
        <v>50660.48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158.06</v>
      </c>
      <c r="C57" s="17" t="n">
        <v>144.57</v>
      </c>
      <c r="D57" s="17" t="n">
        <v>159.91</v>
      </c>
      <c r="E57" s="17" t="n">
        <v>132.78</v>
      </c>
      <c r="F57" s="17" t="n">
        <v>0</v>
      </c>
    </row>
    <row r="58">
      <c r="A58" s="16" t="inlineStr">
        <is>
          <t>Short-Term Debt</t>
        </is>
      </c>
      <c r="B58" s="17" t="n">
        <v>497.81</v>
      </c>
      <c r="C58" s="17" t="n">
        <v>486</v>
      </c>
      <c r="D58" s="17" t="n">
        <v>486</v>
      </c>
      <c r="E58" s="17" t="n">
        <v>486</v>
      </c>
      <c r="F58" s="17" t="n">
        <v>0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0</v>
      </c>
      <c r="C60" s="17" t="n">
        <v>0</v>
      </c>
      <c r="D60" s="17" t="n">
        <v>0</v>
      </c>
      <c r="E60" s="17" t="n">
        <v>0</v>
      </c>
      <c r="F60" s="17" t="n">
        <v>0</v>
      </c>
    </row>
    <row r="61">
      <c r="A61" s="16" t="inlineStr">
        <is>
          <t>Accrued &amp; Other Current Liabilities</t>
        </is>
      </c>
      <c r="B61" s="17" t="n">
        <v>0</v>
      </c>
      <c r="C61" s="17" t="n">
        <v>7342.3</v>
      </c>
      <c r="D61" s="17" t="n">
        <v>18620.66</v>
      </c>
      <c r="E61" s="17" t="n">
        <v>25978.2</v>
      </c>
      <c r="F61" s="17" t="n">
        <v>0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750.0700000000001</v>
      </c>
      <c r="C63" s="26" t="n">
        <v>8118.84</v>
      </c>
      <c r="D63" s="26" t="n">
        <v>19468.84</v>
      </c>
      <c r="E63" s="26" t="n">
        <v>26862.3</v>
      </c>
      <c r="F63" s="26" t="n">
        <v>0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3543.86</v>
      </c>
      <c r="C65" s="17" t="n">
        <v>5016.93</v>
      </c>
      <c r="D65" s="17" t="n">
        <v>4754.81</v>
      </c>
      <c r="E65" s="17" t="n">
        <v>2607.3</v>
      </c>
      <c r="F65" s="17" t="n">
        <v>1815.68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2.55</v>
      </c>
      <c r="C67" s="17" t="n">
        <v>10.03</v>
      </c>
      <c r="D67" s="17" t="n">
        <v>5.72</v>
      </c>
      <c r="E67" s="17" t="n">
        <v>7.47</v>
      </c>
      <c r="F67" s="17" t="n">
        <v>0</v>
      </c>
    </row>
    <row r="68">
      <c r="A68" s="16" t="inlineStr">
        <is>
          <t>Deferred Tax Liabilities</t>
        </is>
      </c>
      <c r="B68" s="17" t="n">
        <v>1.79</v>
      </c>
      <c r="C68" s="17" t="n">
        <v>56.48</v>
      </c>
      <c r="D68" s="17" t="n">
        <v>40.23</v>
      </c>
      <c r="E68" s="17" t="n">
        <v>20.16</v>
      </c>
      <c r="F68" s="17" t="n">
        <v>0</v>
      </c>
    </row>
    <row r="69">
      <c r="A69" s="16" t="inlineStr">
        <is>
          <t>Other Non-Current Liabilities</t>
        </is>
      </c>
      <c r="B69" s="17" t="n">
        <v>27.39</v>
      </c>
      <c r="C69" s="17" t="n">
        <v>145.48</v>
      </c>
      <c r="D69" s="17" t="n">
        <v>128.46</v>
      </c>
      <c r="E69" s="17" t="n">
        <v>117.67</v>
      </c>
      <c r="F69" s="17" t="n">
        <v>38355.3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4478.62</v>
      </c>
      <c r="C71" s="29" t="n">
        <v>13479.2</v>
      </c>
      <c r="D71" s="29" t="n">
        <v>24519.87</v>
      </c>
      <c r="E71" s="29" t="n">
        <v>29725.82</v>
      </c>
      <c r="F71" s="29" t="n">
        <v>40170.98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0.08</v>
      </c>
      <c r="C73" s="17" t="n">
        <v>0.09</v>
      </c>
      <c r="D73" s="17" t="n">
        <v>0.1</v>
      </c>
      <c r="E73" s="17" t="n">
        <v>0.11</v>
      </c>
      <c r="F73" s="17" t="n">
        <v>0.13</v>
      </c>
    </row>
    <row r="74">
      <c r="A74" s="16" t="inlineStr">
        <is>
          <t>Retained Earnings</t>
        </is>
      </c>
      <c r="B74" s="17" t="n">
        <v>-1183.11</v>
      </c>
      <c r="C74" s="17" t="n">
        <v>-1503.52</v>
      </c>
      <c r="D74" s="17" t="n">
        <v>-1804.26</v>
      </c>
      <c r="E74" s="17" t="n">
        <v>-1305.6</v>
      </c>
      <c r="F74" s="17" t="n">
        <v>-824.28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</row>
    <row r="78">
      <c r="A78" s="25" t="inlineStr">
        <is>
          <t>Total Equity (inc. Minority)</t>
        </is>
      </c>
      <c r="B78" s="26" t="n">
        <v>4697.7</v>
      </c>
      <c r="C78" s="26" t="n">
        <v>5528.48</v>
      </c>
      <c r="D78" s="26" t="n">
        <v>5554.99</v>
      </c>
      <c r="E78" s="26" t="n">
        <v>6525.13</v>
      </c>
      <c r="F78" s="26" t="n">
        <v>10489.5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4194.63</v>
      </c>
      <c r="C80" s="15" t="n">
        <v>5634.37</v>
      </c>
      <c r="D80" s="15" t="n">
        <v>5362.63</v>
      </c>
      <c r="E80" s="15" t="n">
        <v>3204.21</v>
      </c>
      <c r="F80" s="15" t="n">
        <v>1815.68</v>
      </c>
    </row>
    <row r="81">
      <c r="A81" s="14" t="inlineStr">
        <is>
          <t>Net Debt</t>
        </is>
      </c>
      <c r="B81" s="15" t="n">
        <v>3699.92</v>
      </c>
      <c r="C81" s="15" t="n">
        <v>4212.46</v>
      </c>
      <c r="D81" s="15" t="n">
        <v>2277.61</v>
      </c>
      <c r="E81" s="15" t="n">
        <v>665.92</v>
      </c>
      <c r="F81" s="15" t="n">
        <v>-3113.77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SOFI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-1350.22</v>
      </c>
      <c r="C5" s="23" t="n">
        <v>-7255.86</v>
      </c>
      <c r="D5" s="23" t="n">
        <v>-7227.14</v>
      </c>
      <c r="E5" s="23" t="n">
        <v>-1119.81</v>
      </c>
      <c r="F5" s="23" t="n">
        <v>-3742.46</v>
      </c>
    </row>
    <row r="6">
      <c r="A6" s="16" t="inlineStr">
        <is>
          <t>(2)  Capital Expenditures</t>
        </is>
      </c>
      <c r="B6" s="17" t="n">
        <v>-52.26</v>
      </c>
      <c r="C6" s="17" t="n">
        <v>-103.73</v>
      </c>
      <c r="D6" s="17" t="n">
        <v>-121.19</v>
      </c>
      <c r="E6" s="17" t="n">
        <v>-163.62</v>
      </c>
      <c r="F6" s="17" t="n">
        <v>-242.44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-908.38</v>
      </c>
      <c r="C9" s="17" t="n">
        <v>1341.6</v>
      </c>
      <c r="D9" s="17" t="n">
        <v>-279.82</v>
      </c>
      <c r="E9" s="17" t="n">
        <v>-1490.72</v>
      </c>
      <c r="F9" s="17" t="n">
        <v>-1286.71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(7)  Dividends Paid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-1402.48</v>
      </c>
      <c r="C15" s="23" t="n">
        <v>-7359.59</v>
      </c>
      <c r="D15" s="23" t="n">
        <v>-7348.33</v>
      </c>
      <c r="E15" s="23" t="n">
        <v>-1283.42</v>
      </c>
      <c r="F15" s="23" t="n">
        <v>-3984.9</v>
      </c>
    </row>
    <row r="16">
      <c r="A16" s="14" t="inlineStr">
        <is>
          <t xml:space="preserve">     Net Change in Cash</t>
        </is>
      </c>
      <c r="B16" s="15" t="n">
        <v>-554.99</v>
      </c>
      <c r="C16" s="15" t="n">
        <v>1077.87</v>
      </c>
      <c r="D16" s="15" t="n">
        <v>1769.28</v>
      </c>
      <c r="E16" s="15" t="n">
        <v>-906.22</v>
      </c>
      <c r="F16" s="15" t="n">
        <v>2647.41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-483.94</v>
      </c>
      <c r="C21" s="17" t="n">
        <v>-320.41</v>
      </c>
      <c r="D21" s="17" t="n">
        <v>-300.74</v>
      </c>
      <c r="E21" s="17" t="n">
        <v>498.67</v>
      </c>
      <c r="F21" s="17" t="n">
        <v>481.32</v>
      </c>
    </row>
    <row r="22">
      <c r="A22" s="16" t="inlineStr">
        <is>
          <t>Depreciation &amp; Amortisation</t>
        </is>
      </c>
      <c r="B22" s="17" t="n">
        <v>101.57</v>
      </c>
      <c r="C22" s="17" t="n">
        <v>151.36</v>
      </c>
      <c r="D22" s="17" t="n">
        <v>201.42</v>
      </c>
      <c r="E22" s="17" t="n">
        <v>203.5</v>
      </c>
      <c r="F22" s="17" t="n">
        <v>234.15</v>
      </c>
    </row>
    <row r="23">
      <c r="A23" s="16" t="inlineStr">
        <is>
          <t>Deferred Income Tax</t>
        </is>
      </c>
      <c r="B23" s="17" t="n">
        <v>1.2</v>
      </c>
      <c r="C23" s="17" t="n">
        <v>-3.5</v>
      </c>
      <c r="D23" s="17" t="n">
        <v>-15.83</v>
      </c>
      <c r="E23" s="17" t="n">
        <v>-286.92</v>
      </c>
      <c r="F23" s="17" t="n">
        <v>16.19</v>
      </c>
    </row>
    <row r="24">
      <c r="A24" s="16" t="inlineStr">
        <is>
          <t>Stock-Based Compensation</t>
        </is>
      </c>
      <c r="B24" s="17" t="n">
        <v>239.01</v>
      </c>
      <c r="C24" s="17" t="n">
        <v>305.99</v>
      </c>
      <c r="D24" s="17" t="n">
        <v>271.22</v>
      </c>
      <c r="E24" s="17" t="n">
        <v>246.15</v>
      </c>
      <c r="F24" s="17" t="n">
        <v>262.06</v>
      </c>
    </row>
    <row r="25">
      <c r="A25" s="16" t="inlineStr">
        <is>
          <t>Change in Working Capital</t>
        </is>
      </c>
      <c r="B25" s="17" t="n">
        <v>-1345.31</v>
      </c>
      <c r="C25" s="17" t="n">
        <v>-7495.56</v>
      </c>
      <c r="D25" s="17" t="n">
        <v>-7633.17</v>
      </c>
      <c r="E25" s="17" t="n">
        <v>-1612.86</v>
      </c>
      <c r="F25" s="17" t="n">
        <v>-4438.43</v>
      </c>
    </row>
    <row r="26">
      <c r="A26" s="20" t="inlineStr">
        <is>
          <t xml:space="preserve">  — Accounts Receivable</t>
        </is>
      </c>
      <c r="B26" s="17" t="n">
        <v>1.4</v>
      </c>
      <c r="C26" s="17" t="n">
        <v>0</v>
      </c>
      <c r="D26" s="17" t="n">
        <v>0</v>
      </c>
      <c r="E26" s="17" t="n">
        <v>0</v>
      </c>
      <c r="F26" s="17" t="n">
        <v>-45.31</v>
      </c>
    </row>
    <row r="27">
      <c r="A27" s="20" t="inlineStr">
        <is>
          <t xml:space="preserve">  — Inventory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</row>
    <row r="28">
      <c r="A28" s="20" t="inlineStr">
        <is>
          <t xml:space="preserve">  — Accounts Payable</t>
        </is>
      </c>
      <c r="B28" s="17" t="n">
        <v>-9.02</v>
      </c>
      <c r="C28" s="17" t="n">
        <v>6.37</v>
      </c>
      <c r="D28" s="17" t="n">
        <v>42.09</v>
      </c>
      <c r="E28" s="17" t="n">
        <v>23.55</v>
      </c>
      <c r="F28" s="17" t="n">
        <v>0</v>
      </c>
    </row>
    <row r="29">
      <c r="A29" s="20" t="inlineStr">
        <is>
          <t xml:space="preserve">  — Other Working Capital</t>
        </is>
      </c>
      <c r="B29" s="17" t="n">
        <v>-1337.69</v>
      </c>
      <c r="C29" s="17" t="n">
        <v>-7501.93</v>
      </c>
      <c r="D29" s="17" t="n">
        <v>-7675.26</v>
      </c>
      <c r="E29" s="17" t="n">
        <v>-1636.41</v>
      </c>
      <c r="F29" s="17" t="n">
        <v>-4393.12</v>
      </c>
    </row>
    <row r="30">
      <c r="A30" s="16" t="inlineStr">
        <is>
          <t>Other Non-Cash Items</t>
        </is>
      </c>
      <c r="B30" s="17" t="n">
        <v>137.25</v>
      </c>
      <c r="C30" s="17" t="n">
        <v>106.26</v>
      </c>
      <c r="D30" s="17" t="n">
        <v>249.97</v>
      </c>
      <c r="E30" s="17" t="n">
        <v>-168.34</v>
      </c>
      <c r="F30" s="17" t="n">
        <v>-297.74</v>
      </c>
    </row>
    <row r="31">
      <c r="A31" s="25" t="inlineStr">
        <is>
          <t>Net Cash from Operations (CFO)</t>
        </is>
      </c>
      <c r="B31" s="26" t="n">
        <v>-1350.22</v>
      </c>
      <c r="C31" s="26" t="n">
        <v>-7255.86</v>
      </c>
      <c r="D31" s="26" t="n">
        <v>-7227.14</v>
      </c>
      <c r="E31" s="26" t="n">
        <v>-1119.81</v>
      </c>
      <c r="F31" s="26" t="n">
        <v>-3742.46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-52.26</v>
      </c>
      <c r="C33" s="17" t="n">
        <v>-103.73</v>
      </c>
      <c r="D33" s="17" t="n">
        <v>-121.19</v>
      </c>
      <c r="E33" s="17" t="n">
        <v>-163.62</v>
      </c>
      <c r="F33" s="17" t="n">
        <v>-242.44</v>
      </c>
    </row>
    <row r="34">
      <c r="A34" s="20" t="inlineStr">
        <is>
          <t xml:space="preserve">  (Alt: Invest. in PP&amp;E)</t>
        </is>
      </c>
      <c r="B34" s="17" t="n">
        <v>-52.26</v>
      </c>
      <c r="C34" s="17" t="n">
        <v>-93.2</v>
      </c>
      <c r="D34" s="17" t="n">
        <v>-111.41</v>
      </c>
      <c r="E34" s="17" t="n">
        <v>-154.26</v>
      </c>
      <c r="F34" s="17" t="n">
        <v>-242.44</v>
      </c>
    </row>
    <row r="35">
      <c r="A35" s="16" t="inlineStr">
        <is>
          <t>Acquisitions (Net)</t>
        </is>
      </c>
      <c r="B35" s="17" t="n">
        <v>0</v>
      </c>
      <c r="C35" s="17" t="n">
        <v>58.54</v>
      </c>
      <c r="D35" s="17" t="n">
        <v>-72.3</v>
      </c>
      <c r="E35" s="17" t="n">
        <v>0</v>
      </c>
      <c r="F35" s="17" t="n">
        <v>0</v>
      </c>
    </row>
    <row r="36">
      <c r="A36" s="16" t="inlineStr">
        <is>
          <t>Purchases of Investments</t>
        </is>
      </c>
      <c r="B36" s="17" t="n">
        <v>-268.37</v>
      </c>
      <c r="C36" s="17" t="n">
        <v>-44.97</v>
      </c>
      <c r="D36" s="17" t="n">
        <v>-867.0599999999999</v>
      </c>
      <c r="E36" s="17" t="n">
        <v>-2228.3</v>
      </c>
      <c r="F36" s="17" t="n">
        <v>-3734.83</v>
      </c>
    </row>
    <row r="37">
      <c r="A37" s="16" t="inlineStr">
        <is>
          <t>Sales / Maturities of Investments</t>
        </is>
      </c>
      <c r="B37" s="17" t="n">
        <v>414.13</v>
      </c>
      <c r="C37" s="17" t="n">
        <v>157.56</v>
      </c>
      <c r="D37" s="17" t="n">
        <v>533.11</v>
      </c>
      <c r="E37" s="17" t="n">
        <v>1076.72</v>
      </c>
      <c r="F37" s="17" t="n">
        <v>1464.14</v>
      </c>
    </row>
    <row r="38">
      <c r="A38" s="16" t="inlineStr">
        <is>
          <t>Other Investing Activities</t>
        </is>
      </c>
      <c r="B38" s="17" t="n">
        <v>16.69</v>
      </c>
      <c r="C38" s="17" t="n">
        <v>-184.26</v>
      </c>
      <c r="D38" s="17" t="n">
        <v>-1372.2</v>
      </c>
      <c r="E38" s="17" t="n">
        <v>-3515.14</v>
      </c>
      <c r="F38" s="17" t="n">
        <v>-4205.98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-908.38</v>
      </c>
      <c r="C41" s="17" t="n">
        <v>1341.6</v>
      </c>
      <c r="D41" s="17" t="n">
        <v>-279.82</v>
      </c>
      <c r="E41" s="17" t="n">
        <v>-1490.72</v>
      </c>
      <c r="F41" s="17" t="n">
        <v>-1286.71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Common Stock Repurchased (Buybacks)</t>
        </is>
      </c>
      <c r="B44" s="17" t="n">
        <v>-283.38</v>
      </c>
      <c r="C44" s="17" t="n">
        <v>0</v>
      </c>
      <c r="D44" s="17" t="n">
        <v>0</v>
      </c>
      <c r="E44" s="17" t="n">
        <v>0</v>
      </c>
      <c r="F44" s="17" t="n">
        <v>-64.98999999999999</v>
      </c>
    </row>
    <row r="45">
      <c r="A45" s="16" t="inlineStr">
        <is>
          <t>Dividends Paid</t>
        </is>
      </c>
      <c r="B45" s="17" t="n">
        <v>0</v>
      </c>
      <c r="C45" s="17" t="n">
        <v>0</v>
      </c>
      <c r="D45" s="17" t="n">
        <v>0</v>
      </c>
      <c r="E45" s="17" t="n">
        <v>0</v>
      </c>
      <c r="F45" s="17" t="n">
        <v>0</v>
      </c>
    </row>
    <row r="46">
      <c r="A46" s="16" t="inlineStr">
        <is>
          <t>Other Financing Activities</t>
        </is>
      </c>
      <c r="B46" s="17" t="n">
        <v>1917.18</v>
      </c>
      <c r="C46" s="17" t="n">
        <v>7138.31</v>
      </c>
      <c r="D46" s="17" t="n">
        <v>11205.85</v>
      </c>
      <c r="E46" s="17" t="n">
        <v>6865.2</v>
      </c>
      <c r="F46" s="17" t="n">
        <v>14461.03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0.05</v>
      </c>
      <c r="C49" s="17" t="n">
        <v>0.57</v>
      </c>
      <c r="D49" s="17" t="n">
        <v>0.68</v>
      </c>
      <c r="E49" s="17" t="n">
        <v>0</v>
      </c>
      <c r="F49" s="17" t="n">
        <v>-0.35</v>
      </c>
    </row>
    <row r="50">
      <c r="A50" s="14" t="inlineStr">
        <is>
          <t>Net Change in Cash</t>
        </is>
      </c>
      <c r="B50" s="15" t="n">
        <v>-554.99</v>
      </c>
      <c r="C50" s="15" t="n">
        <v>1077.87</v>
      </c>
      <c r="D50" s="15" t="n">
        <v>1769.28</v>
      </c>
      <c r="E50" s="15" t="n">
        <v>-906.22</v>
      </c>
      <c r="F50" s="15" t="n">
        <v>2647.41</v>
      </c>
    </row>
    <row r="51">
      <c r="A51" s="16" t="inlineStr">
        <is>
          <t>Cash at Beginning of Period</t>
        </is>
      </c>
      <c r="B51" s="17" t="n">
        <v>1323.43</v>
      </c>
      <c r="C51" s="17" t="n">
        <v>768.4400000000001</v>
      </c>
      <c r="D51" s="17" t="n">
        <v>1846.3</v>
      </c>
      <c r="E51" s="17" t="n">
        <v>3615.58</v>
      </c>
      <c r="F51" s="17" t="n">
        <v>2709.36</v>
      </c>
    </row>
    <row r="52">
      <c r="A52" s="25" t="inlineStr">
        <is>
          <t>Cash at End of Period</t>
        </is>
      </c>
      <c r="B52" s="26" t="n">
        <v>768.4400000000001</v>
      </c>
      <c r="C52" s="26" t="n">
        <v>1846.3</v>
      </c>
      <c r="D52" s="26" t="n">
        <v>3615.58</v>
      </c>
      <c r="E52" s="26" t="n">
        <v>2709.36</v>
      </c>
      <c r="F52" s="26" t="n">
        <v>5356.77</v>
      </c>
    </row>
    <row r="53">
      <c r="A53" s="25" t="inlineStr">
        <is>
          <t>Free Cash Flow</t>
        </is>
      </c>
      <c r="B53" s="26" t="n">
        <v>-1402.48</v>
      </c>
      <c r="C53" s="26" t="n">
        <v>-7359.59</v>
      </c>
      <c r="D53" s="26" t="n">
        <v>-7348.33</v>
      </c>
      <c r="E53" s="26" t="n">
        <v>-1283.42</v>
      </c>
      <c r="F53" s="26" t="n">
        <v>-3984.9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SOFI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526.73</v>
      </c>
      <c r="C61" s="17" t="n">
        <v>900.89</v>
      </c>
      <c r="D61" s="17" t="n">
        <v>945.02</v>
      </c>
      <c r="E61" s="17" t="n">
        <v>1101.39</v>
      </c>
      <c r="F61" s="17" t="n">
        <v>1251.77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SOFI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2025</t>
        </is>
      </c>
      <c r="C4" s="13" t="inlineStr">
        <is>
          <t>2024</t>
        </is>
      </c>
      <c r="D4" s="13" t="inlineStr">
        <is>
          <t>2023</t>
        </is>
      </c>
      <c r="E4" s="13" t="inlineStr">
        <is>
          <t>2022</t>
        </is>
      </c>
      <c r="F4" s="13" t="inlineStr">
        <is>
          <t>2021</t>
        </is>
      </c>
    </row>
    <row r="5">
      <c r="A5" s="16" t="inlineStr">
        <is>
          <t>data</t>
        </is>
      </c>
      <c r="B5" s="17" t="n">
        <v>450.21</v>
      </c>
      <c r="C5" s="17" t="n">
        <v>395.18</v>
      </c>
      <c r="D5" s="17" t="n">
        <v>436.51</v>
      </c>
      <c r="E5" s="17" t="n">
        <v>167.68</v>
      </c>
      <c r="F5" s="17" t="n">
        <v>54.67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SOFI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24778.3018</v>
      </c>
      <c r="C5" s="43" t="inlineStr">
        <is>
          <t>FMP marketCap  |  price $19.43</t>
        </is>
      </c>
    </row>
    <row r="6">
      <c r="A6" s="16" t="inlineStr">
        <is>
          <t>Debt  (gross book value, $mm)</t>
        </is>
      </c>
      <c r="B6" s="42" t="n">
        <v>1815.682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0.0432</v>
      </c>
      <c r="C12" s="43" t="inlineStr">
        <is>
          <t>FRED series DGS10  |  latest: 2026-04-16</t>
        </is>
      </c>
    </row>
    <row r="13">
      <c r="A13" s="46" t="inlineStr">
        <is>
          <t>► Selected Rf  (override if needed)</t>
        </is>
      </c>
      <c r="B13" s="47" t="n">
        <v>0.0432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2.251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1.838</v>
      </c>
      <c r="C17" s="43" t="inlineStr">
        <is>
          <t>Mean-reversion toward market beta of 1.0</t>
        </is>
      </c>
    </row>
    <row r="18">
      <c r="A18" s="16" t="inlineStr">
        <is>
          <t>Damodaran industry unlevered  (Financial - Credit Services)</t>
        </is>
      </c>
      <c r="B18" s="49" t="n">
        <v>0.55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0.07x,  t = 8.5%)</t>
        </is>
      </c>
      <c r="B19" s="49" t="n">
        <v>0.587</v>
      </c>
      <c r="C19" s="43">
        <f> unlevered × (1 + (1 − t) × D/E)</f>
        <v/>
      </c>
    </row>
    <row r="20">
      <c r="A20" s="50" t="inlineStr">
        <is>
          <t>FLAG: Raw beta (2.25) is 4.1x Damodaran industry avg (0.55) — historical window may include structural break or regime change.</t>
        </is>
      </c>
    </row>
    <row r="21">
      <c r="A21" s="46" t="inlineStr">
        <is>
          <t>► Selected beta  (user override)</t>
        </is>
      </c>
      <c r="B21" s="51" t="n">
        <v>1.559</v>
      </c>
      <c r="C21" s="48" t="inlineStr">
        <is>
          <t>Default = average of 3 source(s) above — override freely</t>
        </is>
      </c>
    </row>
    <row r="22">
      <c r="A22" s="41" t="n"/>
      <c r="B22" s="41" t="n"/>
      <c r="C22" s="41" t="n"/>
    </row>
    <row r="23" ht="18" customHeight="1">
      <c r="A23" s="24" t="inlineStr">
        <is>
          <t>STEP 3 — EQUITY RISK PREMIUM  (ERP)</t>
        </is>
      </c>
    </row>
    <row r="24">
      <c r="A24" s="16" t="inlineStr">
        <is>
          <t>Damodaran implied ERP — US market (current)</t>
        </is>
      </c>
      <c r="B24" s="45" t="n">
        <v>0.0472</v>
      </c>
      <c r="C24" s="43" t="inlineStr">
        <is>
          <t>Damodaran.com implied ERP — Jan 2026</t>
        </is>
      </c>
    </row>
    <row r="25">
      <c r="A25" s="16" t="inlineStr">
        <is>
          <t>Damodaran historical avg — US 1928–2025</t>
        </is>
      </c>
      <c r="B25" s="45" t="n">
        <v>0.042</v>
      </c>
      <c r="C25" s="43" t="inlineStr">
        <is>
          <t>Arithmetic average excess return over T-bill</t>
        </is>
      </c>
    </row>
    <row r="26">
      <c r="A26" s="46" t="inlineStr">
        <is>
          <t>► Selected ERP  (user override)</t>
        </is>
      </c>
      <c r="B26" s="47" t="n">
        <v>0.0446</v>
      </c>
      <c r="C26" s="48" t="inlineStr">
        <is>
          <t>Default = average of Damodaran implied &amp; historical avg — override freely</t>
        </is>
      </c>
    </row>
    <row r="27">
      <c r="A27" s="41" t="n"/>
      <c r="B27" s="41" t="n"/>
      <c r="C27" s="41" t="n"/>
    </row>
    <row r="28" ht="18" customHeight="1">
      <c r="A28" s="24" t="inlineStr">
        <is>
          <t>STEP 4 — COST OF EQUITY  (CAPM:  Re = Rf + β × ERP)</t>
        </is>
      </c>
    </row>
    <row r="29">
      <c r="A29" s="18" t="inlineStr">
        <is>
          <t>Cost of equity  (Re)</t>
        </is>
      </c>
      <c r="B29" s="52">
        <f>B13+B21*B26</f>
        <v/>
      </c>
      <c r="C29" s="44" t="inlineStr">
        <is>
          <t>CAPM formula — references selected inputs above</t>
        </is>
      </c>
    </row>
    <row r="30">
      <c r="A30" s="41" t="n"/>
      <c r="B30" s="41" t="n"/>
      <c r="C30" s="41" t="n"/>
    </row>
    <row r="31" ht="18" customHeight="1">
      <c r="A31" s="24" t="inlineStr">
        <is>
          <t>STEP 5 — COST OF DEBT  (Pre-tax Rd)</t>
        </is>
      </c>
    </row>
    <row r="32">
      <c r="A32" s="16" t="inlineStr">
        <is>
          <t>Credit rating  (S&amp;P / Moody's)</t>
        </is>
      </c>
      <c r="B32" s="53" t="inlineStr">
        <is>
          <t>Not available</t>
        </is>
      </c>
      <c r="C32" s="43" t="inlineStr">
        <is>
          <t>FMP /ratings endpoint</t>
        </is>
      </c>
    </row>
    <row r="33">
      <c r="A33" s="16" t="inlineStr">
        <is>
          <t>FRED matched yield</t>
        </is>
      </c>
      <c r="B33" s="53" t="n"/>
      <c r="C33" s="43" t="inlineStr">
        <is>
          <t>No rating returned — FRED method not applicable</t>
        </is>
      </c>
    </row>
    <row r="34">
      <c r="A34" s="16" t="inlineStr">
        <is>
          <t>Interest Coverage Ratio  (EBIT / Gross Int Exp)</t>
        </is>
      </c>
      <c r="B34" s="49" t="n">
        <v>1.5</v>
      </c>
      <c r="C34" s="43" t="inlineStr">
        <is>
          <t>EBIT $1682mm  /  Int Exp $1156mm</t>
        </is>
      </c>
    </row>
    <row r="35">
      <c r="A35" s="16" t="inlineStr">
        <is>
          <t>Synthetic rating  (Damodaran ICR table)</t>
        </is>
      </c>
      <c r="B35" s="53" t="inlineStr">
        <is>
          <t>B</t>
        </is>
      </c>
      <c r="C35" s="43" t="inlineStr">
        <is>
          <t>ICR 1.5x  →  B</t>
        </is>
      </c>
    </row>
    <row r="36">
      <c r="A36" s="16" t="inlineStr">
        <is>
          <t>Synthetic Rd  (Rf + Damodaran default spread)</t>
        </is>
      </c>
      <c r="B36" s="45" t="n">
        <v>0.09720000000000001</v>
      </c>
      <c r="C36" s="43" t="inlineStr">
        <is>
          <t>Rf 4.32% + spread 5.40%</t>
        </is>
      </c>
    </row>
    <row r="37">
      <c r="A37" s="16" t="inlineStr">
        <is>
          <t>Accounting Rd  (Gross int exp / Avg gross debt)</t>
        </is>
      </c>
      <c r="B37" s="45" t="n">
        <v>0.4710723178303938</v>
      </c>
      <c r="C37" s="43" t="inlineStr">
        <is>
          <t>Cross-check only — backward-looking</t>
        </is>
      </c>
    </row>
    <row r="38">
      <c r="A38" s="46" t="inlineStr">
        <is>
          <t>► Selected pre-tax Rd  (user override)</t>
        </is>
      </c>
      <c r="B38" s="47" t="n">
        <v>0.2841</v>
      </c>
      <c r="C38" s="48" t="inlineStr">
        <is>
          <t>Default = average of 2 source(s) above — override freely</t>
        </is>
      </c>
    </row>
    <row r="39">
      <c r="A39" s="41" t="n"/>
      <c r="B39" s="41" t="n"/>
      <c r="C39" s="41" t="n"/>
    </row>
    <row r="40" ht="18" customHeight="1">
      <c r="A40" s="24" t="inlineStr">
        <is>
          <t>STEP 6 — TAX RATE</t>
        </is>
      </c>
    </row>
    <row r="41">
      <c r="A41" s="16" t="inlineStr">
        <is>
          <t>Effective tax rate  (tax expense / pre-tax income)</t>
        </is>
      </c>
      <c r="B41" s="45" t="n">
        <v>0.0847</v>
      </c>
      <c r="C41" s="43" t="inlineStr">
        <is>
          <t>FMP: $45mm  /  $526mm</t>
        </is>
      </c>
    </row>
    <row r="42">
      <c r="A42" s="46" t="inlineStr">
        <is>
          <t>► Selected tax rate  (user override)</t>
        </is>
      </c>
      <c r="B42" s="47" t="n">
        <v>0.0847</v>
      </c>
      <c r="C42" s="48" t="inlineStr">
        <is>
          <t>Adjust to normalised / marginal rate if preferred</t>
        </is>
      </c>
    </row>
    <row r="43">
      <c r="A43" s="41" t="n"/>
      <c r="B43" s="41" t="n"/>
      <c r="C43" s="41" t="n"/>
    </row>
    <row r="44" ht="18" customHeight="1">
      <c r="A44" s="3" t="inlineStr">
        <is>
          <t>WACC OUTPUT</t>
        </is>
      </c>
    </row>
    <row r="45" ht="22" customHeight="1">
      <c r="A45" s="54" t="inlineStr">
        <is>
          <t>WACC  =  (E/V × Re)  +  (D/V × Rd × (1 − t))</t>
        </is>
      </c>
      <c r="B45" s="55">
        <f>B8*B29+B9*B38*(1-B42)</f>
        <v/>
      </c>
      <c r="C45" s="56" t="inlineStr">
        <is>
          <t>Used as discount rate in DCF tab</t>
        </is>
      </c>
    </row>
    <row r="46">
      <c r="A46" s="41" t="n"/>
      <c r="B46" s="41" t="n"/>
      <c r="C46" s="41" t="n"/>
    </row>
    <row r="47" ht="18" customHeight="1">
      <c r="A47" s="9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B8*(B13+(B21+(-1.0))*(B26+(-0.01)))+B9*B38*(1-B42)</f>
        <v/>
      </c>
      <c r="C49" s="59">
        <f>B8*(B13+(B21+(-1.0))*(B26+(-0.005)))+B9*B38*(1-B42)</f>
        <v/>
      </c>
      <c r="D49" s="59">
        <f>B8*(B13+(B21+(-1.0))*(B26+(0.0)))+B9*B38*(1-B42)</f>
        <v/>
      </c>
      <c r="E49" s="59">
        <f>B8*(B13+(B21+(-1.0))*(B26+(0.005)))+B9*B38*(1-B42)</f>
        <v/>
      </c>
      <c r="F49" s="59">
        <f>B8*(B13+(B21+(-1.0))*(B26+(0.01)))+B9*B38*(1-B42)</f>
        <v/>
      </c>
    </row>
    <row r="50">
      <c r="A50" s="58" t="inlineStr">
        <is>
          <t>-0.5</t>
        </is>
      </c>
      <c r="B50" s="59">
        <f>B8*(B13+(B21+(-0.5))*(B26+(-0.01)))+B9*B38*(1-B42)</f>
        <v/>
      </c>
      <c r="C50" s="59">
        <f>B8*(B13+(B21+(-0.5))*(B26+(-0.005)))+B9*B38*(1-B42)</f>
        <v/>
      </c>
      <c r="D50" s="59">
        <f>B8*(B13+(B21+(-0.5))*(B26+(0.0)))+B9*B38*(1-B42)</f>
        <v/>
      </c>
      <c r="E50" s="59">
        <f>B8*(B13+(B21+(-0.5))*(B26+(0.005)))+B9*B38*(1-B42)</f>
        <v/>
      </c>
      <c r="F50" s="59">
        <f>B8*(B13+(B21+(-0.5))*(B26+(0.01)))+B9*B38*(1-B42)</f>
        <v/>
      </c>
    </row>
    <row r="51">
      <c r="A51" s="60" t="inlineStr">
        <is>
          <t>Base β</t>
        </is>
      </c>
      <c r="B51" s="61">
        <f>B8*(B13+(B21+(0.0))*(B26+(-0.01)))+B9*B38*(1-B42)</f>
        <v/>
      </c>
      <c r="C51" s="61">
        <f>B8*(B13+(B21+(0.0))*(B26+(-0.005)))+B9*B38*(1-B42)</f>
        <v/>
      </c>
      <c r="D51" s="62">
        <f>B8*(B13+(B21+(0.0))*(B26+(0.0)))+B9*B38*(1-B42)</f>
        <v/>
      </c>
      <c r="E51" s="61">
        <f>B8*(B13+(B21+(0.0))*(B26+(0.005)))+B9*B38*(1-B42)</f>
        <v/>
      </c>
      <c r="F51" s="61">
        <f>B8*(B13+(B21+(0.0))*(B26+(0.01)))+B9*B38*(1-B42)</f>
        <v/>
      </c>
    </row>
    <row r="52">
      <c r="A52" s="58" t="inlineStr">
        <is>
          <t>+0.5</t>
        </is>
      </c>
      <c r="B52" s="59">
        <f>B8*(B13+(B21+(0.5))*(B26+(-0.01)))+B9*B38*(1-B42)</f>
        <v/>
      </c>
      <c r="C52" s="59">
        <f>B8*(B13+(B21+(0.5))*(B26+(-0.005)))+B9*B38*(1-B42)</f>
        <v/>
      </c>
      <c r="D52" s="59">
        <f>B8*(B13+(B21+(0.5))*(B26+(0.0)))+B9*B38*(1-B42)</f>
        <v/>
      </c>
      <c r="E52" s="59">
        <f>B8*(B13+(B21+(0.5))*(B26+(0.005)))+B9*B38*(1-B42)</f>
        <v/>
      </c>
      <c r="F52" s="59">
        <f>B8*(B13+(B21+(0.5))*(B26+(0.01)))+B9*B38*(1-B42)</f>
        <v/>
      </c>
    </row>
    <row r="53">
      <c r="A53" s="58" t="inlineStr">
        <is>
          <t>+1.0</t>
        </is>
      </c>
      <c r="B53" s="59">
        <f>B8*(B13+(B21+(1.0))*(B26+(-0.01)))+B9*B38*(1-B42)</f>
        <v/>
      </c>
      <c r="C53" s="59">
        <f>B8*(B13+(B21+(1.0))*(B26+(-0.005)))+B9*B38*(1-B42)</f>
        <v/>
      </c>
      <c r="D53" s="59">
        <f>B8*(B13+(B21+(1.0))*(B26+(0.0)))+B9*B38*(1-B42)</f>
        <v/>
      </c>
      <c r="E53" s="59">
        <f>B8*(B13+(B21+(1.0))*(B26+(0.005)))+B9*B38*(1-B42)</f>
        <v/>
      </c>
      <c r="F53" s="59">
        <f>B8*(B13+(B21+(1.0))*(B26+(0.01)))+B9*B38*(1-B42)</f>
        <v/>
      </c>
    </row>
  </sheetData>
  <mergeCells count="12">
    <mergeCell ref="A28:C28"/>
    <mergeCell ref="A11:C11"/>
    <mergeCell ref="A44:C44"/>
    <mergeCell ref="A47:C47"/>
    <mergeCell ref="A1:C1"/>
    <mergeCell ref="A23:C23"/>
    <mergeCell ref="A31:C31"/>
    <mergeCell ref="A40:C40"/>
    <mergeCell ref="A15:C15"/>
    <mergeCell ref="A4:C4"/>
    <mergeCell ref="A20:C20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SOFI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3" t="inlineStr">
        <is>
          <t>Source / Notes</t>
        </is>
      </c>
    </row>
    <row r="4" ht="16" customHeight="1">
      <c r="A4" s="68" t="inlineStr">
        <is>
          <t>FMP analyst consensus: 2026E – 2029E  (4 years)   |   User estimates required from: 2030E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 t="n">
        <v>0.6208</v>
      </c>
      <c r="D7" s="71" t="n">
        <v>0.6437</v>
      </c>
      <c r="E7" s="71" t="n">
        <v>0.2782</v>
      </c>
      <c r="F7" s="71" t="n">
        <v>0.2878</v>
      </c>
      <c r="G7" s="72" t="n">
        <v>-0.023</v>
      </c>
      <c r="H7" s="72" t="n">
        <v>0.2232</v>
      </c>
      <c r="I7" s="72" t="n">
        <v>0.1786</v>
      </c>
      <c r="J7" s="72" t="n">
        <v>0.1439</v>
      </c>
      <c r="K7" s="73" t="n">
        <v>0.08</v>
      </c>
      <c r="L7" s="74" t="n">
        <v>0.03</v>
      </c>
      <c r="M7" s="75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9" t="inlineStr">
        <is>
          <t>EBITDA Margin %</t>
        </is>
      </c>
      <c r="B8" s="71" t="n">
        <v>-0.349</v>
      </c>
      <c r="C8" s="71" t="n">
        <v>-0.0949</v>
      </c>
      <c r="D8" s="71" t="n">
        <v>-0.0344</v>
      </c>
      <c r="E8" s="71" t="n">
        <v>0.1179</v>
      </c>
      <c r="F8" s="71" t="n">
        <v>0.4018</v>
      </c>
      <c r="G8" s="72" t="n">
        <v>0.7619</v>
      </c>
      <c r="H8" s="72" t="n">
        <v>0.7619</v>
      </c>
      <c r="I8" s="72" t="n">
        <v>0.7619</v>
      </c>
      <c r="J8" s="72" t="n">
        <v>0.7619</v>
      </c>
      <c r="K8" s="73" t="n">
        <v>0.7619</v>
      </c>
      <c r="L8" s="74" t="n">
        <v>0.4018</v>
      </c>
      <c r="M8" s="75" t="inlineStr">
        <is>
          <t>FMP consensus years: margin back-calculated from analyst EBITDA / Revenue.  Terminal: enter your long-run normalised EBITDA margin.</t>
        </is>
      </c>
    </row>
    <row r="9" ht="20" customHeight="1">
      <c r="A9" s="69" t="inlineStr">
        <is>
          <t>D&amp;A as % of Revenue  (user input — FMP does not estimate)</t>
        </is>
      </c>
      <c r="B9" s="71" t="n">
        <v>0.0934</v>
      </c>
      <c r="C9" s="71" t="n">
        <v>0.0859</v>
      </c>
      <c r="D9" s="71" t="n">
        <v>0.06950000000000001</v>
      </c>
      <c r="E9" s="71" t="n">
        <v>0.0549</v>
      </c>
      <c r="F9" s="71" t="n">
        <v>0.0491</v>
      </c>
      <c r="G9" s="73" t="n">
        <v>0.0491</v>
      </c>
      <c r="H9" s="73" t="n">
        <v>0.0491</v>
      </c>
      <c r="I9" s="73" t="n">
        <v>0.0491</v>
      </c>
      <c r="J9" s="73" t="n">
        <v>0.0491</v>
      </c>
      <c r="K9" s="73" t="n">
        <v>0.0491</v>
      </c>
      <c r="L9" s="74" t="n">
        <v>0.0491</v>
      </c>
      <c r="M9" s="75" t="inlineStr">
        <is>
          <t>Historical from 3-statement model.  FMP provides no forward D&amp;A estimate — enter your own.</t>
        </is>
      </c>
    </row>
    <row r="10" ht="20" customHeight="1">
      <c r="A10" s="69" t="inlineStr">
        <is>
          <t>CapEx as % of Revenue  (user input)</t>
        </is>
      </c>
      <c r="B10" s="71" t="n">
        <v>0.048</v>
      </c>
      <c r="C10" s="71" t="n">
        <v>0.0588</v>
      </c>
      <c r="D10" s="71" t="n">
        <v>0.0418</v>
      </c>
      <c r="E10" s="71" t="n">
        <v>0.0442</v>
      </c>
      <c r="F10" s="71" t="n">
        <v>0.0508</v>
      </c>
      <c r="G10" s="73" t="n">
        <v>0.0508</v>
      </c>
      <c r="H10" s="73" t="n">
        <v>0.0508</v>
      </c>
      <c r="I10" s="73" t="n">
        <v>0.0508</v>
      </c>
      <c r="J10" s="73" t="n">
        <v>0.0508</v>
      </c>
      <c r="K10" s="73" t="n">
        <v>0.0508</v>
      </c>
      <c r="L10" s="74" t="n">
        <v>0.0508</v>
      </c>
      <c r="M10" s="75" t="inlineStr">
        <is>
          <t>Historical from cash flow statement.  Adjust for known capex programmes.</t>
        </is>
      </c>
    </row>
    <row r="11" ht="20" customHeight="1">
      <c r="A11" s="69" t="inlineStr">
        <is>
          <t>Change in NWC as % of Revenue  (user input)</t>
        </is>
      </c>
      <c r="B11" s="71" t="n">
        <v>0.01</v>
      </c>
      <c r="C11" s="71" t="n">
        <v>0.01</v>
      </c>
      <c r="D11" s="71" t="n">
        <v>0.01</v>
      </c>
      <c r="E11" s="71" t="n">
        <v>0.01</v>
      </c>
      <c r="F11" s="71" t="n">
        <v>0.01</v>
      </c>
      <c r="G11" s="73" t="n">
        <v>0.01</v>
      </c>
      <c r="H11" s="73" t="n">
        <v>0.01</v>
      </c>
      <c r="I11" s="73" t="n">
        <v>0.01</v>
      </c>
      <c r="J11" s="73" t="n">
        <v>0.01</v>
      </c>
      <c r="K11" s="73" t="n">
        <v>0.01</v>
      </c>
      <c r="L11" s="74" t="n">
        <v>0.01</v>
      </c>
      <c r="M11" s="75" t="inlineStr">
        <is>
          <t>Cross-ref historical NWC change from Ratios &amp; FCF tab.</t>
        </is>
      </c>
    </row>
    <row r="12" ht="20" customHeight="1">
      <c r="A12" s="69" t="inlineStr">
        <is>
          <t>Effective Tax Rate  (user input — adjust to normalised if needed)</t>
        </is>
      </c>
      <c r="B12" s="71" t="n">
        <v>0.0057</v>
      </c>
      <c r="C12" s="71" t="n">
        <v>0.0053</v>
      </c>
      <c r="D12" s="71" t="n">
        <v>0.0014</v>
      </c>
      <c r="E12" s="71" t="n">
        <v>1.137</v>
      </c>
      <c r="F12" s="71" t="n">
        <v>0.0847</v>
      </c>
      <c r="G12" s="73" t="n">
        <v>0.0847</v>
      </c>
      <c r="H12" s="73" t="n">
        <v>0.0847</v>
      </c>
      <c r="I12" s="73" t="n">
        <v>0.0847</v>
      </c>
      <c r="J12" s="73" t="n">
        <v>0.0847</v>
      </c>
      <c r="K12" s="73" t="n">
        <v>0.0847</v>
      </c>
      <c r="L12" s="74" t="n">
        <v>0.0847</v>
      </c>
      <c r="M12" s="75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 t="n">
        <v>1087.6</v>
      </c>
      <c r="C15" s="77" t="n">
        <v>1762.8</v>
      </c>
      <c r="D15" s="77" t="n">
        <v>2897.5</v>
      </c>
      <c r="E15" s="77" t="n">
        <v>3703.7</v>
      </c>
      <c r="F15" s="77" t="n">
        <v>4769.6</v>
      </c>
      <c r="G15" s="78" t="n">
        <v>4660</v>
      </c>
      <c r="H15" s="78" t="n">
        <v>5700.1</v>
      </c>
      <c r="I15" s="78" t="n">
        <v>6718</v>
      </c>
      <c r="J15" s="78" t="n">
        <v>7684.6</v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4,253 — 4,762</t>
        </is>
      </c>
      <c r="H16" s="83" t="inlineStr">
        <is>
          <t>4,601 — 8,015</t>
        </is>
      </c>
      <c r="I16" s="83" t="inlineStr">
        <is>
          <t>6,686 — 6,750</t>
        </is>
      </c>
      <c r="J16" s="83" t="inlineStr">
        <is>
          <t>6,901 — 8,650</t>
        </is>
      </c>
      <c r="K16" s="84" t="inlineStr">
        <is>
          <t>—</t>
        </is>
      </c>
      <c r="L16" s="85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6" t="n">
        <v>15</v>
      </c>
      <c r="H17" s="86" t="n">
        <v>15</v>
      </c>
      <c r="I17" s="87" t="n">
        <v>9</v>
      </c>
      <c r="J17" s="88" t="n">
        <v>4</v>
      </c>
      <c r="K17" s="84" t="inlineStr">
        <is>
          <t>—</t>
        </is>
      </c>
      <c r="L17" s="85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9" t="inlineStr">
        <is>
          <t>—</t>
        </is>
      </c>
      <c r="C18" s="90">
        <f>IFERROR(C15/B15-1,"")</f>
        <v/>
      </c>
      <c r="D18" s="90">
        <f>IFERROR(D15/C15-1,"")</f>
        <v/>
      </c>
      <c r="E18" s="90">
        <f>IFERROR(E15/D15-1,"")</f>
        <v/>
      </c>
      <c r="F18" s="90">
        <f>IFERROR(F15/E15-1,"")</f>
        <v/>
      </c>
      <c r="G18" s="91">
        <f>IFERROR(G15/F15-1,"")</f>
        <v/>
      </c>
      <c r="H18" s="91">
        <f>IFERROR(H15/G15-1,"")</f>
        <v/>
      </c>
      <c r="I18" s="91">
        <f>IFERROR(I15/H15-1,"")</f>
        <v/>
      </c>
      <c r="J18" s="91">
        <f>IFERROR(J15/I15-1,"")</f>
        <v/>
      </c>
      <c r="K18" s="92">
        <f>IFERROR(K15/J15-1,"")</f>
        <v/>
      </c>
      <c r="L18" s="93">
        <f>L7</f>
        <v/>
      </c>
      <c r="M18" s="81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6" t="inlineStr">
        <is>
          <t>EBITDA</t>
        </is>
      </c>
      <c r="B20" s="77" t="n">
        <v>-379.6</v>
      </c>
      <c r="C20" s="77" t="n">
        <v>-167.4</v>
      </c>
      <c r="D20" s="77" t="n">
        <v>-99.7</v>
      </c>
      <c r="E20" s="77" t="n">
        <v>436.8</v>
      </c>
      <c r="F20" s="77" t="n">
        <v>1916.3</v>
      </c>
      <c r="G20" s="78" t="n">
        <v>3550.4</v>
      </c>
      <c r="H20" s="78" t="n">
        <v>4342.9</v>
      </c>
      <c r="I20" s="78" t="n">
        <v>5118.4</v>
      </c>
      <c r="J20" s="78" t="n">
        <v>5854.8</v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3,240 — 3,628</t>
        </is>
      </c>
      <c r="H21" s="83" t="inlineStr">
        <is>
          <t>3,505 — 6,106</t>
        </is>
      </c>
      <c r="I21" s="83" t="inlineStr">
        <is>
          <t>5,094 — 5,143</t>
        </is>
      </c>
      <c r="J21" s="83" t="inlineStr">
        <is>
          <t>5,258 — 6,591</t>
        </is>
      </c>
      <c r="K21" s="84" t="inlineStr">
        <is>
          <t>—</t>
        </is>
      </c>
      <c r="L21" s="85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90">
        <f>IFERROR(B20/B15,"")</f>
        <v/>
      </c>
      <c r="C22" s="90">
        <f>IFERROR(C20/C15,"")</f>
        <v/>
      </c>
      <c r="D22" s="90">
        <f>IFERROR(D20/D15,"")</f>
        <v/>
      </c>
      <c r="E22" s="90">
        <f>IFERROR(E20/E15,"")</f>
        <v/>
      </c>
      <c r="F22" s="90">
        <f>IFERROR(F20/F15,"")</f>
        <v/>
      </c>
      <c r="G22" s="91">
        <f>IFERROR(G20/G15,"")</f>
        <v/>
      </c>
      <c r="H22" s="91">
        <f>IFERROR(H20/H15,"")</f>
        <v/>
      </c>
      <c r="I22" s="91">
        <f>IFERROR(I20/I15,"")</f>
        <v/>
      </c>
      <c r="J22" s="91">
        <f>IFERROR(J20/J15,"")</f>
        <v/>
      </c>
      <c r="K22" s="92">
        <f>IFERROR(K20/K15,"")</f>
        <v/>
      </c>
      <c r="L22" s="93">
        <f>IFERROR(L20/L15,"")</f>
        <v/>
      </c>
      <c r="M22" s="81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94" t="inlineStr">
        <is>
          <t xml:space="preserve">  Less: D&amp;A</t>
        </is>
      </c>
      <c r="B25" s="77" t="n">
        <v>-101.6</v>
      </c>
      <c r="C25" s="77" t="n">
        <v>-151.4</v>
      </c>
      <c r="D25" s="77" t="n">
        <v>-201.4</v>
      </c>
      <c r="E25" s="77" t="n">
        <v>-203.5</v>
      </c>
      <c r="F25" s="77" t="n">
        <v>-234.2</v>
      </c>
      <c r="G25" s="95">
        <f>-G15*G9</f>
        <v/>
      </c>
      <c r="H25" s="95">
        <f>-H15*H9</f>
        <v/>
      </c>
      <c r="I25" s="95">
        <f>-I15*I9</f>
        <v/>
      </c>
      <c r="J25" s="95">
        <f>-J15*J9</f>
        <v/>
      </c>
      <c r="K25" s="79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6" t="n">
        <v>-481.2</v>
      </c>
      <c r="C26" s="96" t="n">
        <v>-318.7</v>
      </c>
      <c r="D26" s="96" t="n">
        <v>-301.2</v>
      </c>
      <c r="E26" s="96" t="n">
        <v>233.3</v>
      </c>
      <c r="F26" s="96" t="n">
        <v>1682.1</v>
      </c>
      <c r="G26" s="97">
        <f>G20+G25</f>
        <v/>
      </c>
      <c r="H26" s="97">
        <f>H20+H25</f>
        <v/>
      </c>
      <c r="I26" s="97">
        <f>I20+I25</f>
        <v/>
      </c>
      <c r="J26" s="97">
        <f>J20+J25</f>
        <v/>
      </c>
      <c r="K26" s="97">
        <f>K20+K25</f>
        <v/>
      </c>
      <c r="L26" s="97">
        <f>L20+L25</f>
        <v/>
      </c>
      <c r="M26" s="81">
        <f> EBITDA + D&amp;A  (GAAP operating income, EBIT)</f>
        <v/>
      </c>
    </row>
    <row r="27" ht="20" customHeight="1">
      <c r="A27" s="94" t="inlineStr">
        <is>
          <t xml:space="preserve">  Less: Tax on EBIT  (unlevered)</t>
        </is>
      </c>
      <c r="B27" s="98" t="n">
        <v>2.8</v>
      </c>
      <c r="C27" s="98" t="n">
        <v>1.7</v>
      </c>
      <c r="D27" s="98" t="n">
        <v>0.4</v>
      </c>
      <c r="E27" s="98" t="n">
        <v>-265.3</v>
      </c>
      <c r="F27" s="98" t="n">
        <v>-142.5</v>
      </c>
      <c r="G27" s="99">
        <f>-G26*G12</f>
        <v/>
      </c>
      <c r="H27" s="99">
        <f>-H26*H12</f>
        <v/>
      </c>
      <c r="I27" s="99">
        <f>-I26*I12</f>
        <v/>
      </c>
      <c r="J27" s="99">
        <f>-J26*J12</f>
        <v/>
      </c>
      <c r="K27" s="99">
        <f>-K26*K12</f>
        <v/>
      </c>
      <c r="L27" s="99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6" t="n">
        <v>-478.4</v>
      </c>
      <c r="C28" s="96" t="n">
        <v>-317</v>
      </c>
      <c r="D28" s="96" t="n">
        <v>-300.7</v>
      </c>
      <c r="E28" s="96" t="n">
        <v>-32</v>
      </c>
      <c r="F28" s="96" t="n">
        <v>1539.6</v>
      </c>
      <c r="G28" s="100">
        <f>G26+G27</f>
        <v/>
      </c>
      <c r="H28" s="100">
        <f>H26+H27</f>
        <v/>
      </c>
      <c r="I28" s="100">
        <f>I26+I27</f>
        <v/>
      </c>
      <c r="J28" s="100">
        <f>J26+J27</f>
        <v/>
      </c>
      <c r="K28" s="100">
        <f>K26+K27</f>
        <v/>
      </c>
      <c r="L28" s="100">
        <f>L26+L27</f>
        <v/>
      </c>
      <c r="M28" s="81">
        <f> EBIT × (1 − tax rate)</f>
        <v/>
      </c>
    </row>
    <row r="29" ht="20" customHeight="1">
      <c r="A29" s="94" t="inlineStr">
        <is>
          <t xml:space="preserve">  (+) D&amp;A add-back  (non-cash)</t>
        </is>
      </c>
      <c r="B29" s="98" t="n">
        <v>101.6</v>
      </c>
      <c r="C29" s="98" t="n">
        <v>151.4</v>
      </c>
      <c r="D29" s="98" t="n">
        <v>201.4</v>
      </c>
      <c r="E29" s="98" t="n">
        <v>203.5</v>
      </c>
      <c r="F29" s="98" t="n">
        <v>234.2</v>
      </c>
      <c r="G29" s="99">
        <f>-G25</f>
        <v/>
      </c>
      <c r="H29" s="99">
        <f>-H25</f>
        <v/>
      </c>
      <c r="I29" s="99">
        <f>-I25</f>
        <v/>
      </c>
      <c r="J29" s="99">
        <f>-J25</f>
        <v/>
      </c>
      <c r="K29" s="99">
        <f>-K25</f>
        <v/>
      </c>
      <c r="L29" s="99">
        <f>-L25</f>
        <v/>
      </c>
      <c r="M29" s="81">
        <f> D&amp;A added back (non-cash charge — converts NOPAT to cash basis)</f>
        <v/>
      </c>
    </row>
    <row r="30" ht="20" customHeight="1">
      <c r="A30" s="94" t="inlineStr">
        <is>
          <t xml:space="preserve">  (−) Capital Expenditures</t>
        </is>
      </c>
      <c r="B30" s="77" t="n">
        <v>-52.3</v>
      </c>
      <c r="C30" s="77" t="n">
        <v>-103.7</v>
      </c>
      <c r="D30" s="77" t="n">
        <v>-121.2</v>
      </c>
      <c r="E30" s="77" t="n">
        <v>-163.6</v>
      </c>
      <c r="F30" s="77" t="n">
        <v>-242.4</v>
      </c>
      <c r="G30" s="99">
        <f>-G15*G10</f>
        <v/>
      </c>
      <c r="H30" s="99">
        <f>-H15*H10</f>
        <v/>
      </c>
      <c r="I30" s="99">
        <f>-I15*I10</f>
        <v/>
      </c>
      <c r="J30" s="99">
        <f>-J15*J10</f>
        <v/>
      </c>
      <c r="K30" s="99">
        <f>-K15*K10</f>
        <v/>
      </c>
      <c r="L30" s="99">
        <f>-L15*L10</f>
        <v/>
      </c>
      <c r="M30" s="81">
        <f> Revenue × CapEx % assumption  (negative = cash outflow)</f>
        <v/>
      </c>
    </row>
    <row r="31" ht="20" customHeight="1">
      <c r="A31" s="94" t="inlineStr">
        <is>
          <t xml:space="preserve">  (−) Increase in Net Working Capital</t>
        </is>
      </c>
      <c r="B31" s="98" t="n"/>
      <c r="C31" s="98" t="n"/>
      <c r="D31" s="98" t="n"/>
      <c r="E31" s="98" t="n"/>
      <c r="F31" s="98" t="n"/>
      <c r="G31" s="99">
        <f>-G15*G11</f>
        <v/>
      </c>
      <c r="H31" s="99">
        <f>-H15*H11</f>
        <v/>
      </c>
      <c r="I31" s="99">
        <f>-I15*I11</f>
        <v/>
      </c>
      <c r="J31" s="99">
        <f>-J15*J11</f>
        <v/>
      </c>
      <c r="K31" s="99">
        <f>-K15*K11</f>
        <v/>
      </c>
      <c r="L31" s="99">
        <f>-L15*L11</f>
        <v/>
      </c>
      <c r="M31" s="81">
        <f> Revenue × NWC % (positive revenue growth ties up cash in working capital)</f>
        <v/>
      </c>
    </row>
    <row r="32" ht="20" customHeight="1">
      <c r="A32" s="76" t="inlineStr">
        <is>
          <t>UNLEVERED FREE CASH FLOW  (UFCF)</t>
        </is>
      </c>
      <c r="B32" s="96" t="n">
        <v>-429.1</v>
      </c>
      <c r="C32" s="96" t="n">
        <v>-269.4</v>
      </c>
      <c r="D32" s="96" t="n">
        <v>-220.5</v>
      </c>
      <c r="E32" s="96" t="n">
        <v>7.9</v>
      </c>
      <c r="F32" s="96" t="n">
        <v>1531.3</v>
      </c>
      <c r="G32" s="100">
        <f>G28+G29+G30+G31</f>
        <v/>
      </c>
      <c r="H32" s="100">
        <f>H28+H29+H30+H31</f>
        <v/>
      </c>
      <c r="I32" s="100">
        <f>I28+I29+I30+I31</f>
        <v/>
      </c>
      <c r="J32" s="100">
        <f>J28+J29+J30+J31</f>
        <v/>
      </c>
      <c r="K32" s="100">
        <f>K28+K29+K30+K31</f>
        <v/>
      </c>
      <c r="L32" s="100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90" t="n">
        <v>-0.3945</v>
      </c>
      <c r="C33" s="90" t="n">
        <v>-0.1528</v>
      </c>
      <c r="D33" s="90" t="n">
        <v>-0.0761</v>
      </c>
      <c r="E33" s="90" t="n">
        <v>0.0021</v>
      </c>
      <c r="F33" s="90" t="n">
        <v>0.3211</v>
      </c>
      <c r="G33" s="101">
        <f>IFERROR(G32/G15,"")</f>
        <v/>
      </c>
      <c r="H33" s="101">
        <f>IFERROR(H32/H15,"")</f>
        <v/>
      </c>
      <c r="I33" s="101">
        <f>IFERROR(I32/I15,"")</f>
        <v/>
      </c>
      <c r="J33" s="101">
        <f>IFERROR(J32/J15,"")</f>
        <v/>
      </c>
      <c r="K33" s="101">
        <f>IFERROR(K32/K15,"")</f>
        <v/>
      </c>
      <c r="L33" s="101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102">
        <f>WACC!B45</f>
        <v/>
      </c>
      <c r="C36" s="103" t="n"/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4" t="n">
        <v>0.03</v>
      </c>
      <c r="C37" s="103" t="n"/>
      <c r="D37" s="103" t="n"/>
      <c r="E37" s="103" t="n"/>
      <c r="F37" s="103" t="n"/>
      <c r="G37" s="103" t="n"/>
      <c r="H37" s="103" t="n"/>
      <c r="I37" s="103" t="n"/>
      <c r="J37" s="103" t="n"/>
      <c r="K37" s="103" t="n"/>
      <c r="L37" s="103" t="n"/>
      <c r="M37" s="75" t="inlineStr">
        <is>
          <t>Long-run nominal GDP growth rate — typically 2-4% for US.  Keep below WACC.</t>
        </is>
      </c>
    </row>
    <row r="38" ht="20" customHeight="1">
      <c r="A38" s="69" t="inlineStr">
        <is>
          <t>Terminal EV/EBITDA Multiple  (exit multiple method)</t>
        </is>
      </c>
      <c r="B38" s="105" t="n">
        <v>20</v>
      </c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75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106" t="inlineStr">
        <is>
          <t>Terminal Year UFCF  (grown by g)</t>
        </is>
      </c>
      <c r="B40" s="107">
        <f>L32</f>
        <v/>
      </c>
      <c r="C40" s="108" t="n"/>
      <c r="D40" s="108" t="n"/>
      <c r="E40" s="108" t="n"/>
      <c r="F40" s="108" t="n"/>
      <c r="G40" s="108" t="n"/>
      <c r="H40" s="108" t="n"/>
      <c r="I40" s="108" t="n"/>
      <c r="J40" s="108" t="n"/>
      <c r="K40" s="108" t="n"/>
      <c r="L40" s="108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100">
        <f>B40/(B36-B37)</f>
        <v/>
      </c>
      <c r="C41" s="109" t="n"/>
      <c r="D41" s="109" t="n"/>
      <c r="E41" s="109" t="n"/>
      <c r="F41" s="109" t="n"/>
      <c r="G41" s="109" t="n"/>
      <c r="H41" s="109" t="n"/>
      <c r="I41" s="109" t="n"/>
      <c r="J41" s="109" t="n"/>
      <c r="K41" s="109" t="n"/>
      <c r="L41" s="109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100">
        <f>L20*B38</f>
        <v/>
      </c>
      <c r="C42" s="109" t="n"/>
      <c r="D42" s="109" t="n"/>
      <c r="E42" s="109" t="n"/>
      <c r="F42" s="109" t="n"/>
      <c r="G42" s="109" t="n"/>
      <c r="H42" s="109" t="n"/>
      <c r="I42" s="109" t="n"/>
      <c r="J42" s="109" t="n"/>
      <c r="K42" s="109" t="n"/>
      <c r="L42" s="109" t="n"/>
      <c r="M42" s="81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106" t="inlineStr">
        <is>
          <t>Discount Period  (mid-year convention)</t>
        </is>
      </c>
      <c r="G45" s="110" t="n">
        <v>0.5</v>
      </c>
      <c r="H45" s="110" t="n">
        <v>1.5</v>
      </c>
      <c r="I45" s="110" t="n">
        <v>2.5</v>
      </c>
      <c r="J45" s="110" t="n">
        <v>3.5</v>
      </c>
      <c r="K45" s="110" t="n">
        <v>4.5</v>
      </c>
      <c r="L45" s="111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6" t="inlineStr">
        <is>
          <t>Discount Factor  =  1 / (1 + WACC) ^ period</t>
        </is>
      </c>
      <c r="G46" s="112">
        <f>1/(1+B36)^G45</f>
        <v/>
      </c>
      <c r="H46" s="112">
        <f>1/(1+B36)^H45</f>
        <v/>
      </c>
      <c r="I46" s="112">
        <f>1/(1+B36)^I45</f>
        <v/>
      </c>
      <c r="J46" s="112">
        <f>1/(1+B36)^J45</f>
        <v/>
      </c>
      <c r="K46" s="112">
        <f>1/(1+B36)^K45</f>
        <v/>
      </c>
      <c r="L46" s="113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100">
        <f>G32*G46</f>
        <v/>
      </c>
      <c r="H47" s="100">
        <f>H32*H46</f>
        <v/>
      </c>
      <c r="I47" s="100">
        <f>I32*I46</f>
        <v/>
      </c>
      <c r="J47" s="100">
        <f>J32*J46</f>
        <v/>
      </c>
      <c r="K47" s="100">
        <f>K32*K46</f>
        <v/>
      </c>
      <c r="L47" s="109" t="n"/>
      <c r="M47" s="81">
        <f> UFCF × discount factor</f>
        <v/>
      </c>
    </row>
    <row r="48" ht="20" customHeight="1">
      <c r="A48" s="63" t="inlineStr">
        <is>
          <t>Sum of PV of FCFs  (explicit period)</t>
        </is>
      </c>
      <c r="B48" s="97">
        <f>G47+H47+I47+J47+K47</f>
        <v/>
      </c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81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7">
        <f>B41*L46</f>
        <v/>
      </c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81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7">
        <f>B42*L46</f>
        <v/>
      </c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81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100">
        <f>B48+B49</f>
        <v/>
      </c>
      <c r="C53" s="109" t="n"/>
      <c r="D53" s="109" t="n"/>
      <c r="E53" s="109" t="n"/>
      <c r="F53" s="109" t="n"/>
      <c r="G53" s="109" t="n"/>
      <c r="H53" s="109" t="n"/>
      <c r="I53" s="109" t="n"/>
      <c r="J53" s="109" t="n"/>
      <c r="K53" s="109" t="n"/>
      <c r="L53" s="109" t="n"/>
      <c r="M53" s="109" t="n"/>
    </row>
    <row r="54">
      <c r="A54" s="76" t="inlineStr">
        <is>
          <t>Enterprise Value  [Exit Multiple]</t>
        </is>
      </c>
      <c r="B54" s="100">
        <f>B48+B50</f>
        <v/>
      </c>
      <c r="C54" s="109" t="n"/>
      <c r="D54" s="109" t="n"/>
      <c r="E54" s="109" t="n"/>
      <c r="F54" s="109" t="n"/>
      <c r="G54" s="109" t="n"/>
      <c r="H54" s="109" t="n"/>
      <c r="I54" s="109" t="n"/>
      <c r="J54" s="109" t="n"/>
      <c r="K54" s="109" t="n"/>
      <c r="L54" s="109" t="n"/>
      <c r="M54" s="109" t="n"/>
    </row>
    <row r="55" ht="20" customHeight="1">
      <c r="A55" s="94" t="inlineStr">
        <is>
          <t xml:space="preserve">  Less: Net Debt  (Debt − Cash)</t>
        </is>
      </c>
      <c r="B55" s="107" t="n">
        <v>-3113.8</v>
      </c>
      <c r="C55" s="108" t="n"/>
      <c r="D55" s="108" t="n"/>
      <c r="E55" s="108" t="n"/>
      <c r="F55" s="108" t="n"/>
      <c r="G55" s="108" t="n"/>
      <c r="H55" s="108" t="n"/>
      <c r="I55" s="108" t="n"/>
      <c r="J55" s="108" t="n"/>
      <c r="K55" s="108" t="n"/>
      <c r="L55" s="108" t="n"/>
      <c r="M55" s="81" t="inlineStr">
        <is>
          <t>Auto-linked from Balance Sheet: Debt $1,816mm − Cash $4,929mm = $-3,114mm  (negative = net cash)</t>
        </is>
      </c>
    </row>
    <row r="56" ht="20" customHeight="1">
      <c r="A56" s="94" t="inlineStr">
        <is>
          <t xml:space="preserve">  Less: Minority Interest</t>
        </is>
      </c>
      <c r="B56" s="107" t="n">
        <v>0</v>
      </c>
      <c r="C56" s="108" t="n"/>
      <c r="D56" s="108" t="n"/>
      <c r="E56" s="108" t="n"/>
      <c r="F56" s="108" t="n"/>
      <c r="G56" s="108" t="n"/>
      <c r="H56" s="108" t="n"/>
      <c r="I56" s="108" t="n"/>
      <c r="J56" s="108" t="n"/>
      <c r="K56" s="108" t="n"/>
      <c r="L56" s="108" t="n"/>
      <c r="M56" s="81" t="inlineStr">
        <is>
          <t>Auto-linked from Balance Sheet: minorityInterest</t>
        </is>
      </c>
    </row>
    <row r="57" ht="20" customHeight="1">
      <c r="A57" s="94" t="inlineStr">
        <is>
          <t xml:space="preserve">  Shares Outstanding — Diluted  (mm)</t>
        </is>
      </c>
      <c r="B57" s="107" t="n">
        <v>1251.8</v>
      </c>
      <c r="C57" s="108" t="n"/>
      <c r="D57" s="108" t="n"/>
      <c r="E57" s="108" t="n"/>
      <c r="F57" s="108" t="n"/>
      <c r="G57" s="108" t="n"/>
      <c r="H57" s="108" t="n"/>
      <c r="I57" s="108" t="n"/>
      <c r="J57" s="108" t="n"/>
      <c r="K57" s="108" t="n"/>
      <c r="L57" s="108" t="n"/>
      <c r="M57" s="81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6" t="inlineStr">
        <is>
          <t>Implied Share Price  [Gordon Growth]  ($)</t>
        </is>
      </c>
      <c r="B59" s="115">
        <f>IFERROR((B53-B55-B56)/B57,"")</f>
        <v/>
      </c>
      <c r="C59" s="109" t="n"/>
      <c r="D59" s="109" t="n"/>
      <c r="E59" s="109" t="n"/>
      <c r="F59" s="109" t="n"/>
      <c r="G59" s="109" t="n"/>
      <c r="H59" s="109" t="n"/>
      <c r="I59" s="109" t="n"/>
      <c r="J59" s="109" t="n"/>
      <c r="K59" s="109" t="n"/>
      <c r="L59" s="109" t="n"/>
      <c r="M59" s="109" t="n"/>
    </row>
    <row r="60">
      <c r="A60" s="76" t="inlineStr">
        <is>
          <t>Implied Share Price  [Exit Multiple]  ($)</t>
        </is>
      </c>
      <c r="B60" s="115">
        <f>IFERROR((B54-B55-B56)/B57,"")</f>
        <v/>
      </c>
      <c r="C60" s="109" t="n"/>
      <c r="D60" s="109" t="n"/>
      <c r="E60" s="109" t="n"/>
      <c r="F60" s="109" t="n"/>
      <c r="G60" s="109" t="n"/>
      <c r="H60" s="109" t="n"/>
      <c r="I60" s="109" t="n"/>
      <c r="J60" s="109" t="n"/>
      <c r="K60" s="109" t="n"/>
      <c r="L60" s="109" t="n"/>
      <c r="M60" s="109" t="n"/>
    </row>
    <row r="61" ht="20" customHeight="1">
      <c r="A61" s="106" t="inlineStr">
        <is>
          <t>Current Market Price  ($)</t>
        </is>
      </c>
      <c r="B61" s="116" t="n">
        <v>19.43</v>
      </c>
      <c r="C61" s="108" t="n"/>
      <c r="D61" s="108" t="n"/>
      <c r="E61" s="108" t="n"/>
      <c r="F61" s="108" t="n"/>
      <c r="G61" s="108" t="n"/>
      <c r="H61" s="108" t="n"/>
      <c r="I61" s="108" t="n"/>
      <c r="J61" s="108" t="n"/>
      <c r="K61" s="108" t="n"/>
      <c r="L61" s="108" t="n"/>
      <c r="M61" s="81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7">
        <f>IFERROR(B59/B61-1,"")</f>
        <v/>
      </c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</row>
    <row r="63">
      <c r="A63" s="63" t="inlineStr">
        <is>
          <t>Upside / (Downside)  [Exit Multiple]</t>
        </is>
      </c>
      <c r="B63" s="117">
        <f>IFERROR(B60/B61-1,"")</f>
        <v/>
      </c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8" t="inlineStr">
        <is>
          <t>JS SCORECARD — SOFI  |  Master Prompt v2  |  18 Apr 2026</t>
        </is>
      </c>
    </row>
    <row r="2" ht="18" customHeight="1">
      <c r="A2" s="119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20" t="inlineStr">
        <is>
          <t>⚠  HARD FLOOR GATE(S) TRIGGERED — COVERAGE GATE: EBIT/Interest 1.5x &lt; 2.0x  →  Overall score capped at 64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21" t="inlineStr">
        <is>
          <t>CRITERION</t>
        </is>
      </c>
      <c r="B6" s="122" t="inlineStr">
        <is>
          <t>PART</t>
        </is>
      </c>
      <c r="C6" s="122" t="inlineStr">
        <is>
          <t>WEIGHT %</t>
        </is>
      </c>
      <c r="D6" s="122" t="inlineStr">
        <is>
          <t>CALCULATED VALUE</t>
        </is>
      </c>
      <c r="E6" s="122" t="inlineStr">
        <is>
          <t>TIER  ▼</t>
        </is>
      </c>
      <c r="F6" s="122" t="inlineStr">
        <is>
          <t>SCORE</t>
        </is>
      </c>
      <c r="G6" s="122" t="inlineStr">
        <is>
          <t>WTD SCORE</t>
        </is>
      </c>
      <c r="H6" s="121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23" t="inlineStr">
        <is>
          <t xml:space="preserve">  Business Clarity</t>
        </is>
      </c>
      <c r="B8" s="124" t="inlineStr">
        <is>
          <t>P1</t>
        </is>
      </c>
      <c r="C8" s="125" t="n">
        <v>0.025</v>
      </c>
      <c r="D8" s="126" t="inlineStr">
        <is>
          <t>— user input required</t>
        </is>
      </c>
      <c r="E8" s="127" t="n"/>
      <c r="F8" s="128">
        <f>IF(E8="HIGH",10,IF(E8="MOD-HIGH",7,IF(E8="MOD-LOW",3,IF(E8="LOW",0,""))))</f>
        <v/>
      </c>
      <c r="G8" s="129">
        <f>IF(F8="","",C8*F8)</f>
        <v/>
      </c>
      <c r="H8" s="130" t="inlineStr"/>
    </row>
    <row r="9" ht="18" customHeight="1">
      <c r="A9" s="131" t="inlineStr">
        <is>
          <t xml:space="preserve">  Moat Profile</t>
        </is>
      </c>
      <c r="B9" s="132" t="inlineStr">
        <is>
          <t>P1</t>
        </is>
      </c>
      <c r="C9" s="133" t="n">
        <v>0.1</v>
      </c>
      <c r="D9" s="134" t="inlineStr">
        <is>
          <t>GM 68.7% ✓ (&gt;40%)  |  GM trend -17.5% ✗ (&gt;+1pp)  |  ROIC-WACC -22.2% ✗ (&gt;+5pp)  |  Rev consistency σ=17.5% ✗ (&lt;8%)  [1/4 indicators positive — proxy score]</t>
        </is>
      </c>
      <c r="E9" s="135" t="inlineStr">
        <is>
          <t>LOW</t>
        </is>
      </c>
      <c r="F9" s="136">
        <f>IF(E9="HIGH",10,IF(E9="MOD-HIGH",7,IF(E9="MOD-LOW",3,IF(E9="LOW",0,""))))</f>
        <v/>
      </c>
      <c r="G9" s="137">
        <f>IF(F9="","",C9*F9)</f>
        <v/>
      </c>
      <c r="H9" s="138" t="inlineStr">
        <is>
          <t>GM 68.7% ✓ (&gt;40%)  |  GM trend -17.5% ✗ (&gt;+1pp)  |  ROIC-WACC -22.2% ✗ (&gt;+5pp)  |  Rev consistency σ=17.5% ✗ (&lt;8%)  [1/4 indicators positive — proxy score]</t>
        </is>
      </c>
    </row>
    <row r="10" ht="18" customHeight="1">
      <c r="A10" s="123" t="inlineStr">
        <is>
          <t xml:space="preserve">  Long-Term Potential</t>
        </is>
      </c>
      <c r="B10" s="124" t="inlineStr">
        <is>
          <t>P1</t>
        </is>
      </c>
      <c r="C10" s="125" t="n">
        <v>0.1</v>
      </c>
      <c r="D10" s="126" t="inlineStr">
        <is>
          <t>— user input required</t>
        </is>
      </c>
      <c r="E10" s="127" t="n"/>
      <c r="F10" s="128">
        <f>IF(E10="HIGH",10,IF(E10="MOD-HIGH",7,IF(E10="MOD-LOW",3,IF(E10="LOW",0,""))))</f>
        <v/>
      </c>
      <c r="G10" s="129">
        <f>IF(F10="","",C10*F10)</f>
        <v/>
      </c>
      <c r="H10" s="130" t="inlineStr"/>
    </row>
    <row r="11" ht="18" customHeight="1">
      <c r="A11" s="131" t="inlineStr">
        <is>
          <t xml:space="preserve">  Management</t>
        </is>
      </c>
      <c r="B11" s="132" t="inlineStr">
        <is>
          <t>P1</t>
        </is>
      </c>
      <c r="C11" s="133" t="n">
        <v>0.075</v>
      </c>
      <c r="D11" s="134" t="inlineStr">
        <is>
          <t>ROIC trend +17.6% ✓ (≥-2pp)  |  GM maintained -17.5% ✗  |  Op margin +17.2% ✓ (≥-2pp)  |  Capital returns MOD-LOW ✗  [2/4 indicators positive — proxy score]</t>
        </is>
      </c>
      <c r="E11" s="139" t="inlineStr">
        <is>
          <t>MOD-LOW</t>
        </is>
      </c>
      <c r="F11" s="136">
        <f>IF(E11="HIGH",10,IF(E11="MOD-HIGH",7,IF(E11="MOD-LOW",3,IF(E11="LOW",0,""))))</f>
        <v/>
      </c>
      <c r="G11" s="137">
        <f>IF(F11="","",C11*F11)</f>
        <v/>
      </c>
      <c r="H11" s="138" t="inlineStr">
        <is>
          <t>ROIC trend +17.6% ✓ (≥-2pp)  |  GM maintained -17.5% ✗  |  Op margin +17.2% ✓ (≥-2pp)  |  Capital returns MOD-LOW ✗  [2/4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31" t="inlineStr">
        <is>
          <t xml:space="preserve">  Revenue 3yr CAGR</t>
        </is>
      </c>
      <c r="B13" s="132" t="inlineStr">
        <is>
          <t>P2</t>
        </is>
      </c>
      <c r="C13" s="133" t="n">
        <v>0.1</v>
      </c>
      <c r="D13" s="134" t="inlineStr">
        <is>
          <t>39.3%</t>
        </is>
      </c>
      <c r="E13" s="140" t="inlineStr">
        <is>
          <t>HIGH</t>
        </is>
      </c>
      <c r="F13" s="136">
        <f>IF(E13="HIGH",10,IF(E13="MOD-HIGH",7,IF(E13="MOD-LOW",3,IF(E13="LOW",0,""))))</f>
        <v/>
      </c>
      <c r="G13" s="137">
        <f>IF(F13="","",C13*F13)</f>
        <v/>
      </c>
      <c r="H13" s="138" t="inlineStr">
        <is>
          <t>39.3%</t>
        </is>
      </c>
    </row>
    <row r="14" ht="18" customHeight="1">
      <c r="A14" s="131" t="inlineStr">
        <is>
          <t xml:space="preserve">  Cash Quality  (FCF / Net Income)</t>
        </is>
      </c>
      <c r="B14" s="132" t="inlineStr">
        <is>
          <t>P2</t>
        </is>
      </c>
      <c r="C14" s="133" t="n">
        <v>0.1</v>
      </c>
      <c r="D14" s="134" t="inlineStr">
        <is>
          <t>-828%  [trend penalty: declined &gt;15pp vs 3yr ago]</t>
        </is>
      </c>
      <c r="E14" s="141" t="inlineStr">
        <is>
          <t>MOD-HIGH</t>
        </is>
      </c>
      <c r="F14" s="136">
        <f>IF(E14="HIGH",10,IF(E14="MOD-HIGH",7,IF(E14="MOD-LOW",3,IF(E14="LOW",0,""))))</f>
        <v/>
      </c>
      <c r="G14" s="137">
        <f>IF(F14="","",C14*F14)</f>
        <v/>
      </c>
      <c r="H14" s="138" t="inlineStr">
        <is>
          <t>-828%  [trend penalty: declined &gt;15pp vs 3yr ago]</t>
        </is>
      </c>
    </row>
    <row r="15" ht="18" customHeight="1">
      <c r="A15" s="131" t="inlineStr">
        <is>
          <t xml:space="preserve">  Capital Returns</t>
        </is>
      </c>
      <c r="B15" s="132" t="inlineStr">
        <is>
          <t>P2</t>
        </is>
      </c>
      <c r="C15" s="133" t="n">
        <v>0.05</v>
      </c>
      <c r="D15" s="134" t="inlineStr">
        <is>
          <t>$65mm latest FY — only 2/5yr history</t>
        </is>
      </c>
      <c r="E15" s="139" t="inlineStr">
        <is>
          <t>MOD-LOW</t>
        </is>
      </c>
      <c r="F15" s="136">
        <f>IF(E15="HIGH",10,IF(E15="MOD-HIGH",7,IF(E15="MOD-LOW",3,IF(E15="LOW",0,""))))</f>
        <v/>
      </c>
      <c r="G15" s="137">
        <f>IF(F15="","",C15*F15)</f>
        <v/>
      </c>
      <c r="H15" s="138" t="inlineStr">
        <is>
          <t>$65mm latest FY — only 2/5yr history</t>
        </is>
      </c>
    </row>
    <row r="16" ht="18" customHeight="1">
      <c r="A16" s="131" t="inlineStr">
        <is>
          <t xml:space="preserve">  ROIC</t>
        </is>
      </c>
      <c r="B16" s="132" t="inlineStr">
        <is>
          <t>P2</t>
        </is>
      </c>
      <c r="C16" s="133" t="n">
        <v>0.075</v>
      </c>
      <c r="D16" s="134" t="inlineStr">
        <is>
          <t>20.9%</t>
        </is>
      </c>
      <c r="E16" s="141" t="inlineStr">
        <is>
          <t>MOD-HIGH</t>
        </is>
      </c>
      <c r="F16" s="136">
        <f>IF(E16="HIGH",10,IF(E16="MOD-HIGH",7,IF(E16="MOD-LOW",3,IF(E16="LOW",0,""))))</f>
        <v/>
      </c>
      <c r="G16" s="137">
        <f>IF(F16="","",C16*F16)</f>
        <v/>
      </c>
      <c r="H16" s="138" t="inlineStr">
        <is>
          <t>20.9%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31" t="inlineStr">
        <is>
          <t xml:space="preserve">  Credit Risk  (D / EBITDA)</t>
        </is>
      </c>
      <c r="B18" s="132" t="inlineStr">
        <is>
          <t>P3</t>
        </is>
      </c>
      <c r="C18" s="133" t="n">
        <v>0.05</v>
      </c>
      <c r="D18" s="134" t="inlineStr">
        <is>
          <t>Net cash $3,114mm — no net leverage</t>
        </is>
      </c>
      <c r="E18" s="140" t="inlineStr">
        <is>
          <t>HIGH</t>
        </is>
      </c>
      <c r="F18" s="136">
        <f>IF(E18="HIGH",10,IF(E18="MOD-HIGH",7,IF(E18="MOD-LOW",3,IF(E18="LOW",0,""))))</f>
        <v/>
      </c>
      <c r="G18" s="137">
        <f>IF(F18="","",C18*F18)</f>
        <v/>
      </c>
      <c r="H18" s="138" t="inlineStr">
        <is>
          <t>Net cash $3,114mm — no net leverage</t>
        </is>
      </c>
    </row>
    <row r="19" ht="18" customHeight="1">
      <c r="A19" s="131" t="inlineStr">
        <is>
          <t xml:space="preserve">  Interest Cover  (EBIT / Interest)</t>
        </is>
      </c>
      <c r="B19" s="132" t="inlineStr">
        <is>
          <t>P3</t>
        </is>
      </c>
      <c r="C19" s="133" t="n">
        <v>0.075</v>
      </c>
      <c r="D19" s="134" t="inlineStr">
        <is>
          <t>1.5x</t>
        </is>
      </c>
      <c r="E19" s="135" t="inlineStr">
        <is>
          <t>LOW</t>
        </is>
      </c>
      <c r="F19" s="136">
        <f>IF(E19="HIGH",10,IF(E19="MOD-HIGH",7,IF(E19="MOD-LOW",3,IF(E19="LOW",0,""))))</f>
        <v/>
      </c>
      <c r="G19" s="137">
        <f>IF(F19="","",C19*F19)</f>
        <v/>
      </c>
      <c r="H19" s="138" t="inlineStr">
        <is>
          <t>1.5x</t>
        </is>
      </c>
    </row>
    <row r="20" ht="18" customHeight="1">
      <c r="A20" s="131" t="inlineStr">
        <is>
          <t xml:space="preserve">  Execution Risk</t>
        </is>
      </c>
      <c r="B20" s="132" t="inlineStr">
        <is>
          <t>P3</t>
        </is>
      </c>
      <c r="C20" s="133" t="n">
        <v>0.05</v>
      </c>
      <c r="D20" s="134" t="inlineStr">
        <is>
          <t>Rev growth σ=17.5%  |  Op margin σ=14.6%  [proxy — lower σ = lower risk = higher score]</t>
        </is>
      </c>
      <c r="E20" s="135" t="inlineStr">
        <is>
          <t>LOW</t>
        </is>
      </c>
      <c r="F20" s="136">
        <f>IF(E20="HIGH",10,IF(E20="MOD-HIGH",7,IF(E20="MOD-LOW",3,IF(E20="LOW",0,""))))</f>
        <v/>
      </c>
      <c r="G20" s="137">
        <f>IF(F20="","",C20*F20)</f>
        <v/>
      </c>
      <c r="H20" s="138" t="inlineStr">
        <is>
          <t>Rev growth σ=17.5%  |  Op margin σ=14.6%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31" t="inlineStr">
        <is>
          <t xml:space="preserve">  Valuation vs Median  (P/E)</t>
        </is>
      </c>
      <c r="B22" s="132" t="inlineStr">
        <is>
          <t>P4</t>
        </is>
      </c>
      <c r="C22" s="133" t="n">
        <v>0.1</v>
      </c>
      <c r="D22" s="134" t="inlineStr">
        <is>
          <t>Current 62.6x  |  5yr avg 47.5x  [+32% vs benchmark]</t>
        </is>
      </c>
      <c r="E22" s="135" t="inlineStr">
        <is>
          <t>LOW</t>
        </is>
      </c>
      <c r="F22" s="136">
        <f>IF(E22="HIGH",10,IF(E22="MOD-HIGH",7,IF(E22="MOD-LOW",3,IF(E22="LOW",0,""))))</f>
        <v/>
      </c>
      <c r="G22" s="137">
        <f>IF(F22="","",C22*F22)</f>
        <v/>
      </c>
      <c r="H22" s="138" t="inlineStr">
        <is>
          <t>Current 62.6x  |  5yr avg 47.5x  [+32% vs benchmark]</t>
        </is>
      </c>
    </row>
    <row r="23" ht="18" customHeight="1">
      <c r="A23" s="123" t="inlineStr">
        <is>
          <t xml:space="preserve">  Valuation vs Median  (P/FCF)</t>
        </is>
      </c>
      <c r="B23" s="124" t="inlineStr">
        <is>
          <t>P4</t>
        </is>
      </c>
      <c r="C23" s="125" t="n">
        <v>0.1</v>
      </c>
      <c r="D23" s="126" t="inlineStr">
        <is>
          <t>— user input required</t>
        </is>
      </c>
      <c r="E23" s="127" t="n"/>
      <c r="F23" s="128">
        <f>IF(E23="HIGH",10,IF(E23="MOD-HIGH",7,IF(E23="MOD-LOW",3,IF(E23="LOW",0,""))))</f>
        <v/>
      </c>
      <c r="G23" s="129">
        <f>IF(F23="","",C23*F23)</f>
        <v/>
      </c>
      <c r="H23" s="130" t="inlineStr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42" t="inlineStr">
        <is>
          <t>TOTAL SCORE  (max = 100.0)</t>
        </is>
      </c>
      <c r="B25" s="143" t="n"/>
      <c r="C25" s="143" t="n"/>
      <c r="D25" s="143" t="n"/>
      <c r="E25" s="143" t="n"/>
      <c r="F25" s="143" t="n"/>
      <c r="G25" s="144">
        <f>G8+G9+G10+G11+G13+G14+G15+G16+G18+G19+G20+G22+G23</f>
        <v/>
      </c>
      <c r="H25" s="145" t="inlineStr">
        <is>
          <t>Floor cap 64 applies — see gate warning above.</t>
        </is>
      </c>
    </row>
    <row r="26" ht="18" customHeight="1">
      <c r="A26" s="146" t="inlineStr">
        <is>
          <t>FLOOR-ADJUSTED SCORE  (capped at 64)</t>
        </is>
      </c>
      <c r="B26" s="147" t="n"/>
      <c r="C26" s="147" t="n"/>
      <c r="D26" s="147" t="n"/>
      <c r="E26" s="147" t="n"/>
      <c r="F26" s="147" t="n"/>
      <c r="G26" s="148">
        <f>MIN(G25,64)</f>
        <v/>
      </c>
      <c r="H26" s="147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</row>
    <row r="28" ht="24" customHeight="1">
      <c r="A28" s="149">
        <f>IF(G26="","Score incomplete — fill qualitative tiers above",IF(G26&gt;=80,"STRONG BUY",IF(G26&gt;=65,"BUY",IF(G26&gt;=50,"HOLD",IF(G26&gt;=35,"REDUCE","SELL")))))</f>
        <v/>
      </c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</row>
    <row r="30" ht="18" customHeight="1">
      <c r="A30" s="150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2026-04-18T04:39:45Z</dcterms:created>
  <dcterms:modified xsi:type="dcterms:W3CDTF">2026-04-18T04:39:50Z</dcterms:modified>
</cp:coreProperties>
</file>