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999999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D4E6F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indent="1"/>
    </xf>
    <xf numFmtId="49" fontId="16" fillId="14" borderId="1" applyAlignment="1" pivotButton="0" quotePrefix="0" xfId="0">
      <alignment horizontal="right" vertical="center"/>
    </xf>
    <xf numFmtId="165" fontId="16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wrapText="1" indent="1"/>
    </xf>
    <xf numFmtId="0" fontId="3" fillId="15" borderId="1" applyAlignment="1" pivotButton="0" quotePrefix="0" xfId="0">
      <alignment horizontal="left" vertical="center" indent="1"/>
    </xf>
    <xf numFmtId="164" fontId="7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wrapText="1" indent="1"/>
    </xf>
    <xf numFmtId="0" fontId="18" fillId="5" borderId="1" applyAlignment="1" pivotButton="0" quotePrefix="0" xfId="0">
      <alignment horizontal="left" vertical="center" indent="2"/>
    </xf>
    <xf numFmtId="0" fontId="19" fillId="5" borderId="1" applyAlignment="1" pivotButton="0" quotePrefix="0" xfId="0">
      <alignment horizontal="right" vertical="center"/>
    </xf>
    <xf numFmtId="0" fontId="19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3" fillId="14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5" fontId="18" fillId="5" borderId="1" applyAlignment="1" pivotButton="0" quotePrefix="0" xfId="0">
      <alignment horizontal="right" vertical="center"/>
    </xf>
    <xf numFmtId="171" fontId="20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1" fontId="5" fillId="13" borderId="1" applyAlignment="1" pivotButton="0" quotePrefix="0" xfId="0">
      <alignment horizontal="right" vertical="center"/>
    </xf>
    <xf numFmtId="173" fontId="5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1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3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5" borderId="1" applyAlignment="1" pivotButton="0" quotePrefix="0" xfId="0">
      <alignment horizontal="right" vertical="center"/>
    </xf>
    <xf numFmtId="167" fontId="21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3" fillId="16" borderId="0" applyAlignment="1" pivotButton="0" quotePrefix="0" xfId="0">
      <alignment horizontal="left" vertical="center" wrapText="1" indent="1"/>
    </xf>
    <xf numFmtId="0" fontId="24" fillId="7" borderId="1" applyAlignment="1" pivotButton="0" quotePrefix="0" xfId="0">
      <alignment horizontal="left" vertical="center" indent="1"/>
    </xf>
    <xf numFmtId="0" fontId="24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/>
    </xf>
    <xf numFmtId="168" fontId="6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7" fillId="18" borderId="1" applyAlignment="1" pivotButton="0" quotePrefix="0" xfId="0">
      <alignment horizontal="center" vertical="center"/>
    </xf>
    <xf numFmtId="176" fontId="3" fillId="13" borderId="1" applyAlignment="1" pivotButton="0" quotePrefix="0" xfId="0">
      <alignment horizontal="center" vertical="center"/>
    </xf>
    <xf numFmtId="176" fontId="6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SBUX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37184.4</v>
      </c>
    </row>
    <row r="8">
      <c r="A8" s="3" t="inlineStr">
        <is>
          <t>Gross Profit ($mm)</t>
        </is>
      </c>
      <c r="B8" s="7" t="n">
        <v>8981.5</v>
      </c>
    </row>
    <row r="9">
      <c r="A9" s="3" t="inlineStr">
        <is>
          <t>EBITDA ($mm)</t>
        </is>
      </c>
      <c r="B9" s="7" t="n">
        <v>5378.8</v>
      </c>
    </row>
    <row r="10">
      <c r="A10" s="3" t="inlineStr">
        <is>
          <t>EBIT ($mm)</t>
        </is>
      </c>
      <c r="B10" s="7" t="n">
        <v>3580.8</v>
      </c>
    </row>
    <row r="11">
      <c r="A11" s="3" t="inlineStr">
        <is>
          <t>Net Income ($mm)</t>
        </is>
      </c>
      <c r="B11" s="7" t="n">
        <v>1856.4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SBUX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29060.6</v>
      </c>
      <c r="C5" s="16" t="n">
        <v>32250.3</v>
      </c>
      <c r="D5" s="16" t="n">
        <v>35975.6</v>
      </c>
      <c r="E5" s="16" t="n">
        <v>36176.2</v>
      </c>
      <c r="F5" s="16" t="n">
        <v>37184.4</v>
      </c>
    </row>
    <row r="6">
      <c r="A6" s="17" t="inlineStr">
        <is>
          <t>(2)  Cost of Revenue (COGS)</t>
        </is>
      </c>
      <c r="B6" s="18" t="n">
        <v>20669.6</v>
      </c>
      <c r="C6" s="18" t="n">
        <v>23879.2</v>
      </c>
      <c r="D6" s="18" t="n">
        <v>26129.4</v>
      </c>
      <c r="E6" s="18" t="n">
        <v>26467.1</v>
      </c>
      <c r="F6" s="18" t="n">
        <v>28202.9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1932.6</v>
      </c>
      <c r="C9" s="18" t="n">
        <v>2032</v>
      </c>
      <c r="D9" s="18" t="n">
        <v>2441.3</v>
      </c>
      <c r="E9" s="18" t="n">
        <v>2523.3</v>
      </c>
      <c r="F9" s="18" t="n">
        <v>2617.2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3518.9</v>
      </c>
      <c r="C11" s="18" t="n">
        <v>3753.3</v>
      </c>
      <c r="D11" s="18" t="n">
        <v>3975.4</v>
      </c>
      <c r="E11" s="18" t="n">
        <v>4300.3</v>
      </c>
      <c r="F11" s="18" t="n">
        <v>5400.7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1524.1</v>
      </c>
      <c r="C14" s="18" t="n">
        <v>1529.4</v>
      </c>
      <c r="D14" s="18" t="n">
        <v>1450.3</v>
      </c>
      <c r="E14" s="18" t="n">
        <v>1592.4</v>
      </c>
      <c r="F14" s="18" t="n">
        <v>1684.7</v>
      </c>
    </row>
    <row r="15">
      <c r="A15" s="19" t="inlineStr">
        <is>
          <t>(8)  EBIT (Operating Income)</t>
        </is>
      </c>
      <c r="B15" s="24" t="n">
        <v>4872.1</v>
      </c>
      <c r="C15" s="24" t="n">
        <v>4617.8</v>
      </c>
      <c r="D15" s="24" t="n">
        <v>5870.8</v>
      </c>
      <c r="E15" s="24" t="n">
        <v>5408.8</v>
      </c>
      <c r="F15" s="24" t="n">
        <v>3580.8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469.8</v>
      </c>
      <c r="C17" s="18" t="n">
        <v>482.9</v>
      </c>
      <c r="D17" s="18" t="n">
        <v>550.1</v>
      </c>
      <c r="E17" s="18" t="n">
        <v>562</v>
      </c>
      <c r="F17" s="18" t="n">
        <v>542.6</v>
      </c>
    </row>
    <row r="18">
      <c r="A18" s="21" t="inlineStr">
        <is>
          <t xml:space="preserve">     Interest Income</t>
        </is>
      </c>
      <c r="B18" s="18" t="n">
        <v>90.09999999999999</v>
      </c>
      <c r="C18" s="18" t="n">
        <v>97</v>
      </c>
      <c r="D18" s="18" t="n">
        <v>81.2</v>
      </c>
      <c r="E18" s="18" t="n">
        <v>122.8</v>
      </c>
      <c r="F18" s="18" t="n">
        <v>113.3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5356.9</v>
      </c>
      <c r="C21" s="24" t="n">
        <v>4231.9</v>
      </c>
      <c r="D21" s="24" t="n">
        <v>5401.9</v>
      </c>
      <c r="E21" s="24" t="n">
        <v>4969.6</v>
      </c>
      <c r="F21" s="24" t="n">
        <v>3151.5</v>
      </c>
    </row>
    <row r="22">
      <c r="A22" s="17" t="inlineStr">
        <is>
          <t>(11) Income Tax Expense</t>
        </is>
      </c>
      <c r="B22" s="18" t="n">
        <v>1156.6</v>
      </c>
      <c r="C22" s="18" t="n">
        <v>948.5</v>
      </c>
      <c r="D22" s="18" t="n">
        <v>1277.2</v>
      </c>
      <c r="E22" s="18" t="n">
        <v>1207.3</v>
      </c>
      <c r="F22" s="18" t="n">
        <v>1294.8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4199.3</v>
      </c>
      <c r="C24" s="24" t="n">
        <v>3281.6</v>
      </c>
      <c r="D24" s="24" t="n">
        <v>4124.5</v>
      </c>
      <c r="E24" s="24" t="n">
        <v>3760.9</v>
      </c>
      <c r="F24" s="24" t="n">
        <v>1856.4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29060.6</v>
      </c>
      <c r="C30" s="16" t="n">
        <v>32250.3</v>
      </c>
      <c r="D30" s="16" t="n">
        <v>35975.6</v>
      </c>
      <c r="E30" s="16" t="n">
        <v>36176.2</v>
      </c>
      <c r="F30" s="16" t="n">
        <v>37184.4</v>
      </c>
    </row>
    <row r="31">
      <c r="A31" s="17" t="inlineStr">
        <is>
          <t>Cost of Revenue</t>
        </is>
      </c>
      <c r="B31" s="18" t="n">
        <v>20669.6</v>
      </c>
      <c r="C31" s="18" t="n">
        <v>23879.2</v>
      </c>
      <c r="D31" s="18" t="n">
        <v>26129.4</v>
      </c>
      <c r="E31" s="18" t="n">
        <v>26467.1</v>
      </c>
      <c r="F31" s="18" t="n">
        <v>28202.9</v>
      </c>
    </row>
    <row r="32">
      <c r="A32" s="26" t="inlineStr">
        <is>
          <t>Gross Profit</t>
        </is>
      </c>
      <c r="B32" s="27" t="n">
        <v>8391</v>
      </c>
      <c r="C32" s="27" t="n">
        <v>8371.1</v>
      </c>
      <c r="D32" s="27" t="n">
        <v>9846.200000000001</v>
      </c>
      <c r="E32" s="27" t="n">
        <v>9709.1</v>
      </c>
      <c r="F32" s="27" t="n">
        <v>8981.5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1932.6</v>
      </c>
      <c r="C35" s="18" t="n">
        <v>2032</v>
      </c>
      <c r="D35" s="18" t="n">
        <v>2441.3</v>
      </c>
      <c r="E35" s="18" t="n">
        <v>2523.3</v>
      </c>
      <c r="F35" s="18" t="n">
        <v>2617.2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1932.6</v>
      </c>
      <c r="C37" s="18" t="n">
        <v>2032</v>
      </c>
      <c r="D37" s="18" t="n">
        <v>2441.3</v>
      </c>
      <c r="E37" s="18" t="n">
        <v>2523.3</v>
      </c>
      <c r="F37" s="18" t="n">
        <v>2617.2</v>
      </c>
    </row>
    <row r="38">
      <c r="A38" s="17" t="inlineStr">
        <is>
          <t>Other Expenses</t>
        </is>
      </c>
      <c r="B38" s="18" t="n">
        <v>1586.3</v>
      </c>
      <c r="C38" s="18" t="n">
        <v>1721.3</v>
      </c>
      <c r="D38" s="18" t="n">
        <v>1534.1</v>
      </c>
      <c r="E38" s="18" t="n">
        <v>1777</v>
      </c>
      <c r="F38" s="18" t="n">
        <v>2783.5</v>
      </c>
    </row>
    <row r="39">
      <c r="A39" s="26" t="inlineStr">
        <is>
          <t>Total Operating Expenses</t>
        </is>
      </c>
      <c r="B39" s="27" t="n">
        <v>3518.9</v>
      </c>
      <c r="C39" s="27" t="n">
        <v>3753.3</v>
      </c>
      <c r="D39" s="27" t="n">
        <v>3975.4</v>
      </c>
      <c r="E39" s="27" t="n">
        <v>4300.3</v>
      </c>
      <c r="F39" s="27" t="n">
        <v>5400.7</v>
      </c>
    </row>
    <row r="40">
      <c r="A40" s="17" t="inlineStr">
        <is>
          <t>Cost &amp; Expenses (COGS + Opex)</t>
        </is>
      </c>
      <c r="B40" s="18" t="n">
        <v>24188.5</v>
      </c>
      <c r="C40" s="18" t="n">
        <v>27632.5</v>
      </c>
      <c r="D40" s="18" t="n">
        <v>30104.8</v>
      </c>
      <c r="E40" s="18" t="n">
        <v>30767.4</v>
      </c>
      <c r="F40" s="18" t="n">
        <v>33603.6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4872.1</v>
      </c>
      <c r="C42" s="16" t="n">
        <v>4617.8</v>
      </c>
      <c r="D42" s="16" t="n">
        <v>5870.8</v>
      </c>
      <c r="E42" s="16" t="n">
        <v>5408.8</v>
      </c>
      <c r="F42" s="16" t="n">
        <v>3580.8</v>
      </c>
    </row>
    <row r="43">
      <c r="A43" s="17" t="inlineStr">
        <is>
          <t>EBIT (FMP field)</t>
        </is>
      </c>
      <c r="B43" s="18" t="n">
        <v>5826.7</v>
      </c>
      <c r="C43" s="18" t="n">
        <v>4714.8</v>
      </c>
      <c r="D43" s="18" t="n">
        <v>5952</v>
      </c>
      <c r="E43" s="18" t="n">
        <v>5531.6</v>
      </c>
      <c r="F43" s="18" t="n">
        <v>3694.1</v>
      </c>
    </row>
    <row r="44">
      <c r="A44" s="26" t="inlineStr">
        <is>
          <t>EBITDA</t>
        </is>
      </c>
      <c r="B44" s="27" t="n">
        <v>7350.8</v>
      </c>
      <c r="C44" s="27" t="n">
        <v>6244.2</v>
      </c>
      <c r="D44" s="27" t="n">
        <v>7402.3</v>
      </c>
      <c r="E44" s="27" t="n">
        <v>7124</v>
      </c>
      <c r="F44" s="27" t="n">
        <v>5378.8</v>
      </c>
    </row>
    <row r="45">
      <c r="A45" s="17" t="inlineStr">
        <is>
          <t>Depreciation &amp; Amortisation</t>
        </is>
      </c>
      <c r="B45" s="18" t="n">
        <v>1524.1</v>
      </c>
      <c r="C45" s="18" t="n">
        <v>1529.4</v>
      </c>
      <c r="D45" s="18" t="n">
        <v>1450.3</v>
      </c>
      <c r="E45" s="18" t="n">
        <v>1592.4</v>
      </c>
      <c r="F45" s="18" t="n">
        <v>1684.7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90.09999999999999</v>
      </c>
      <c r="C47" s="18" t="n">
        <v>97</v>
      </c>
      <c r="D47" s="18" t="n">
        <v>81.2</v>
      </c>
      <c r="E47" s="18" t="n">
        <v>122.8</v>
      </c>
      <c r="F47" s="18" t="n">
        <v>113.3</v>
      </c>
    </row>
    <row r="48">
      <c r="A48" s="17" t="inlineStr">
        <is>
          <t>Interest Expense</t>
        </is>
      </c>
      <c r="B48" s="18" t="n">
        <v>469.8</v>
      </c>
      <c r="C48" s="18" t="n">
        <v>482.9</v>
      </c>
      <c r="D48" s="18" t="n">
        <v>550.1</v>
      </c>
      <c r="E48" s="18" t="n">
        <v>562</v>
      </c>
      <c r="F48" s="18" t="n">
        <v>542.6</v>
      </c>
    </row>
    <row r="49">
      <c r="A49" s="17" t="inlineStr">
        <is>
          <t>Net Interest Income</t>
        </is>
      </c>
      <c r="B49" s="18" t="n">
        <v>-379.7</v>
      </c>
      <c r="C49" s="18" t="n">
        <v>-385.9</v>
      </c>
      <c r="D49" s="18" t="n">
        <v>-468.9</v>
      </c>
      <c r="E49" s="18" t="n">
        <v>-439.2</v>
      </c>
      <c r="F49" s="18" t="n">
        <v>-429.3</v>
      </c>
    </row>
    <row r="50">
      <c r="A50" s="17" t="inlineStr">
        <is>
          <t>Non-Operating Income (ex-interest)</t>
        </is>
      </c>
      <c r="B50" s="18" t="n">
        <v>-954.6</v>
      </c>
      <c r="C50" s="18" t="n">
        <v>-97</v>
      </c>
      <c r="D50" s="18" t="n">
        <v>-81.2</v>
      </c>
      <c r="E50" s="18" t="n">
        <v>-122.8</v>
      </c>
      <c r="F50" s="18" t="n">
        <v>-113.3</v>
      </c>
    </row>
    <row r="51">
      <c r="A51" s="17" t="inlineStr">
        <is>
          <t>Total Other Income / (Expenses)</t>
        </is>
      </c>
      <c r="B51" s="18" t="n">
        <v>484.8</v>
      </c>
      <c r="C51" s="18" t="n">
        <v>-385.9</v>
      </c>
      <c r="D51" s="18" t="n">
        <v>-468.9</v>
      </c>
      <c r="E51" s="18" t="n">
        <v>-439.2</v>
      </c>
      <c r="F51" s="18" t="n">
        <v>-429.3</v>
      </c>
    </row>
    <row r="52">
      <c r="A52" s="26" t="inlineStr">
        <is>
          <t>EBT / Income Before Tax</t>
        </is>
      </c>
      <c r="B52" s="27" t="n">
        <v>5356.9</v>
      </c>
      <c r="C52" s="27" t="n">
        <v>4231.9</v>
      </c>
      <c r="D52" s="27" t="n">
        <v>5401.9</v>
      </c>
      <c r="E52" s="27" t="n">
        <v>4969.6</v>
      </c>
      <c r="F52" s="27" t="n">
        <v>3151.5</v>
      </c>
    </row>
    <row r="53">
      <c r="A53" s="17" t="inlineStr">
        <is>
          <t>Income Tax Expense</t>
        </is>
      </c>
      <c r="B53" s="18" t="n">
        <v>1156.6</v>
      </c>
      <c r="C53" s="18" t="n">
        <v>948.5</v>
      </c>
      <c r="D53" s="18" t="n">
        <v>1277.2</v>
      </c>
      <c r="E53" s="18" t="n">
        <v>1207.3</v>
      </c>
      <c r="F53" s="18" t="n">
        <v>1294.8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4200.3</v>
      </c>
      <c r="C55" s="18" t="n">
        <v>3283.4</v>
      </c>
      <c r="D55" s="18" t="n">
        <v>4124.7</v>
      </c>
      <c r="E55" s="18" t="n">
        <v>3762.3</v>
      </c>
      <c r="F55" s="18" t="n">
        <v>1856.7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4199.3</v>
      </c>
      <c r="C59" s="27" t="n">
        <v>3281.6</v>
      </c>
      <c r="D59" s="27" t="n">
        <v>4124.5</v>
      </c>
      <c r="E59" s="27" t="n">
        <v>3760.9</v>
      </c>
      <c r="F59" s="27" t="n">
        <v>1856.4</v>
      </c>
    </row>
    <row r="60">
      <c r="A60" s="15" t="inlineStr">
        <is>
          <t>Bottom Line Net Income</t>
        </is>
      </c>
      <c r="B60" s="16" t="n">
        <v>4199.3</v>
      </c>
      <c r="C60" s="16" t="n">
        <v>3281.6</v>
      </c>
      <c r="D60" s="16" t="n">
        <v>4124.5</v>
      </c>
      <c r="E60" s="16" t="n">
        <v>3760.9</v>
      </c>
      <c r="F60" s="16" t="n">
        <v>1856.4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3.57</v>
      </c>
      <c r="C62" s="18" t="n">
        <v>2.85</v>
      </c>
      <c r="D62" s="18" t="n">
        <v>3.6</v>
      </c>
      <c r="E62" s="18" t="n">
        <v>3.31</v>
      </c>
      <c r="F62" s="18" t="n">
        <v>1.63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1177.6</v>
      </c>
      <c r="C64" s="18" t="n">
        <v>1153.3</v>
      </c>
      <c r="D64" s="18" t="n">
        <v>1146.8</v>
      </c>
      <c r="E64" s="18" t="n">
        <v>1137.3</v>
      </c>
      <c r="F64" s="18" t="n">
        <v>1139.8</v>
      </c>
    </row>
    <row r="65">
      <c r="A65" s="17" t="inlineStr">
        <is>
          <t>Shares Outstanding — Diluted (mm)</t>
        </is>
      </c>
      <c r="B65" s="18" t="n">
        <v>1185.5</v>
      </c>
      <c r="C65" s="18" t="n">
        <v>1158.5</v>
      </c>
      <c r="D65" s="18" t="n">
        <v>1151.3</v>
      </c>
      <c r="E65" s="18" t="n">
        <v>1137.3</v>
      </c>
      <c r="F65" s="18" t="n">
        <v>1139.8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SBUX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6455.7</v>
      </c>
      <c r="C5" s="18" t="n">
        <v>2818.4</v>
      </c>
      <c r="D5" s="18" t="n">
        <v>3551.5</v>
      </c>
      <c r="E5" s="18" t="n">
        <v>3286.2</v>
      </c>
      <c r="F5" s="18" t="n">
        <v>3219.8</v>
      </c>
    </row>
    <row r="6">
      <c r="A6" s="17" t="inlineStr">
        <is>
          <t>(2)  Receivables</t>
        </is>
      </c>
      <c r="B6" s="18" t="n">
        <v>1133.1</v>
      </c>
      <c r="C6" s="18" t="n">
        <v>1175.5</v>
      </c>
      <c r="D6" s="18" t="n">
        <v>1184.1</v>
      </c>
      <c r="E6" s="18" t="n">
        <v>1213.8</v>
      </c>
      <c r="F6" s="18" t="n">
        <v>1277.5</v>
      </c>
    </row>
    <row r="7">
      <c r="A7" s="17" t="inlineStr">
        <is>
          <t>(3)  Inventory</t>
        </is>
      </c>
      <c r="B7" s="18" t="n">
        <v>1603.9</v>
      </c>
      <c r="C7" s="18" t="n">
        <v>2176.6</v>
      </c>
      <c r="D7" s="18" t="n">
        <v>1806.4</v>
      </c>
      <c r="E7" s="18" t="n">
        <v>1777.3</v>
      </c>
      <c r="F7" s="18" t="n">
        <v>2185.6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9756.4</v>
      </c>
      <c r="C9" s="24" t="n">
        <v>7018.7</v>
      </c>
      <c r="D9" s="24" t="n">
        <v>7303.4</v>
      </c>
      <c r="E9" s="24" t="n">
        <v>6847.4</v>
      </c>
      <c r="F9" s="24" t="n">
        <v>7382.3</v>
      </c>
    </row>
    <row r="10">
      <c r="A10" s="17" t="inlineStr">
        <is>
          <t>(6)  PP&amp;E (Net)</t>
        </is>
      </c>
      <c r="B10" s="18" t="n">
        <v>14605.5</v>
      </c>
      <c r="C10" s="18" t="n">
        <v>14576.1</v>
      </c>
      <c r="D10" s="18" t="n">
        <v>15799.7</v>
      </c>
      <c r="E10" s="18" t="n">
        <v>17951.7</v>
      </c>
      <c r="F10" s="18" t="n">
        <v>17809.2</v>
      </c>
    </row>
    <row r="11">
      <c r="A11" s="17" t="inlineStr">
        <is>
          <t>(7)  Goodwill</t>
        </is>
      </c>
      <c r="B11" s="18" t="n">
        <v>3677.3</v>
      </c>
      <c r="C11" s="18" t="n">
        <v>3283.5</v>
      </c>
      <c r="D11" s="18" t="n">
        <v>3218.3</v>
      </c>
      <c r="E11" s="18" t="n">
        <v>3315.7</v>
      </c>
      <c r="F11" s="18" t="n">
        <v>3368.9</v>
      </c>
    </row>
    <row r="12">
      <c r="A12" s="17" t="inlineStr">
        <is>
          <t>(8)  Deferred Tax Assets</t>
        </is>
      </c>
      <c r="B12" s="18" t="n">
        <v>1874.8</v>
      </c>
      <c r="C12" s="18" t="n">
        <v>1799.7</v>
      </c>
      <c r="D12" s="18" t="n">
        <v>1769.8</v>
      </c>
      <c r="E12" s="18" t="n">
        <v>1766.7</v>
      </c>
      <c r="F12" s="18" t="n">
        <v>1826.9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21636.2</v>
      </c>
      <c r="C14" s="24" t="n">
        <v>20959.7</v>
      </c>
      <c r="D14" s="24" t="n">
        <v>22142.1</v>
      </c>
      <c r="E14" s="24" t="n">
        <v>24491.9</v>
      </c>
      <c r="F14" s="24" t="n">
        <v>24637.4</v>
      </c>
    </row>
    <row r="15">
      <c r="A15" s="19" t="inlineStr">
        <is>
          <t>(11) Total Assets</t>
        </is>
      </c>
      <c r="B15" s="24" t="n">
        <v>31392.6</v>
      </c>
      <c r="C15" s="24" t="n">
        <v>27978.4</v>
      </c>
      <c r="D15" s="24" t="n">
        <v>29445.5</v>
      </c>
      <c r="E15" s="24" t="n">
        <v>31339.3</v>
      </c>
      <c r="F15" s="24" t="n">
        <v>32019.7</v>
      </c>
    </row>
    <row r="16" ht="6" customHeight="1"/>
    <row r="17">
      <c r="A17" s="17" t="inlineStr">
        <is>
          <t>(12) Accounts Payable</t>
        </is>
      </c>
      <c r="B17" s="18" t="n">
        <v>1211.6</v>
      </c>
      <c r="C17" s="18" t="n">
        <v>1441.4</v>
      </c>
      <c r="D17" s="18" t="n">
        <v>1544.3</v>
      </c>
      <c r="E17" s="18" t="n">
        <v>1595.5</v>
      </c>
      <c r="F17" s="18" t="n">
        <v>1852.8</v>
      </c>
    </row>
    <row r="18">
      <c r="A18" s="17" t="inlineStr">
        <is>
          <t>(13) Short-Term Borrowings</t>
        </is>
      </c>
      <c r="B18" s="18" t="n">
        <v>998.9</v>
      </c>
      <c r="C18" s="18" t="n">
        <v>1924</v>
      </c>
      <c r="D18" s="18" t="n">
        <v>1852.1</v>
      </c>
      <c r="E18" s="18" t="n">
        <v>1248.9</v>
      </c>
      <c r="F18" s="18" t="n">
        <v>1498.9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8151.4</v>
      </c>
      <c r="C21" s="24" t="n">
        <v>9151.799999999999</v>
      </c>
      <c r="D21" s="24" t="n">
        <v>9345.299999999999</v>
      </c>
      <c r="E21" s="24" t="n">
        <v>9070</v>
      </c>
      <c r="F21" s="24" t="n">
        <v>10210.4</v>
      </c>
    </row>
    <row r="22">
      <c r="A22" s="17" t="inlineStr">
        <is>
          <t>(17) Long-Term Debt</t>
        </is>
      </c>
      <c r="B22" s="18" t="n">
        <v>13616.9</v>
      </c>
      <c r="C22" s="18" t="n">
        <v>13119.9</v>
      </c>
      <c r="D22" s="18" t="n">
        <v>13547.6</v>
      </c>
      <c r="E22" s="18" t="n">
        <v>14319.5</v>
      </c>
      <c r="F22" s="18" t="n">
        <v>14575.9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36707.1</v>
      </c>
      <c r="C25" s="24" t="n">
        <v>36677.1</v>
      </c>
      <c r="D25" s="24" t="n">
        <v>37433.3</v>
      </c>
      <c r="E25" s="24" t="n">
        <v>38780.9</v>
      </c>
      <c r="F25" s="24" t="n">
        <v>40108.9</v>
      </c>
    </row>
    <row r="26" ht="6" customHeight="1"/>
    <row r="27">
      <c r="A27" s="17" t="inlineStr">
        <is>
          <t>(21) Common Stock &amp; APIC</t>
        </is>
      </c>
      <c r="B27" s="18" t="n">
        <v>1.2</v>
      </c>
      <c r="C27" s="18" t="n">
        <v>1.1</v>
      </c>
      <c r="D27" s="18" t="n">
        <v>1.1</v>
      </c>
      <c r="E27" s="18" t="n">
        <v>1.1</v>
      </c>
      <c r="F27" s="18" t="n">
        <v>1.1</v>
      </c>
    </row>
    <row r="28">
      <c r="A28" s="17" t="inlineStr">
        <is>
          <t>(22) Retained Earnings</t>
        </is>
      </c>
      <c r="B28" s="18" t="n">
        <v>-6315.7</v>
      </c>
      <c r="C28" s="18" t="n">
        <v>-8449.799999999999</v>
      </c>
      <c r="D28" s="18" t="n">
        <v>-7255.8</v>
      </c>
      <c r="E28" s="18" t="n">
        <v>-7343.8</v>
      </c>
      <c r="F28" s="18" t="n">
        <v>-8272.5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-5321.2</v>
      </c>
      <c r="C30" s="24" t="n">
        <v>-8706.6</v>
      </c>
      <c r="D30" s="24" t="n">
        <v>-7994.8</v>
      </c>
      <c r="E30" s="24" t="n">
        <v>-7448.9</v>
      </c>
      <c r="F30" s="24" t="n">
        <v>-8096.6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6455.7</v>
      </c>
      <c r="C36" s="18" t="n">
        <v>2818.4</v>
      </c>
      <c r="D36" s="18" t="n">
        <v>3551.5</v>
      </c>
      <c r="E36" s="18" t="n">
        <v>3286.2</v>
      </c>
      <c r="F36" s="18" t="n">
        <v>3219.8</v>
      </c>
    </row>
    <row r="37">
      <c r="A37" s="17" t="inlineStr">
        <is>
          <t>Short-Term Investments</t>
        </is>
      </c>
      <c r="B37" s="18" t="n">
        <v>162.2</v>
      </c>
      <c r="C37" s="18" t="n">
        <v>364.5</v>
      </c>
      <c r="D37" s="18" t="n">
        <v>401.5</v>
      </c>
      <c r="E37" s="18" t="n">
        <v>257</v>
      </c>
      <c r="F37" s="18" t="n">
        <v>247.2</v>
      </c>
    </row>
    <row r="38">
      <c r="A38" s="28" t="inlineStr">
        <is>
          <t>Cash &amp; Short-Term Investments</t>
        </is>
      </c>
      <c r="B38" s="29" t="n">
        <v>6617.9</v>
      </c>
      <c r="C38" s="29" t="n">
        <v>3182.9</v>
      </c>
      <c r="D38" s="29" t="n">
        <v>3953</v>
      </c>
      <c r="E38" s="29" t="n">
        <v>3543.2</v>
      </c>
      <c r="F38" s="29" t="n">
        <v>3467</v>
      </c>
    </row>
    <row r="39">
      <c r="A39" s="17" t="inlineStr">
        <is>
          <t>Accounts Receivable (Trade)</t>
        </is>
      </c>
      <c r="B39" s="18" t="n">
        <v>940</v>
      </c>
      <c r="C39" s="18" t="n">
        <v>1175.5</v>
      </c>
      <c r="D39" s="18" t="n">
        <v>1184.1</v>
      </c>
      <c r="E39" s="18" t="n">
        <v>1213.8</v>
      </c>
      <c r="F39" s="18" t="n">
        <v>1277.5</v>
      </c>
    </row>
    <row r="40">
      <c r="A40" s="17" t="inlineStr">
        <is>
          <t>Other Receivables</t>
        </is>
      </c>
      <c r="B40" s="18" t="n">
        <v>193.1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1133.1</v>
      </c>
      <c r="C41" s="29" t="n">
        <v>1175.5</v>
      </c>
      <c r="D41" s="29" t="n">
        <v>1184.1</v>
      </c>
      <c r="E41" s="29" t="n">
        <v>1213.8</v>
      </c>
      <c r="F41" s="29" t="n">
        <v>1277.5</v>
      </c>
    </row>
    <row r="42">
      <c r="A42" s="17" t="inlineStr">
        <is>
          <t>Inventory</t>
        </is>
      </c>
      <c r="B42" s="18" t="n">
        <v>1603.9</v>
      </c>
      <c r="C42" s="18" t="n">
        <v>2176.6</v>
      </c>
      <c r="D42" s="18" t="n">
        <v>1806.4</v>
      </c>
      <c r="E42" s="18" t="n">
        <v>1777.3</v>
      </c>
      <c r="F42" s="18" t="n">
        <v>2185.6</v>
      </c>
    </row>
    <row r="43">
      <c r="A43" s="17" t="inlineStr">
        <is>
          <t>Prepaids</t>
        </is>
      </c>
      <c r="B43" s="18" t="n">
        <v>401.5</v>
      </c>
      <c r="C43" s="18" t="n">
        <v>386.6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97.09999999999999</v>
      </c>
      <c r="D44" s="18" t="n">
        <v>359.9</v>
      </c>
      <c r="E44" s="18" t="n">
        <v>313.1</v>
      </c>
      <c r="F44" s="18" t="n">
        <v>452.2</v>
      </c>
    </row>
    <row r="45">
      <c r="A45" s="26" t="inlineStr">
        <is>
          <t>Total Current Assets</t>
        </is>
      </c>
      <c r="B45" s="27" t="n">
        <v>9756.4</v>
      </c>
      <c r="C45" s="27" t="n">
        <v>7018.7</v>
      </c>
      <c r="D45" s="27" t="n">
        <v>7303.4</v>
      </c>
      <c r="E45" s="27" t="n">
        <v>6847.4</v>
      </c>
      <c r="F45" s="27" t="n">
        <v>7382.3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14605.5</v>
      </c>
      <c r="C47" s="18" t="n">
        <v>14576.1</v>
      </c>
      <c r="D47" s="18" t="n">
        <v>15799.7</v>
      </c>
      <c r="E47" s="18" t="n">
        <v>17951.7</v>
      </c>
      <c r="F47" s="18" t="n">
        <v>17809.2</v>
      </c>
    </row>
    <row r="48">
      <c r="A48" s="17" t="inlineStr">
        <is>
          <t>Goodwill</t>
        </is>
      </c>
      <c r="B48" s="18" t="n">
        <v>3677.3</v>
      </c>
      <c r="C48" s="18" t="n">
        <v>3283.5</v>
      </c>
      <c r="D48" s="18" t="n">
        <v>3218.3</v>
      </c>
      <c r="E48" s="18" t="n">
        <v>3315.7</v>
      </c>
      <c r="F48" s="18" t="n">
        <v>3368.9</v>
      </c>
    </row>
    <row r="49">
      <c r="A49" s="17" t="inlineStr">
        <is>
          <t>Intangible Assets</t>
        </is>
      </c>
      <c r="B49" s="18" t="n">
        <v>349.9</v>
      </c>
      <c r="C49" s="18" t="n">
        <v>155.9</v>
      </c>
      <c r="D49" s="18" t="n">
        <v>120.5</v>
      </c>
      <c r="E49" s="18" t="n">
        <v>100.9</v>
      </c>
      <c r="F49" s="18" t="n">
        <v>166.8</v>
      </c>
    </row>
    <row r="50">
      <c r="A50" s="17" t="inlineStr">
        <is>
          <t>Long-Term Investments</t>
        </is>
      </c>
      <c r="B50" s="18" t="n">
        <v>550.2</v>
      </c>
      <c r="C50" s="18" t="n">
        <v>590.3</v>
      </c>
      <c r="D50" s="18" t="n">
        <v>687.3</v>
      </c>
      <c r="E50" s="18" t="n">
        <v>739.9</v>
      </c>
      <c r="F50" s="18" t="n">
        <v>713.1</v>
      </c>
    </row>
    <row r="51">
      <c r="A51" s="17" t="inlineStr">
        <is>
          <t>Tax Assets (Deferred)</t>
        </is>
      </c>
      <c r="B51" s="18" t="n">
        <v>1874.8</v>
      </c>
      <c r="C51" s="18" t="n">
        <v>1799.7</v>
      </c>
      <c r="D51" s="18" t="n">
        <v>1769.8</v>
      </c>
      <c r="E51" s="18" t="n">
        <v>1766.7</v>
      </c>
      <c r="F51" s="18" t="n">
        <v>1826.9</v>
      </c>
    </row>
    <row r="52">
      <c r="A52" s="17" t="inlineStr">
        <is>
          <t>Total Investments</t>
        </is>
      </c>
      <c r="B52" s="18" t="n">
        <v>712.4</v>
      </c>
      <c r="C52" s="18" t="n">
        <v>954.8</v>
      </c>
      <c r="D52" s="18" t="n">
        <v>1088.8</v>
      </c>
      <c r="E52" s="18" t="n">
        <v>996.9</v>
      </c>
      <c r="F52" s="18" t="n">
        <v>960.3</v>
      </c>
    </row>
    <row r="53">
      <c r="A53" s="17" t="inlineStr">
        <is>
          <t>Other Non-Current Assets</t>
        </is>
      </c>
      <c r="B53" s="18" t="n">
        <v>578.5</v>
      </c>
      <c r="C53" s="18" t="n">
        <v>554.2</v>
      </c>
      <c r="D53" s="18" t="n">
        <v>546.5</v>
      </c>
      <c r="E53" s="18" t="n">
        <v>617</v>
      </c>
      <c r="F53" s="18" t="n">
        <v>752.5</v>
      </c>
    </row>
    <row r="54">
      <c r="A54" s="26" t="inlineStr">
        <is>
          <t>Total Non-Current Assets</t>
        </is>
      </c>
      <c r="B54" s="27" t="n">
        <v>21636.2</v>
      </c>
      <c r="C54" s="27" t="n">
        <v>20959.7</v>
      </c>
      <c r="D54" s="27" t="n">
        <v>22142.1</v>
      </c>
      <c r="E54" s="27" t="n">
        <v>24491.9</v>
      </c>
      <c r="F54" s="27" t="n">
        <v>24637.4</v>
      </c>
    </row>
    <row r="55">
      <c r="A55" s="13" t="inlineStr">
        <is>
          <t>TOTAL ASSETS</t>
        </is>
      </c>
      <c r="B55" s="30" t="n">
        <v>31392.6</v>
      </c>
      <c r="C55" s="30" t="n">
        <v>27978.4</v>
      </c>
      <c r="D55" s="30" t="n">
        <v>29445.5</v>
      </c>
      <c r="E55" s="30" t="n">
        <v>31339.3</v>
      </c>
      <c r="F55" s="30" t="n">
        <v>32019.7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1211.6</v>
      </c>
      <c r="C57" s="18" t="n">
        <v>1441.4</v>
      </c>
      <c r="D57" s="18" t="n">
        <v>1544.3</v>
      </c>
      <c r="E57" s="18" t="n">
        <v>1595.5</v>
      </c>
      <c r="F57" s="18" t="n">
        <v>1852.8</v>
      </c>
    </row>
    <row r="58">
      <c r="A58" s="17" t="inlineStr">
        <is>
          <t>Short-Term Debt</t>
        </is>
      </c>
      <c r="B58" s="18" t="n">
        <v>998.9</v>
      </c>
      <c r="C58" s="18" t="n">
        <v>1924</v>
      </c>
      <c r="D58" s="18" t="n">
        <v>1852.1</v>
      </c>
      <c r="E58" s="18" t="n">
        <v>1248.9</v>
      </c>
      <c r="F58" s="18" t="n">
        <v>1498.9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1596.1</v>
      </c>
      <c r="C60" s="18" t="n">
        <v>1641.9</v>
      </c>
      <c r="D60" s="18" t="n">
        <v>1700.2</v>
      </c>
      <c r="E60" s="18" t="n">
        <v>1781.2</v>
      </c>
      <c r="F60" s="18" t="n">
        <v>1840.6</v>
      </c>
    </row>
    <row r="61">
      <c r="A61" s="17" t="inlineStr">
        <is>
          <t>Accrued &amp; Other Current Liabilities</t>
        </is>
      </c>
      <c r="B61" s="18" t="n">
        <v>807.4</v>
      </c>
      <c r="C61" s="18" t="n">
        <v>1291.8</v>
      </c>
      <c r="D61" s="18" t="n">
        <v>884.7</v>
      </c>
      <c r="E61" s="18" t="n">
        <v>1270.2</v>
      </c>
      <c r="F61" s="18" t="n">
        <v>2359.7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8151.4</v>
      </c>
      <c r="C63" s="27" t="n">
        <v>9151.799999999999</v>
      </c>
      <c r="D63" s="27" t="n">
        <v>9345.299999999999</v>
      </c>
      <c r="E63" s="27" t="n">
        <v>9070</v>
      </c>
      <c r="F63" s="27" t="n">
        <v>10210.4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13616.9</v>
      </c>
      <c r="C65" s="18" t="n">
        <v>13119.9</v>
      </c>
      <c r="D65" s="18" t="n">
        <v>13547.6</v>
      </c>
      <c r="E65" s="18" t="n">
        <v>14319.5</v>
      </c>
      <c r="F65" s="18" t="n">
        <v>14575.9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6463</v>
      </c>
      <c r="C67" s="18" t="n">
        <v>6279.7</v>
      </c>
      <c r="D67" s="18" t="n">
        <v>6101.8</v>
      </c>
      <c r="E67" s="18" t="n">
        <v>5963.6</v>
      </c>
      <c r="F67" s="18" t="n">
        <v>5772.6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14.6</v>
      </c>
      <c r="E68" s="18" t="n">
        <v>21.1</v>
      </c>
      <c r="F68" s="18" t="n">
        <v>0</v>
      </c>
    </row>
    <row r="69">
      <c r="A69" s="17" t="inlineStr">
        <is>
          <t>Other Non-Current Liabilities</t>
        </is>
      </c>
      <c r="B69" s="18" t="n">
        <v>737.8</v>
      </c>
      <c r="C69" s="18" t="n">
        <v>610.5</v>
      </c>
      <c r="D69" s="18" t="n">
        <v>499.2</v>
      </c>
      <c r="E69" s="18" t="n">
        <v>635.1</v>
      </c>
      <c r="F69" s="18" t="n">
        <v>577.8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36707.1</v>
      </c>
      <c r="C71" s="30" t="n">
        <v>36677.1</v>
      </c>
      <c r="D71" s="30" t="n">
        <v>37433.3</v>
      </c>
      <c r="E71" s="30" t="n">
        <v>38780.9</v>
      </c>
      <c r="F71" s="30" t="n">
        <v>40108.9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1.2</v>
      </c>
      <c r="C73" s="18" t="n">
        <v>1.1</v>
      </c>
      <c r="D73" s="18" t="n">
        <v>1.1</v>
      </c>
      <c r="E73" s="18" t="n">
        <v>1.1</v>
      </c>
      <c r="F73" s="18" t="n">
        <v>1.1</v>
      </c>
    </row>
    <row r="74">
      <c r="A74" s="17" t="inlineStr">
        <is>
          <t>Retained Earnings</t>
        </is>
      </c>
      <c r="B74" s="18" t="n">
        <v>-6315.7</v>
      </c>
      <c r="C74" s="18" t="n">
        <v>-8449.799999999999</v>
      </c>
      <c r="D74" s="18" t="n">
        <v>-7255.8</v>
      </c>
      <c r="E74" s="18" t="n">
        <v>-7343.8</v>
      </c>
      <c r="F74" s="18" t="n">
        <v>-8272.5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6.7</v>
      </c>
      <c r="C77" s="18" t="n">
        <v>7.9</v>
      </c>
      <c r="D77" s="18" t="n">
        <v>7</v>
      </c>
      <c r="E77" s="18" t="n">
        <v>7.3</v>
      </c>
      <c r="F77" s="18" t="n">
        <v>7.4</v>
      </c>
    </row>
    <row r="78">
      <c r="A78" s="26" t="inlineStr">
        <is>
          <t>Total Equity (inc. Minority)</t>
        </is>
      </c>
      <c r="B78" s="27" t="n">
        <v>-5314.5</v>
      </c>
      <c r="C78" s="27" t="n">
        <v>-8698.700000000001</v>
      </c>
      <c r="D78" s="27" t="n">
        <v>-7987.8</v>
      </c>
      <c r="E78" s="27" t="n">
        <v>-7441.6</v>
      </c>
      <c r="F78" s="27" t="n">
        <v>-8089.2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SBUX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5989.1</v>
      </c>
      <c r="C5" s="24" t="n">
        <v>4397.3</v>
      </c>
      <c r="D5" s="24" t="n">
        <v>6008.7</v>
      </c>
      <c r="E5" s="24" t="n">
        <v>6095.6</v>
      </c>
      <c r="F5" s="24" t="n">
        <v>4747.5</v>
      </c>
    </row>
    <row r="6">
      <c r="A6" s="17" t="inlineStr">
        <is>
          <t>(2)  Capital Expenditures</t>
        </is>
      </c>
      <c r="B6" s="18" t="n">
        <v>-1470</v>
      </c>
      <c r="C6" s="18" t="n">
        <v>-1841.3</v>
      </c>
      <c r="D6" s="18" t="n">
        <v>-2333.6</v>
      </c>
      <c r="E6" s="18" t="n">
        <v>-2777.5</v>
      </c>
      <c r="F6" s="18" t="n">
        <v>-2305.5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-1681.2</v>
      </c>
      <c r="C9" s="18" t="n">
        <v>673.1</v>
      </c>
      <c r="D9" s="18" t="n">
        <v>358.6</v>
      </c>
      <c r="E9" s="18" t="n">
        <v>136.5</v>
      </c>
      <c r="F9" s="18" t="n">
        <v>493.1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246.2</v>
      </c>
      <c r="C11" s="18" t="n">
        <v>101.6</v>
      </c>
      <c r="D11" s="18" t="n">
        <v>167.4</v>
      </c>
      <c r="E11" s="18" t="n">
        <v>108</v>
      </c>
      <c r="F11" s="18" t="n">
        <v>77</v>
      </c>
    </row>
    <row r="12">
      <c r="A12" s="17" t="inlineStr">
        <is>
          <t>(7)  Dividends Paid</t>
        </is>
      </c>
      <c r="B12" s="18" t="n">
        <v>-2119</v>
      </c>
      <c r="C12" s="18" t="n">
        <v>-2263.3</v>
      </c>
      <c r="D12" s="18" t="n">
        <v>-2431.8</v>
      </c>
      <c r="E12" s="18" t="n">
        <v>-2585</v>
      </c>
      <c r="F12" s="18" t="n">
        <v>-2771.4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4519.1</v>
      </c>
      <c r="C15" s="24" t="n">
        <v>2556</v>
      </c>
      <c r="D15" s="24" t="n">
        <v>3675.1</v>
      </c>
      <c r="E15" s="24" t="n">
        <v>3318.1</v>
      </c>
      <c r="F15" s="24" t="n">
        <v>2442</v>
      </c>
    </row>
    <row r="16">
      <c r="A16" s="15" t="inlineStr">
        <is>
          <t xml:space="preserve">     Net Change in Cash</t>
        </is>
      </c>
      <c r="B16" s="16" t="n">
        <v>2104.8</v>
      </c>
      <c r="C16" s="16" t="n">
        <v>-3637.3</v>
      </c>
      <c r="D16" s="16" t="n">
        <v>733.1</v>
      </c>
      <c r="E16" s="16" t="n">
        <v>-265.3</v>
      </c>
      <c r="F16" s="16" t="n">
        <v>-66.40000000000001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4200.3</v>
      </c>
      <c r="C21" s="18" t="n">
        <v>3283.4</v>
      </c>
      <c r="D21" s="18" t="n">
        <v>4124.7</v>
      </c>
      <c r="E21" s="18" t="n">
        <v>3762.3</v>
      </c>
      <c r="F21" s="18" t="n">
        <v>1856.7</v>
      </c>
    </row>
    <row r="22">
      <c r="A22" s="17" t="inlineStr">
        <is>
          <t>Depreciation &amp; Amortisation</t>
        </is>
      </c>
      <c r="B22" s="18" t="n">
        <v>1524.1</v>
      </c>
      <c r="C22" s="18" t="n">
        <v>1529.4</v>
      </c>
      <c r="D22" s="18" t="n">
        <v>1450.3</v>
      </c>
      <c r="E22" s="18" t="n">
        <v>1592.4</v>
      </c>
      <c r="F22" s="18" t="n">
        <v>2606.2</v>
      </c>
    </row>
    <row r="23">
      <c r="A23" s="17" t="inlineStr">
        <is>
          <t>Deferred Income Tax</t>
        </is>
      </c>
      <c r="B23" s="18" t="n">
        <v>-146.2</v>
      </c>
      <c r="C23" s="18" t="n">
        <v>-37.8</v>
      </c>
      <c r="D23" s="18" t="n">
        <v>-59.4</v>
      </c>
      <c r="E23" s="18" t="n">
        <v>-13.8</v>
      </c>
      <c r="F23" s="18" t="n">
        <v>-90.59999999999999</v>
      </c>
    </row>
    <row r="24">
      <c r="A24" s="17" t="inlineStr">
        <is>
          <t>Stock-Based Compensation</t>
        </is>
      </c>
      <c r="B24" s="18" t="n">
        <v>319.1</v>
      </c>
      <c r="C24" s="18" t="n">
        <v>271.5</v>
      </c>
      <c r="D24" s="18" t="n">
        <v>302.7</v>
      </c>
      <c r="E24" s="18" t="n">
        <v>308.3</v>
      </c>
      <c r="F24" s="18" t="n">
        <v>318.3</v>
      </c>
    </row>
    <row r="25">
      <c r="A25" s="17" t="inlineStr">
        <is>
          <t>Change in Working Capital</t>
        </is>
      </c>
      <c r="B25" s="18" t="n">
        <v>-501.2</v>
      </c>
      <c r="C25" s="18" t="n">
        <v>-2133</v>
      </c>
      <c r="D25" s="18" t="n">
        <v>-1133.4</v>
      </c>
      <c r="E25" s="18" t="n">
        <v>-1048.8</v>
      </c>
      <c r="F25" s="18" t="n">
        <v>-1494.4</v>
      </c>
    </row>
    <row r="26">
      <c r="A26" s="21" t="inlineStr">
        <is>
          <t xml:space="preserve">  — Accounts Receivable</t>
        </is>
      </c>
      <c r="B26" s="18" t="n">
        <v>-43</v>
      </c>
      <c r="C26" s="18" t="n">
        <v>-326.1</v>
      </c>
      <c r="D26" s="18" t="n">
        <v>-4.1</v>
      </c>
      <c r="E26" s="18" t="n">
        <v>18.4</v>
      </c>
      <c r="F26" s="18" t="n">
        <v>-89.7</v>
      </c>
    </row>
    <row r="27">
      <c r="A27" s="21" t="inlineStr">
        <is>
          <t xml:space="preserve">  — Inventory</t>
        </is>
      </c>
      <c r="B27" s="18" t="n">
        <v>-49.8</v>
      </c>
      <c r="C27" s="18" t="n">
        <v>-641</v>
      </c>
      <c r="D27" s="18" t="n">
        <v>366.4</v>
      </c>
      <c r="E27" s="18" t="n">
        <v>42.8</v>
      </c>
      <c r="F27" s="18" t="n">
        <v>-408.4</v>
      </c>
    </row>
    <row r="28">
      <c r="A28" s="21" t="inlineStr">
        <is>
          <t xml:space="preserve">  — Accounts Payable</t>
        </is>
      </c>
      <c r="B28" s="18" t="n">
        <v>189.9</v>
      </c>
      <c r="C28" s="18" t="n">
        <v>345.5</v>
      </c>
      <c r="D28" s="18" t="n">
        <v>100.1</v>
      </c>
      <c r="E28" s="18" t="n">
        <v>28</v>
      </c>
      <c r="F28" s="18" t="n">
        <v>261</v>
      </c>
    </row>
    <row r="29">
      <c r="A29" s="21" t="inlineStr">
        <is>
          <t xml:space="preserve">  — Other Working Capital</t>
        </is>
      </c>
      <c r="B29" s="18" t="n">
        <v>-598.3</v>
      </c>
      <c r="C29" s="18" t="n">
        <v>-1511.4</v>
      </c>
      <c r="D29" s="18" t="n">
        <v>-1595.8</v>
      </c>
      <c r="E29" s="18" t="n">
        <v>-1138</v>
      </c>
      <c r="F29" s="18" t="n">
        <v>-1257.3</v>
      </c>
    </row>
    <row r="30">
      <c r="A30" s="17" t="inlineStr">
        <is>
          <t>Other Non-Cash Items</t>
        </is>
      </c>
      <c r="B30" s="18" t="n">
        <v>593</v>
      </c>
      <c r="C30" s="18" t="n">
        <v>1483.8</v>
      </c>
      <c r="D30" s="18" t="n">
        <v>1323.8</v>
      </c>
      <c r="E30" s="18" t="n">
        <v>1495.2</v>
      </c>
      <c r="F30" s="18" t="n">
        <v>1551.3</v>
      </c>
    </row>
    <row r="31">
      <c r="A31" s="26" t="inlineStr">
        <is>
          <t>Net Cash from Operations (CFO)</t>
        </is>
      </c>
      <c r="B31" s="27" t="n">
        <v>5989.1</v>
      </c>
      <c r="C31" s="27" t="n">
        <v>4397.3</v>
      </c>
      <c r="D31" s="27" t="n">
        <v>6008.7</v>
      </c>
      <c r="E31" s="27" t="n">
        <v>6095.6</v>
      </c>
      <c r="F31" s="27" t="n">
        <v>4747.5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-1470</v>
      </c>
      <c r="C33" s="18" t="n">
        <v>-1841.3</v>
      </c>
      <c r="D33" s="18" t="n">
        <v>-2333.6</v>
      </c>
      <c r="E33" s="18" t="n">
        <v>-2777.5</v>
      </c>
      <c r="F33" s="18" t="n">
        <v>-2305.5</v>
      </c>
    </row>
    <row r="34">
      <c r="A34" s="21" t="inlineStr">
        <is>
          <t xml:space="preserve">  (Alt: Invest. in PP&amp;E)</t>
        </is>
      </c>
      <c r="B34" s="18" t="n">
        <v>-1470</v>
      </c>
      <c r="C34" s="18" t="n">
        <v>-1841.3</v>
      </c>
      <c r="D34" s="18" t="n">
        <v>-2333.6</v>
      </c>
      <c r="E34" s="18" t="n">
        <v>-2777.5</v>
      </c>
      <c r="F34" s="18" t="n">
        <v>-2305.5</v>
      </c>
    </row>
    <row r="35">
      <c r="A35" s="17" t="inlineStr">
        <is>
          <t>Acquisitions (Net)</t>
        </is>
      </c>
      <c r="B35" s="18" t="n">
        <v>1175</v>
      </c>
      <c r="C35" s="18" t="n">
        <v>59.3</v>
      </c>
      <c r="D35" s="18" t="n">
        <v>0</v>
      </c>
      <c r="E35" s="18" t="n">
        <v>0</v>
      </c>
      <c r="F35" s="18" t="n">
        <v>-177.1</v>
      </c>
    </row>
    <row r="36">
      <c r="A36" s="17" t="inlineStr">
        <is>
          <t>Purchases of Investments</t>
        </is>
      </c>
      <c r="B36" s="18" t="n">
        <v>-432</v>
      </c>
      <c r="C36" s="18" t="n">
        <v>-377.9</v>
      </c>
      <c r="D36" s="18" t="n">
        <v>-610.5</v>
      </c>
      <c r="E36" s="18" t="n">
        <v>-627.5</v>
      </c>
      <c r="F36" s="18" t="n">
        <v>-333.6</v>
      </c>
    </row>
    <row r="37">
      <c r="A37" s="17" t="inlineStr">
        <is>
          <t>Sales / Maturities of Investments</t>
        </is>
      </c>
      <c r="B37" s="18" t="n">
        <v>488.7</v>
      </c>
      <c r="C37" s="18" t="n">
        <v>139.9</v>
      </c>
      <c r="D37" s="18" t="n">
        <v>619.4</v>
      </c>
      <c r="E37" s="18" t="n">
        <v>778.5</v>
      </c>
      <c r="F37" s="18" t="n">
        <v>392.9</v>
      </c>
    </row>
    <row r="38">
      <c r="A38" s="17" t="inlineStr">
        <is>
          <t>Other Investing Activities</t>
        </is>
      </c>
      <c r="B38" s="18" t="n">
        <v>-81.2</v>
      </c>
      <c r="C38" s="18" t="n">
        <v>-126.3</v>
      </c>
      <c r="D38" s="18" t="n">
        <v>53.9</v>
      </c>
      <c r="E38" s="18" t="n">
        <v>-72.7</v>
      </c>
      <c r="F38" s="18" t="n">
        <v>-62.1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-1681.2</v>
      </c>
      <c r="C41" s="18" t="n">
        <v>673.1</v>
      </c>
      <c r="D41" s="18" t="n">
        <v>358.6</v>
      </c>
      <c r="E41" s="18" t="n">
        <v>136.5</v>
      </c>
      <c r="F41" s="18" t="n">
        <v>493.1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246.2</v>
      </c>
      <c r="C43" s="18" t="n">
        <v>101.6</v>
      </c>
      <c r="D43" s="18" t="n">
        <v>167.4</v>
      </c>
      <c r="E43" s="18" t="n">
        <v>108</v>
      </c>
      <c r="F43" s="18" t="n">
        <v>77</v>
      </c>
    </row>
    <row r="44">
      <c r="A44" s="17" t="inlineStr">
        <is>
          <t>Common Stock Repurchased (Buybacks)</t>
        </is>
      </c>
      <c r="B44" s="18" t="n">
        <v>0</v>
      </c>
      <c r="C44" s="18" t="n">
        <v>-4013</v>
      </c>
      <c r="D44" s="18" t="n">
        <v>-984.4</v>
      </c>
      <c r="E44" s="18" t="n">
        <v>-1266.7</v>
      </c>
      <c r="F44" s="18" t="n">
        <v>0</v>
      </c>
    </row>
    <row r="45">
      <c r="A45" s="17" t="inlineStr">
        <is>
          <t>Dividends Paid</t>
        </is>
      </c>
      <c r="B45" s="18" t="n">
        <v>-2119</v>
      </c>
      <c r="C45" s="18" t="n">
        <v>-2263.3</v>
      </c>
      <c r="D45" s="18" t="n">
        <v>-2431.8</v>
      </c>
      <c r="E45" s="18" t="n">
        <v>-2585</v>
      </c>
      <c r="F45" s="18" t="n">
        <v>-2771.4</v>
      </c>
    </row>
    <row r="46">
      <c r="A46" s="17" t="inlineStr">
        <is>
          <t>Other Financing Activities</t>
        </is>
      </c>
      <c r="B46" s="18" t="n">
        <v>-97</v>
      </c>
      <c r="C46" s="18" t="n">
        <v>-136.4</v>
      </c>
      <c r="D46" s="18" t="n">
        <v>-100.4</v>
      </c>
      <c r="E46" s="18" t="n">
        <v>-111</v>
      </c>
      <c r="F46" s="18" t="n">
        <v>-96.7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86.2</v>
      </c>
      <c r="C49" s="18" t="n">
        <v>-250.3</v>
      </c>
      <c r="D49" s="18" t="n">
        <v>-14.2</v>
      </c>
      <c r="E49" s="18" t="n">
        <v>56.5</v>
      </c>
      <c r="F49" s="18" t="n">
        <v>-30.5</v>
      </c>
    </row>
    <row r="50">
      <c r="A50" s="15" t="inlineStr">
        <is>
          <t>Net Change in Cash</t>
        </is>
      </c>
      <c r="B50" s="16" t="n">
        <v>2104.8</v>
      </c>
      <c r="C50" s="16" t="n">
        <v>-3637.3</v>
      </c>
      <c r="D50" s="16" t="n">
        <v>733.1</v>
      </c>
      <c r="E50" s="16" t="n">
        <v>-265.3</v>
      </c>
      <c r="F50" s="16" t="n">
        <v>-66.40000000000001</v>
      </c>
    </row>
    <row r="51">
      <c r="A51" s="17" t="inlineStr">
        <is>
          <t>Cash at Beginning of Period</t>
        </is>
      </c>
      <c r="B51" s="18" t="n">
        <v>4350.9</v>
      </c>
      <c r="C51" s="18" t="n">
        <v>6455.7</v>
      </c>
      <c r="D51" s="18" t="n">
        <v>2818.4</v>
      </c>
      <c r="E51" s="18" t="n">
        <v>3551.5</v>
      </c>
      <c r="F51" s="18" t="n">
        <v>3286.2</v>
      </c>
    </row>
    <row r="52">
      <c r="A52" s="26" t="inlineStr">
        <is>
          <t>Cash at End of Period</t>
        </is>
      </c>
      <c r="B52" s="27" t="n">
        <v>6455.7</v>
      </c>
      <c r="C52" s="27" t="n">
        <v>2818.4</v>
      </c>
      <c r="D52" s="27" t="n">
        <v>3551.5</v>
      </c>
      <c r="E52" s="27" t="n">
        <v>3286.2</v>
      </c>
      <c r="F52" s="27" t="n">
        <v>3219.8</v>
      </c>
    </row>
    <row r="53">
      <c r="A53" s="26" t="inlineStr">
        <is>
          <t>Free Cash Flow</t>
        </is>
      </c>
      <c r="B53" s="27" t="n">
        <v>4519.1</v>
      </c>
      <c r="C53" s="27" t="n">
        <v>2556</v>
      </c>
      <c r="D53" s="27" t="n">
        <v>3675.1</v>
      </c>
      <c r="E53" s="27" t="n">
        <v>3318.1</v>
      </c>
      <c r="F53" s="27" t="n">
        <v>2442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SBUX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1185.5</v>
      </c>
      <c r="C61" s="18" t="n">
        <v>1158.5</v>
      </c>
      <c r="D61" s="18" t="n">
        <v>1151.3</v>
      </c>
      <c r="E61" s="18" t="n">
        <v>1137.3</v>
      </c>
      <c r="F61" s="18" t="n">
        <v>1139.8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SBUX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24" customHeight="1">
      <c r="A4" s="41" t="inlineStr">
        <is>
          <t>Data not available on your current FMP plan (requires Starter or above). Upgrade at financialmodelingprep.com to unlock segment data.</t>
        </is>
      </c>
    </row>
    <row r="6" ht="6" customHeight="1"/>
    <row r="7" ht="18" customHeight="1">
      <c r="A7" s="5" t="inlineStr">
        <is>
          <t>GEOGRAPHIC SEGMENT REVENUE ($mm)</t>
        </is>
      </c>
    </row>
    <row r="8" ht="24" customHeight="1">
      <c r="A8" s="41" t="inlineStr">
        <is>
          <t>Data not available on your current FMP plan (requires Starter or above). Upgrade at financialmodelingprep.com to unlock segment data.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SBUX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113012.652</v>
      </c>
      <c r="C5" s="44" t="inlineStr">
        <is>
          <t>FMP marketCap  |  price $99.16</t>
        </is>
      </c>
    </row>
    <row r="6">
      <c r="A6" s="17" t="inlineStr">
        <is>
          <t>Debt  (gross book value, $mm)</t>
        </is>
      </c>
      <c r="B6" s="43" t="n">
        <v>16074.8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0.0445</v>
      </c>
      <c r="C12" s="44" t="inlineStr">
        <is>
          <t>FRED series DGS10  |  latest: 2026-05-28</t>
        </is>
      </c>
    </row>
    <row r="13">
      <c r="A13" s="47" t="inlineStr">
        <is>
          <t>► Selected Rf  (override if needed)</t>
        </is>
      </c>
      <c r="B13" s="48" t="n">
        <v>0.0445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1.009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1.006</v>
      </c>
      <c r="C17" s="44" t="inlineStr">
        <is>
          <t>Mean-reversion toward market beta of 1.0</t>
        </is>
      </c>
    </row>
    <row r="18">
      <c r="A18" s="17" t="inlineStr">
        <is>
          <t>Damodaran industry unlevered  (Restaurants)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0.14x,  t = 41.1%)</t>
        </is>
      </c>
      <c r="B19" s="50" t="n">
        <v>1.084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1.033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6.6</v>
      </c>
      <c r="C33" s="44" t="inlineStr">
        <is>
          <t>EBIT $3581mm  /  Int Exp $543mm</t>
        </is>
      </c>
    </row>
    <row r="34">
      <c r="A34" s="17" t="inlineStr">
        <is>
          <t>Synthetic rating  (Damodaran ICR table)</t>
        </is>
      </c>
      <c r="B34" s="53" t="inlineStr">
        <is>
          <t>A</t>
        </is>
      </c>
      <c r="C34" s="44" t="inlineStr">
        <is>
          <t>ICR 6.6x  →  A</t>
        </is>
      </c>
    </row>
    <row r="35">
      <c r="A35" s="17" t="inlineStr">
        <is>
          <t>Synthetic Rd  (Rf + Damodaran default spread)</t>
        </is>
      </c>
      <c r="B35" s="46" t="n">
        <v>0.0553</v>
      </c>
      <c r="C35" s="44" t="inlineStr">
        <is>
          <t>Rf 4.45% + spread 1.08%</t>
        </is>
      </c>
    </row>
    <row r="36">
      <c r="A36" s="17" t="inlineStr">
        <is>
          <t>Accounting Rd  (Gross int exp / Avg gross debt)</t>
        </is>
      </c>
      <c r="B36" s="46" t="n">
        <v>0.03429488800121353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0.0448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0.4109</v>
      </c>
      <c r="C40" s="44" t="inlineStr">
        <is>
          <t>FMP: $1295mm  /  $3152mm</t>
        </is>
      </c>
    </row>
    <row r="41">
      <c r="A41" s="47" t="inlineStr">
        <is>
          <t>► Selected tax rate  (user override)</t>
        </is>
      </c>
      <c r="B41" s="48" t="n">
        <v>0.4109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SBUX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6" customHeight="1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</row>
    <row r="5" ht="18" customHeight="1">
      <c r="A5" s="5" t="inlineStr">
        <is>
          <t>SECTION 1 — PROJECTION ASSUMPTIONS  (darker blue = FMP consensus-derived  |  lighter blue = user input)</t>
        </is>
      </c>
    </row>
    <row r="6" ht="20" customHeight="1">
      <c r="A6" s="67" t="inlineStr">
        <is>
          <t>Revenue Growth %</t>
        </is>
      </c>
      <c r="B6" s="68" t="inlineStr">
        <is>
          <t>—</t>
        </is>
      </c>
      <c r="C6" s="69">
        <f>'P&amp;L'!C5/'P&amp;L'!B5-1</f>
        <v/>
      </c>
      <c r="D6" s="69">
        <f>'P&amp;L'!D5/'P&amp;L'!C5-1</f>
        <v/>
      </c>
      <c r="E6" s="69">
        <f>'P&amp;L'!E5/'P&amp;L'!D5-1</f>
        <v/>
      </c>
      <c r="F6" s="69">
        <f>'P&amp;L'!F5/'P&amp;L'!E5-1</f>
        <v/>
      </c>
      <c r="G6" s="70" t="n">
        <v>0.08</v>
      </c>
      <c r="H6" s="70" t="n">
        <v>0.08</v>
      </c>
      <c r="I6" s="70" t="n">
        <v>0.08</v>
      </c>
      <c r="J6" s="70">
        <f>I6</f>
        <v/>
      </c>
      <c r="K6" s="70">
        <f>I6</f>
        <v/>
      </c>
      <c r="L6" s="71" t="n">
        <v>0.03</v>
      </c>
      <c r="M6" s="72" t="inlineStr">
        <is>
          <t>Yrs 1-3: FMP analyst consensus implied growth (back-calc from rev estimates).  Yrs 4-5: formula = Yr 3 growth.  Terminal = long-run growth (2-4%).</t>
        </is>
      </c>
    </row>
    <row r="7" ht="20" customHeight="1">
      <c r="A7" s="67" t="inlineStr">
        <is>
          <t>EBITDA Margin %</t>
        </is>
      </c>
      <c r="B7" s="69">
        <f>'P&amp;L'!B12/'P&amp;L'!B5</f>
        <v/>
      </c>
      <c r="C7" s="69">
        <f>'P&amp;L'!C12/'P&amp;L'!C5</f>
        <v/>
      </c>
      <c r="D7" s="69">
        <f>'P&amp;L'!D12/'P&amp;L'!D5</f>
        <v/>
      </c>
      <c r="E7" s="69">
        <f>'P&amp;L'!E12/'P&amp;L'!E5</f>
        <v/>
      </c>
      <c r="F7" s="69">
        <f>'P&amp;L'!F12/'P&amp;L'!F5</f>
        <v/>
      </c>
      <c r="G7" s="70" t="n">
        <v>0.1447</v>
      </c>
      <c r="H7" s="70" t="n">
        <v>0.1447</v>
      </c>
      <c r="I7" s="70" t="n">
        <v>0.1447</v>
      </c>
      <c r="J7" s="70">
        <f>I7</f>
        <v/>
      </c>
      <c r="K7" s="70">
        <f>I7</f>
        <v/>
      </c>
      <c r="L7" s="71" t="n">
        <v>0.1447</v>
      </c>
      <c r="M7" s="72" t="inlineStr">
        <is>
          <t>Yrs 1-3: FMP analyst consensus margin.  Yrs 4-5: = Yr 3 margin.  Terminal: long-run normalised EBITDA margin (user input).</t>
        </is>
      </c>
    </row>
    <row r="8" ht="20" customHeight="1">
      <c r="A8" s="67" t="inlineStr">
        <is>
          <t>D&amp;A as % of Revenue</t>
        </is>
      </c>
      <c r="B8" s="69">
        <f>'P&amp;L'!B14/'P&amp;L'!B5</f>
        <v/>
      </c>
      <c r="C8" s="69">
        <f>'P&amp;L'!C14/'P&amp;L'!C5</f>
        <v/>
      </c>
      <c r="D8" s="69">
        <f>'P&amp;L'!D14/'P&amp;L'!D5</f>
        <v/>
      </c>
      <c r="E8" s="69">
        <f>'P&amp;L'!E14/'P&amp;L'!E5</f>
        <v/>
      </c>
      <c r="F8" s="69">
        <f>'P&amp;L'!F14/'P&amp;L'!F5</f>
        <v/>
      </c>
      <c r="G8" s="70">
        <f>AVERAGE(B8:F8)</f>
        <v/>
      </c>
      <c r="H8" s="70">
        <f>G8</f>
        <v/>
      </c>
      <c r="I8" s="70">
        <f>G8</f>
        <v/>
      </c>
      <c r="J8" s="70">
        <f>G8</f>
        <v/>
      </c>
      <c r="K8" s="70">
        <f>G8</f>
        <v/>
      </c>
      <c r="L8" s="71">
        <f>G8</f>
        <v/>
      </c>
      <c r="M8" s="72" t="inlineStr">
        <is>
          <t>Historical linked from P&amp;L.  Yr 1 = avg of historicals; Yrs 2-5 &amp; terminal = Yr 1.</t>
        </is>
      </c>
    </row>
    <row r="9" ht="20" customHeight="1">
      <c r="A9" s="67" t="inlineStr">
        <is>
          <t>CapEx as % of Revenue</t>
        </is>
      </c>
      <c r="B9" s="69">
        <f>-'Cash Flow'!B6/'P&amp;L'!B5</f>
        <v/>
      </c>
      <c r="C9" s="69">
        <f>-'Cash Flow'!C6/'P&amp;L'!C5</f>
        <v/>
      </c>
      <c r="D9" s="69">
        <f>-'Cash Flow'!D6/'P&amp;L'!D5</f>
        <v/>
      </c>
      <c r="E9" s="69">
        <f>-'Cash Flow'!E6/'P&amp;L'!E5</f>
        <v/>
      </c>
      <c r="F9" s="69">
        <f>-'Cash Flow'!F6/'P&amp;L'!F5</f>
        <v/>
      </c>
      <c r="G9" s="70">
        <f>AVERAGE(B9:F9)</f>
        <v/>
      </c>
      <c r="H9" s="70">
        <f>G9</f>
        <v/>
      </c>
      <c r="I9" s="70">
        <f>G9</f>
        <v/>
      </c>
      <c r="J9" s="70">
        <f>G9</f>
        <v/>
      </c>
      <c r="K9" s="70">
        <f>G9</f>
        <v/>
      </c>
      <c r="L9" s="71">
        <f>G9</f>
        <v/>
      </c>
      <c r="M9" s="72" t="inlineStr">
        <is>
          <t>Historical linked from Cash Flow.  Yr 1 = avg of historicals; Yrs 2-5 &amp; terminal = Yr 1.</t>
        </is>
      </c>
    </row>
    <row r="10" ht="20" customHeight="1">
      <c r="A10" s="67" t="inlineStr">
        <is>
          <t>Change in NWC as % of Revenue</t>
        </is>
      </c>
      <c r="B10" s="68" t="inlineStr">
        <is>
          <t>—</t>
        </is>
      </c>
      <c r="C10" s="69">
        <f>(('Balance Sheet'!C9-'Balance Sheet'!C21)-('Balance Sheet'!B9-'Balance Sheet'!B21))/'P&amp;L'!C5</f>
        <v/>
      </c>
      <c r="D10" s="69">
        <f>(('Balance Sheet'!D9-'Balance Sheet'!D21)-('Balance Sheet'!C9-'Balance Sheet'!C21))/'P&amp;L'!D5</f>
        <v/>
      </c>
      <c r="E10" s="69">
        <f>(('Balance Sheet'!E9-'Balance Sheet'!E21)-('Balance Sheet'!D9-'Balance Sheet'!D21))/'P&amp;L'!E5</f>
        <v/>
      </c>
      <c r="F10" s="69">
        <f>(('Balance Sheet'!F9-'Balance Sheet'!F21)-('Balance Sheet'!E9-'Balance Sheet'!E21))/'P&amp;L'!F5</f>
        <v/>
      </c>
      <c r="G10" s="70">
        <f>MAX(-0.02,MIN(0.05,AVERAGE(C10:F10)))</f>
        <v/>
      </c>
      <c r="H10" s="70">
        <f>G10*4/5</f>
        <v/>
      </c>
      <c r="I10" s="70">
        <f>G10*3/5</f>
        <v/>
      </c>
      <c r="J10" s="70">
        <f>G10*2/5</f>
        <v/>
      </c>
      <c r="K10" s="70">
        <f>G10*1/5</f>
        <v/>
      </c>
      <c r="L10" s="71" t="n">
        <v>0</v>
      </c>
      <c r="M10" s="72" t="inlineStr">
        <is>
          <t>Yr 1 = clamped avg of historicals [-2%, +5%]. Yrs 2-5 fade linearly to 0. Terminal = 0 (steady-state: NWC tracks revenue).</t>
        </is>
      </c>
    </row>
    <row r="11" ht="20" customHeight="1">
      <c r="A11" s="67" t="inlineStr">
        <is>
          <t>Effective Tax Rate</t>
        </is>
      </c>
      <c r="B11" s="69">
        <f>IFERROR(MAX(0,MIN(0.5,'P&amp;L'!B22/'P&amp;L'!B21)),0)</f>
        <v/>
      </c>
      <c r="C11" s="69">
        <f>IFERROR(MAX(0,MIN(0.5,'P&amp;L'!C22/'P&amp;L'!C21)),0)</f>
        <v/>
      </c>
      <c r="D11" s="69">
        <f>IFERROR(MAX(0,MIN(0.5,'P&amp;L'!D22/'P&amp;L'!D21)),0)</f>
        <v/>
      </c>
      <c r="E11" s="69">
        <f>IFERROR(MAX(0,MIN(0.5,'P&amp;L'!E22/'P&amp;L'!E21)),0)</f>
        <v/>
      </c>
      <c r="F11" s="69">
        <f>IFERROR(MAX(0,MIN(0.5,'P&amp;L'!F22/'P&amp;L'!F21)),0)</f>
        <v/>
      </c>
      <c r="G11" s="70">
        <f>AVERAGE(B11:F11)</f>
        <v/>
      </c>
      <c r="H11" s="70">
        <f>G11</f>
        <v/>
      </c>
      <c r="I11" s="70">
        <f>G11</f>
        <v/>
      </c>
      <c r="J11" s="70">
        <f>G11</f>
        <v/>
      </c>
      <c r="K11" s="70">
        <f>G11</f>
        <v/>
      </c>
      <c r="L11" s="71">
        <f>G11</f>
        <v/>
      </c>
      <c r="M11" s="72" t="inlineStr">
        <is>
          <t>Historical linked from P&amp;L (tax / pretax income).  Forecast: avg of historicals, constant thereafter.</t>
        </is>
      </c>
    </row>
    <row r="12" ht="6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</row>
    <row r="13" ht="18" customHeight="1">
      <c r="A13" s="25" t="inlineStr">
        <is>
          <t>SECTION 2 — REVENUE &amp; EBITDA  ($mm)</t>
        </is>
      </c>
    </row>
    <row r="14" ht="20" customHeight="1">
      <c r="A14" s="73" t="inlineStr">
        <is>
          <t>Revenue</t>
        </is>
      </c>
      <c r="B14" s="74">
        <f>'P&amp;L'!B5</f>
        <v/>
      </c>
      <c r="C14" s="74">
        <f>'P&amp;L'!C5</f>
        <v/>
      </c>
      <c r="D14" s="74">
        <f>'P&amp;L'!D5</f>
        <v/>
      </c>
      <c r="E14" s="74">
        <f>'P&amp;L'!E5</f>
        <v/>
      </c>
      <c r="F14" s="74">
        <f>'P&amp;L'!F5</f>
        <v/>
      </c>
      <c r="G14" s="75">
        <f>F14*(1+G6)</f>
        <v/>
      </c>
      <c r="H14" s="75">
        <f>G14*(1+H6)</f>
        <v/>
      </c>
      <c r="I14" s="75">
        <f>H14*(1+I6)</f>
        <v/>
      </c>
      <c r="J14" s="75">
        <f>I14*(1+J6)</f>
        <v/>
      </c>
      <c r="K14" s="75">
        <f>J14*(1+K6)</f>
        <v/>
      </c>
      <c r="L14" s="76">
        <f>K14*(1+L6)</f>
        <v/>
      </c>
      <c r="M14" s="77" t="inlineStr">
        <is>
          <t>FMP consensus years: analyst revenue average ($mm).  Range: Low–High shown below.  User years: prior × (1+growth).</t>
        </is>
      </c>
    </row>
    <row r="15" ht="20" customHeight="1">
      <c r="A15" s="78" t="inlineStr">
        <is>
          <t xml:space="preserve">  Analyst Range:  Low — High  ($mm)</t>
        </is>
      </c>
      <c r="G15" s="79" t="inlineStr">
        <is>
          <t>—</t>
        </is>
      </c>
      <c r="H15" s="79" t="inlineStr">
        <is>
          <t>—</t>
        </is>
      </c>
      <c r="I15" s="79" t="inlineStr">
        <is>
          <t>—</t>
        </is>
      </c>
      <c r="J15" s="79" t="inlineStr">
        <is>
          <t>—</t>
        </is>
      </c>
      <c r="K15" s="79" t="inlineStr">
        <is>
          <t>—</t>
        </is>
      </c>
      <c r="L15" s="80" t="inlineStr">
        <is>
          <t>—</t>
        </is>
      </c>
      <c r="M15" s="77" t="inlineStr">
        <is>
          <t>Sell-side analyst low / high revenue estimates for consensus years</t>
        </is>
      </c>
    </row>
    <row r="16" ht="20" customHeight="1">
      <c r="A16" s="78" t="inlineStr">
        <is>
          <t xml:space="preserve">  Number of Analysts</t>
        </is>
      </c>
      <c r="G16" s="79" t="inlineStr">
        <is>
          <t>—</t>
        </is>
      </c>
      <c r="H16" s="79" t="inlineStr">
        <is>
          <t>—</t>
        </is>
      </c>
      <c r="I16" s="79" t="inlineStr">
        <is>
          <t>—</t>
        </is>
      </c>
      <c r="J16" s="79" t="inlineStr">
        <is>
          <t>—</t>
        </is>
      </c>
      <c r="K16" s="79" t="inlineStr">
        <is>
          <t>—</t>
        </is>
      </c>
      <c r="L16" s="80" t="inlineStr">
        <is>
          <t>—</t>
        </is>
      </c>
      <c r="M16" s="77" t="inlineStr">
        <is>
          <t>Red &lt; 5 analysts — treat estimate with caution.  Orange &lt; 10.</t>
        </is>
      </c>
    </row>
    <row r="17" ht="20" customHeight="1">
      <c r="A17" s="78" t="inlineStr">
        <is>
          <t xml:space="preserve">  YoY Revenue Growth %</t>
        </is>
      </c>
      <c r="B17" s="81" t="inlineStr">
        <is>
          <t>—</t>
        </is>
      </c>
      <c r="C17" s="82">
        <f>IFERROR(C14/B14-1,"")</f>
        <v/>
      </c>
      <c r="D17" s="82">
        <f>IFERROR(D14/C14-1,"")</f>
        <v/>
      </c>
      <c r="E17" s="82">
        <f>IFERROR(E14/D14-1,"")</f>
        <v/>
      </c>
      <c r="F17" s="82">
        <f>IFERROR(F14/E14-1,"")</f>
        <v/>
      </c>
      <c r="G17" s="83">
        <f>IFERROR(G14/F14-1,"")</f>
        <v/>
      </c>
      <c r="H17" s="83">
        <f>IFERROR(H14/G14-1,"")</f>
        <v/>
      </c>
      <c r="I17" s="83">
        <f>IFERROR(I14/H14-1,"")</f>
        <v/>
      </c>
      <c r="J17" s="83">
        <f>IFERROR(J14/I14-1,"")</f>
        <v/>
      </c>
      <c r="K17" s="83">
        <f>IFERROR(K14/J14-1,"")</f>
        <v/>
      </c>
      <c r="L17" s="84">
        <f>L6</f>
        <v/>
      </c>
      <c r="M17" s="77">
        <f> this year / prior year − 1  (formula cross-check on assumptions)</f>
        <v/>
      </c>
    </row>
    <row r="18" ht="6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</row>
    <row r="19" ht="20" customHeight="1">
      <c r="A19" s="73" t="inlineStr">
        <is>
          <t>EBITDA</t>
        </is>
      </c>
      <c r="B19" s="74">
        <f>'P&amp;L'!B12</f>
        <v/>
      </c>
      <c r="C19" s="74">
        <f>'P&amp;L'!C12</f>
        <v/>
      </c>
      <c r="D19" s="74">
        <f>'P&amp;L'!D12</f>
        <v/>
      </c>
      <c r="E19" s="74">
        <f>'P&amp;L'!E12</f>
        <v/>
      </c>
      <c r="F19" s="74">
        <f>'P&amp;L'!F12</f>
        <v/>
      </c>
      <c r="G19" s="75">
        <f>G14*G7</f>
        <v/>
      </c>
      <c r="H19" s="75">
        <f>H14*H7</f>
        <v/>
      </c>
      <c r="I19" s="75">
        <f>I14*I7</f>
        <v/>
      </c>
      <c r="J19" s="75">
        <f>J14*J7</f>
        <v/>
      </c>
      <c r="K19" s="75">
        <f>K14*K7</f>
        <v/>
      </c>
      <c r="L19" s="76">
        <f>L14*L7</f>
        <v/>
      </c>
      <c r="M19" s="77" t="inlineStr">
        <is>
          <t>FMP consensus years: analyst EBITDA average.  User years: Revenue × EBITDA margin assumption.</t>
        </is>
      </c>
    </row>
    <row r="20" ht="20" customHeight="1">
      <c r="A20" s="78" t="inlineStr">
        <is>
          <t xml:space="preserve">  Analyst Range:  Low — High  ($mm)</t>
        </is>
      </c>
      <c r="G20" s="79" t="inlineStr">
        <is>
          <t>—</t>
        </is>
      </c>
      <c r="H20" s="79" t="inlineStr">
        <is>
          <t>—</t>
        </is>
      </c>
      <c r="I20" s="79" t="inlineStr">
        <is>
          <t>—</t>
        </is>
      </c>
      <c r="J20" s="79" t="inlineStr">
        <is>
          <t>—</t>
        </is>
      </c>
      <c r="K20" s="79" t="inlineStr">
        <is>
          <t>—</t>
        </is>
      </c>
      <c r="L20" s="80" t="inlineStr">
        <is>
          <t>—</t>
        </is>
      </c>
      <c r="M20" s="77" t="inlineStr">
        <is>
          <t>Sell-side analyst low / high EBITDA estimates for consensus years</t>
        </is>
      </c>
    </row>
    <row r="21" ht="20" customHeight="1">
      <c r="A21" s="78" t="inlineStr">
        <is>
          <t xml:space="preserve">  EBITDA Margin %</t>
        </is>
      </c>
      <c r="B21" s="82">
        <f>IFERROR(B19/B14,"")</f>
        <v/>
      </c>
      <c r="C21" s="82">
        <f>IFERROR(C19/C14,"")</f>
        <v/>
      </c>
      <c r="D21" s="82">
        <f>IFERROR(D19/D14,"")</f>
        <v/>
      </c>
      <c r="E21" s="82">
        <f>IFERROR(E19/E14,"")</f>
        <v/>
      </c>
      <c r="F21" s="82">
        <f>IFERROR(F19/F14,"")</f>
        <v/>
      </c>
      <c r="G21" s="83">
        <f>IFERROR(G19/G14,"")</f>
        <v/>
      </c>
      <c r="H21" s="83">
        <f>IFERROR(H19/H14,"")</f>
        <v/>
      </c>
      <c r="I21" s="83">
        <f>IFERROR(I19/I14,"")</f>
        <v/>
      </c>
      <c r="J21" s="83">
        <f>IFERROR(J19/J14,"")</f>
        <v/>
      </c>
      <c r="K21" s="83">
        <f>IFERROR(K19/K14,"")</f>
        <v/>
      </c>
      <c r="L21" s="84">
        <f>IFERROR(L19/L14,"")</f>
        <v/>
      </c>
      <c r="M21" s="77">
        <f> EBITDA / Revenue  (formula — cross-check on margin assumption)</f>
        <v/>
      </c>
    </row>
    <row r="22" ht="6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</row>
    <row r="23" ht="18" customHeight="1">
      <c r="A23" s="25" t="inlineStr">
        <is>
          <t>SECTION 3 — UNLEVERED FREE CASH FLOW BUILD  ($mm)</t>
        </is>
      </c>
    </row>
    <row r="24" ht="20" customHeight="1">
      <c r="A24" s="85" t="inlineStr">
        <is>
          <t xml:space="preserve">  Less: D&amp;A</t>
        </is>
      </c>
      <c r="B24" s="74">
        <f>-'P&amp;L'!B14</f>
        <v/>
      </c>
      <c r="C24" s="74">
        <f>-'P&amp;L'!C14</f>
        <v/>
      </c>
      <c r="D24" s="74">
        <f>-'P&amp;L'!D14</f>
        <v/>
      </c>
      <c r="E24" s="74">
        <f>-'P&amp;L'!E14</f>
        <v/>
      </c>
      <c r="F24" s="74">
        <f>-'P&amp;L'!F14</f>
        <v/>
      </c>
      <c r="G24" s="75">
        <f>-G14*G8</f>
        <v/>
      </c>
      <c r="H24" s="75">
        <f>-H14*H8</f>
        <v/>
      </c>
      <c r="I24" s="75">
        <f>-I14*I8</f>
        <v/>
      </c>
      <c r="J24" s="75">
        <f>-J14*J8</f>
        <v/>
      </c>
      <c r="K24" s="75">
        <f>-K14*K8</f>
        <v/>
      </c>
      <c r="L24" s="76">
        <f>-L14*L8</f>
        <v/>
      </c>
      <c r="M24" s="77">
        <f> Revenue × D&amp;A % assumption  (negative = P&amp;L charge)</f>
        <v/>
      </c>
    </row>
    <row r="25" ht="20" customHeight="1">
      <c r="A25" s="63" t="inlineStr">
        <is>
          <t>EBIT  (Operating Profit)</t>
        </is>
      </c>
      <c r="B25" s="86">
        <f>B19+B24</f>
        <v/>
      </c>
      <c r="C25" s="86">
        <f>C19+C24</f>
        <v/>
      </c>
      <c r="D25" s="86">
        <f>D19+D24</f>
        <v/>
      </c>
      <c r="E25" s="86">
        <f>E19+E24</f>
        <v/>
      </c>
      <c r="F25" s="86">
        <f>F19+F24</f>
        <v/>
      </c>
      <c r="G25" s="87">
        <f>G19+G24</f>
        <v/>
      </c>
      <c r="H25" s="87">
        <f>H19+H24</f>
        <v/>
      </c>
      <c r="I25" s="87">
        <f>I19+I24</f>
        <v/>
      </c>
      <c r="J25" s="87">
        <f>J19+J24</f>
        <v/>
      </c>
      <c r="K25" s="87">
        <f>K19+K24</f>
        <v/>
      </c>
      <c r="L25" s="87">
        <f>L19+L24</f>
        <v/>
      </c>
      <c r="M25" s="77">
        <f> EBITDA + D&amp;A  (GAAP operating income, EBIT)</f>
        <v/>
      </c>
    </row>
    <row r="26" ht="20" customHeight="1">
      <c r="A26" s="85" t="inlineStr">
        <is>
          <t xml:space="preserve">  Less: Tax on EBIT  (unlevered)</t>
        </is>
      </c>
      <c r="B26" s="88">
        <f>-B25*B11</f>
        <v/>
      </c>
      <c r="C26" s="88">
        <f>-C25*C11</f>
        <v/>
      </c>
      <c r="D26" s="88">
        <f>-D25*D11</f>
        <v/>
      </c>
      <c r="E26" s="88">
        <f>-E25*E11</f>
        <v/>
      </c>
      <c r="F26" s="88">
        <f>-F25*F11</f>
        <v/>
      </c>
      <c r="G26" s="89">
        <f>-G25*G11</f>
        <v/>
      </c>
      <c r="H26" s="89">
        <f>-H25*H11</f>
        <v/>
      </c>
      <c r="I26" s="89">
        <f>-I25*I11</f>
        <v/>
      </c>
      <c r="J26" s="89">
        <f>-J25*J11</f>
        <v/>
      </c>
      <c r="K26" s="89">
        <f>-K25*K11</f>
        <v/>
      </c>
      <c r="L26" s="89">
        <f>-L25*L11</f>
        <v/>
      </c>
      <c r="M26" s="77">
        <f> EBIT × tax rate  (no interest tax shield — UFCF is pre-debt)</f>
        <v/>
      </c>
    </row>
    <row r="27" ht="20" customHeight="1">
      <c r="A27" s="73" t="inlineStr">
        <is>
          <t>NOPAT</t>
        </is>
      </c>
      <c r="B27" s="86">
        <f>B25+B26</f>
        <v/>
      </c>
      <c r="C27" s="86">
        <f>C25+C26</f>
        <v/>
      </c>
      <c r="D27" s="86">
        <f>D25+D26</f>
        <v/>
      </c>
      <c r="E27" s="86">
        <f>E25+E26</f>
        <v/>
      </c>
      <c r="F27" s="86">
        <f>F25+F26</f>
        <v/>
      </c>
      <c r="G27" s="90">
        <f>G25+G26</f>
        <v/>
      </c>
      <c r="H27" s="90">
        <f>H25+H26</f>
        <v/>
      </c>
      <c r="I27" s="90">
        <f>I25+I26</f>
        <v/>
      </c>
      <c r="J27" s="90">
        <f>J25+J26</f>
        <v/>
      </c>
      <c r="K27" s="90">
        <f>K25+K26</f>
        <v/>
      </c>
      <c r="L27" s="90">
        <f>L25+L26</f>
        <v/>
      </c>
      <c r="M27" s="77">
        <f> EBIT × (1 − tax rate)</f>
        <v/>
      </c>
    </row>
    <row r="28" ht="20" customHeight="1">
      <c r="A28" s="85" t="inlineStr">
        <is>
          <t xml:space="preserve">  (+) D&amp;A add-back  (non-cash)</t>
        </is>
      </c>
      <c r="B28" s="88">
        <f>-B24</f>
        <v/>
      </c>
      <c r="C28" s="88">
        <f>-C24</f>
        <v/>
      </c>
      <c r="D28" s="88">
        <f>-D24</f>
        <v/>
      </c>
      <c r="E28" s="88">
        <f>-E24</f>
        <v/>
      </c>
      <c r="F28" s="88">
        <f>-F24</f>
        <v/>
      </c>
      <c r="G28" s="89">
        <f>-G24</f>
        <v/>
      </c>
      <c r="H28" s="89">
        <f>-H24</f>
        <v/>
      </c>
      <c r="I28" s="89">
        <f>-I24</f>
        <v/>
      </c>
      <c r="J28" s="89">
        <f>-J24</f>
        <v/>
      </c>
      <c r="K28" s="89">
        <f>-K24</f>
        <v/>
      </c>
      <c r="L28" s="89">
        <f>-L24</f>
        <v/>
      </c>
      <c r="M28" s="77">
        <f> D&amp;A added back (non-cash charge — converts NOPAT to cash basis)</f>
        <v/>
      </c>
    </row>
    <row r="29" ht="20" customHeight="1">
      <c r="A29" s="85" t="inlineStr">
        <is>
          <t xml:space="preserve">  (−) Capital Expenditures</t>
        </is>
      </c>
      <c r="B29" s="74">
        <f>'Cash Flow'!B6</f>
        <v/>
      </c>
      <c r="C29" s="74">
        <f>'Cash Flow'!C6</f>
        <v/>
      </c>
      <c r="D29" s="74">
        <f>'Cash Flow'!D6</f>
        <v/>
      </c>
      <c r="E29" s="74">
        <f>'Cash Flow'!E6</f>
        <v/>
      </c>
      <c r="F29" s="74">
        <f>'Cash Flow'!F6</f>
        <v/>
      </c>
      <c r="G29" s="89">
        <f>-G14*G9</f>
        <v/>
      </c>
      <c r="H29" s="89">
        <f>-H14*H9</f>
        <v/>
      </c>
      <c r="I29" s="89">
        <f>-I14*I9</f>
        <v/>
      </c>
      <c r="J29" s="89">
        <f>-J14*J9</f>
        <v/>
      </c>
      <c r="K29" s="89">
        <f>-K14*K9</f>
        <v/>
      </c>
      <c r="L29" s="89">
        <f>-L14*L9</f>
        <v/>
      </c>
      <c r="M29" s="77">
        <f> Revenue × CapEx % assumption  (negative = cash outflow)</f>
        <v/>
      </c>
    </row>
    <row r="30" ht="20" customHeight="1">
      <c r="A30" s="85" t="inlineStr">
        <is>
          <t xml:space="preserve">  (−) Increase in Net Working Capital</t>
        </is>
      </c>
      <c r="B30" s="88" t="n"/>
      <c r="C30" s="88">
        <f>-(('Balance Sheet'!C9-'Balance Sheet'!C21)-('Balance Sheet'!B9-'Balance Sheet'!B21))</f>
        <v/>
      </c>
      <c r="D30" s="88">
        <f>-(('Balance Sheet'!D9-'Balance Sheet'!D21)-('Balance Sheet'!C9-'Balance Sheet'!C21))</f>
        <v/>
      </c>
      <c r="E30" s="88">
        <f>-(('Balance Sheet'!E9-'Balance Sheet'!E21)-('Balance Sheet'!D9-'Balance Sheet'!D21))</f>
        <v/>
      </c>
      <c r="F30" s="88">
        <f>-(('Balance Sheet'!F9-'Balance Sheet'!F21)-('Balance Sheet'!E9-'Balance Sheet'!E21))</f>
        <v/>
      </c>
      <c r="G30" s="89">
        <f>-G14*G10</f>
        <v/>
      </c>
      <c r="H30" s="89">
        <f>-H14*H10</f>
        <v/>
      </c>
      <c r="I30" s="89">
        <f>-I14*I10</f>
        <v/>
      </c>
      <c r="J30" s="89">
        <f>-J14*J10</f>
        <v/>
      </c>
      <c r="K30" s="89">
        <f>-K14*K10</f>
        <v/>
      </c>
      <c r="L30" s="89">
        <f>-L14*L10</f>
        <v/>
      </c>
      <c r="M30" s="77">
        <f> −Revenue × NWC%  (positive NWC% → cash outflow, reduces UFCF)</f>
        <v/>
      </c>
    </row>
    <row r="31" ht="20" customHeight="1">
      <c r="A31" s="73" t="inlineStr">
        <is>
          <t>UNLEVERED FREE CASH FLOW  (UFCF)</t>
        </is>
      </c>
      <c r="B31" s="86">
        <f>B27+B28+B29+B30</f>
        <v/>
      </c>
      <c r="C31" s="86">
        <f>C27+C28+C29+C30</f>
        <v/>
      </c>
      <c r="D31" s="86">
        <f>D27+D28+D29+D30</f>
        <v/>
      </c>
      <c r="E31" s="86">
        <f>E27+E28+E29+E30</f>
        <v/>
      </c>
      <c r="F31" s="86">
        <f>F27+F28+F29+F30</f>
        <v/>
      </c>
      <c r="G31" s="90">
        <f>G27+G28+G29+G30</f>
        <v/>
      </c>
      <c r="H31" s="90">
        <f>H27+H28+H29+H30</f>
        <v/>
      </c>
      <c r="I31" s="90">
        <f>I27+I28+I29+I30</f>
        <v/>
      </c>
      <c r="J31" s="90">
        <f>J27+J28+J29+J30</f>
        <v/>
      </c>
      <c r="K31" s="90">
        <f>K27+K28+K29+K30</f>
        <v/>
      </c>
      <c r="L31" s="90">
        <f>L27+L28+L29+L30</f>
        <v/>
      </c>
      <c r="M31" s="77">
        <f> NOPAT + D&amp;A − CapEx − ΔNWC  (pre-debt, pre-interest free cash flow)</f>
        <v/>
      </c>
    </row>
    <row r="32" ht="20" customHeight="1">
      <c r="A32" s="78" t="inlineStr">
        <is>
          <t xml:space="preserve">  UFCF Margin %</t>
        </is>
      </c>
      <c r="B32" s="82">
        <f>B31/B14</f>
        <v/>
      </c>
      <c r="C32" s="82">
        <f>C31/C14</f>
        <v/>
      </c>
      <c r="D32" s="82">
        <f>D31/D14</f>
        <v/>
      </c>
      <c r="E32" s="82">
        <f>E31/E14</f>
        <v/>
      </c>
      <c r="F32" s="82">
        <f>F31/F14</f>
        <v/>
      </c>
      <c r="G32" s="91">
        <f>IFERROR(G31/G14,"")</f>
        <v/>
      </c>
      <c r="H32" s="91">
        <f>IFERROR(H31/H14,"")</f>
        <v/>
      </c>
      <c r="I32" s="91">
        <f>IFERROR(I31/I14,"")</f>
        <v/>
      </c>
      <c r="J32" s="91">
        <f>IFERROR(J31/J14,"")</f>
        <v/>
      </c>
      <c r="K32" s="91">
        <f>IFERROR(K31/K14,"")</f>
        <v/>
      </c>
      <c r="L32" s="91">
        <f>IFERROR(L31/L14,"")</f>
        <v/>
      </c>
      <c r="M32" s="77" t="inlineStr">
        <is>
          <t>Sense check — should approximate EBITDA margin less capex intensity</t>
        </is>
      </c>
    </row>
    <row r="33" ht="6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</row>
    <row r="34" ht="18" customHeight="1">
      <c r="A34" s="5" t="inlineStr">
        <is>
          <t>SECTION 4 — TERMINAL VALUE  ($mm)</t>
        </is>
      </c>
    </row>
    <row r="35" ht="20" customHeight="1">
      <c r="A35" s="67" t="inlineStr">
        <is>
          <t>WACC  (from WACC tab)</t>
        </is>
      </c>
      <c r="B35" s="92">
        <f>WACC!B44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72" t="inlineStr">
        <is>
          <t>Auto-linked from WACC tab selected output.  Override manually if needed.</t>
        </is>
      </c>
    </row>
    <row r="36" ht="20" customHeight="1">
      <c r="A36" s="67" t="inlineStr">
        <is>
          <t>Terminal Growth Rate  (g)</t>
        </is>
      </c>
      <c r="B36" s="94" t="n">
        <v>0.025</v>
      </c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72" t="inlineStr">
        <is>
          <t>Growth tier: LOW (5.0% 3yr avg rev growth).  Bear 2.00% / Base 2.5% / Bull 3.00%.  Keep below WACC.</t>
        </is>
      </c>
    </row>
    <row r="37" ht="20" customHeight="1">
      <c r="A37" s="67" t="inlineStr">
        <is>
          <t>Terminal EV/EBITDA Multiple  (exit multiple method)</t>
        </is>
      </c>
      <c r="B37" s="95" t="n">
        <v>15.5</v>
      </c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72" t="inlineStr">
        <is>
          <t>Growth tier: LOW (5.0% 3yr avg rev growth).  Bear 12x / Base 16x / Bull 19x.  Override manually if needed.</t>
        </is>
      </c>
    </row>
    <row r="38" ht="6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</row>
    <row r="39" ht="20" customHeight="1">
      <c r="A39" s="96" t="inlineStr">
        <is>
          <t>Terminal Year UFCF  (grown by g)</t>
        </is>
      </c>
      <c r="B39" s="97">
        <f>L31</f>
        <v/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77" t="inlineStr">
        <is>
          <t>Cross-ref from Section 3 — terminal year UFCF (already grown by g in assumptions)</t>
        </is>
      </c>
    </row>
    <row r="40" ht="20" customHeight="1">
      <c r="A40" s="73" t="inlineStr">
        <is>
          <t>Terminal Value  [Gordon Growth:  UFCF / (WACC − g)]</t>
        </is>
      </c>
      <c r="B40" s="90">
        <f>B39/(B35-B36)</f>
        <v/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77" t="inlineStr">
        <is>
          <t>Sensitive to g — always cross-check vs Exit Multiple below</t>
        </is>
      </c>
    </row>
    <row r="41" ht="20" customHeight="1">
      <c r="A41" s="73" t="inlineStr">
        <is>
          <t>Terminal Value  [Exit Multiple:  Terminal EBITDA × Multiple]</t>
        </is>
      </c>
      <c r="B41" s="90">
        <f>L19*B37</f>
        <v/>
      </c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77" t="inlineStr">
        <is>
          <t>Anchored to observable market multiples — less model-sensitive than Gordon Growth</t>
        </is>
      </c>
    </row>
    <row r="42" ht="6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</row>
    <row r="43" ht="18" customHeight="1">
      <c r="A43" s="25" t="inlineStr">
        <is>
          <t>SECTION 5 — DISCOUNTING  &amp;  ENTERPRISE VALUE  ($mm)</t>
        </is>
      </c>
    </row>
    <row r="44" ht="20" customHeight="1">
      <c r="A44" s="96" t="inlineStr">
        <is>
          <t>Discount Period  (mid-year convention)</t>
        </is>
      </c>
      <c r="G44" s="100" t="n">
        <v>0.5</v>
      </c>
      <c r="H44" s="100" t="n">
        <v>1.5</v>
      </c>
      <c r="I44" s="100" t="n">
        <v>2.5</v>
      </c>
      <c r="J44" s="100" t="n">
        <v>3.5</v>
      </c>
      <c r="K44" s="100" t="n">
        <v>4.5</v>
      </c>
      <c r="L44" s="101" t="n">
        <v>5</v>
      </c>
      <c r="M44" s="77" t="inlineStr">
        <is>
          <t>Mid-year: 0.5, 1.5, 2.5...  assumes FCF received evenly through each year</t>
        </is>
      </c>
    </row>
    <row r="45" ht="20" customHeight="1">
      <c r="A45" s="96" t="inlineStr">
        <is>
          <t>Discount Factor  =  1 / (1 + WACC) ^ period</t>
        </is>
      </c>
      <c r="G45" s="102">
        <f>1/(1+B35)^G44</f>
        <v/>
      </c>
      <c r="H45" s="102">
        <f>1/(1+B35)^H44</f>
        <v/>
      </c>
      <c r="I45" s="102">
        <f>1/(1+B35)^I44</f>
        <v/>
      </c>
      <c r="J45" s="102">
        <f>1/(1+B35)^J44</f>
        <v/>
      </c>
      <c r="K45" s="102">
        <f>1/(1+B35)^K44</f>
        <v/>
      </c>
      <c r="L45" s="103">
        <f>1/(1+B35)^L44</f>
        <v/>
      </c>
      <c r="M45" s="77">
        <f> 1 / (1 + WACC) ^ discount period</f>
        <v/>
      </c>
    </row>
    <row r="46" ht="20" customHeight="1">
      <c r="A46" s="73" t="inlineStr">
        <is>
          <t>PV of UFCF</t>
        </is>
      </c>
      <c r="G46" s="90">
        <f>G31*G45</f>
        <v/>
      </c>
      <c r="H46" s="90">
        <f>H31*H45</f>
        <v/>
      </c>
      <c r="I46" s="90">
        <f>I31*I45</f>
        <v/>
      </c>
      <c r="J46" s="90">
        <f>J31*J45</f>
        <v/>
      </c>
      <c r="K46" s="90">
        <f>K31*K45</f>
        <v/>
      </c>
      <c r="L46" s="99" t="n"/>
      <c r="M46" s="77">
        <f> UFCF × discount factor</f>
        <v/>
      </c>
    </row>
    <row r="47" ht="20" customHeight="1">
      <c r="A47" s="63" t="inlineStr">
        <is>
          <t>Sum of PV of FCFs  (explicit period)</t>
        </is>
      </c>
      <c r="B47" s="87">
        <f>G46+H46+I46+J46+K46</f>
        <v/>
      </c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77" t="inlineStr">
        <is>
          <t>Sum of 5 discounted annual FCFs</t>
        </is>
      </c>
    </row>
    <row r="48" ht="20" customHeight="1">
      <c r="A48" s="63" t="inlineStr">
        <is>
          <t>PV of Terminal Value  [Gordon Growth]</t>
        </is>
      </c>
      <c r="B48" s="87">
        <f>B40*L45</f>
        <v/>
      </c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77" t="inlineStr">
        <is>
          <t>Terminal value × terminal-year discount factor</t>
        </is>
      </c>
    </row>
    <row r="49" ht="20" customHeight="1">
      <c r="A49" s="63" t="inlineStr">
        <is>
          <t>PV of Terminal Value  [Exit Multiple]</t>
        </is>
      </c>
      <c r="B49" s="87">
        <f>B41*L45</f>
        <v/>
      </c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77" t="inlineStr">
        <is>
          <t>Terminal value × terminal-year discount factor</t>
        </is>
      </c>
    </row>
    <row r="50" ht="6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</row>
    <row r="51" ht="18" customHeight="1">
      <c r="A51" s="5" t="inlineStr">
        <is>
          <t>SECTION 6 — EQUITY VALUE BRIDGE  &amp;  IMPLIED SHARE PRICE</t>
        </is>
      </c>
    </row>
    <row r="52">
      <c r="A52" s="73" t="inlineStr">
        <is>
          <t>Enterprise Value  [Gordon Growth]</t>
        </is>
      </c>
      <c r="B52" s="90">
        <f>B47+B48</f>
        <v/>
      </c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</row>
    <row r="53">
      <c r="A53" s="73" t="inlineStr">
        <is>
          <t>Enterprise Value  [Exit Multiple]</t>
        </is>
      </c>
      <c r="B53" s="90">
        <f>B47+B49</f>
        <v/>
      </c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</row>
    <row r="54" ht="20" customHeight="1">
      <c r="A54" s="85" t="inlineStr">
        <is>
          <t xml:space="preserve">  Less: Net Debt  (Debt − Cash)</t>
        </is>
      </c>
      <c r="B54" s="97">
        <f>'Balance Sheet'!F81</f>
        <v/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77" t="inlineStr">
        <is>
          <t>Linked from Balance Sheet: Total Debt (ST+LT) − Cash &amp; Equivalents  (negative = net cash)</t>
        </is>
      </c>
    </row>
    <row r="55" ht="20" customHeight="1">
      <c r="A55" s="85" t="inlineStr">
        <is>
          <t xml:space="preserve">  Less: Minority Interest</t>
        </is>
      </c>
      <c r="B55" s="97" t="n">
        <v>7.4</v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77" t="inlineStr">
        <is>
          <t>Auto-linked from Balance Sheet: minorityInterest</t>
        </is>
      </c>
    </row>
    <row r="56" ht="20" customHeight="1">
      <c r="A56" s="85" t="inlineStr">
        <is>
          <t xml:space="preserve">  Shares Outstanding — Diluted  (mm)</t>
        </is>
      </c>
      <c r="B56" s="97" t="n">
        <v>1139.8</v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77" t="inlineStr">
        <is>
          <t>Auto-linked: weightedAverageShsOutDil from income statement (diluted)</t>
        </is>
      </c>
    </row>
    <row r="57" ht="6" customHeight="1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</row>
    <row r="58">
      <c r="A58" s="73" t="inlineStr">
        <is>
          <t>Implied Share Price  [Gordon Growth]  ($)</t>
        </is>
      </c>
      <c r="B58" s="105">
        <f>IFERROR((B52-B54-B55)/B56,"")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</row>
    <row r="59">
      <c r="A59" s="73" t="inlineStr">
        <is>
          <t>Implied Share Price  [Exit Multiple]  ($)</t>
        </is>
      </c>
      <c r="B59" s="105">
        <f>IFERROR((B53-B54-B55)/B56,"")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</row>
    <row r="60" ht="20" customHeight="1">
      <c r="A60" s="96" t="inlineStr">
        <is>
          <t>Current Market Price  ($)</t>
        </is>
      </c>
      <c r="B60" s="106" t="n">
        <v>99.16</v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77" t="inlineStr">
        <is>
          <t>Auto-linked from FMP company profile — price</t>
        </is>
      </c>
    </row>
    <row r="61">
      <c r="A61" s="63" t="inlineStr">
        <is>
          <t>Upside / (Downside)  [Gordon Growth]</t>
        </is>
      </c>
      <c r="B61" s="107">
        <f>IFERROR(B58/B60-1,"")</f>
        <v/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</row>
    <row r="62">
      <c r="A62" s="63" t="inlineStr">
        <is>
          <t>Upside / (Downside)  [Exit Multiple]</t>
        </is>
      </c>
      <c r="B62" s="107">
        <f>IFERROR(B59/B60-1,"")</f>
        <v/>
      </c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</row>
  </sheetData>
  <mergeCells count="8">
    <mergeCell ref="A13:M13"/>
    <mergeCell ref="A1:M1"/>
    <mergeCell ref="A23:M23"/>
    <mergeCell ref="A5:M5"/>
    <mergeCell ref="A34:M34"/>
    <mergeCell ref="A43:M43"/>
    <mergeCell ref="A2:M2"/>
    <mergeCell ref="A51:M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08" t="inlineStr">
        <is>
          <t>JS SCORECARD — SBUX  |  Master Prompt v2  |  30 May 2026  |  Sector bucket: Stable Compounder</t>
        </is>
      </c>
    </row>
    <row r="2" ht="18" customHeight="1">
      <c r="A2" s="109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0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1" t="inlineStr">
        <is>
          <t>CRITERION</t>
        </is>
      </c>
      <c r="B6" s="112" t="inlineStr">
        <is>
          <t>PART</t>
        </is>
      </c>
      <c r="C6" s="112" t="inlineStr">
        <is>
          <t>WEIGHT %</t>
        </is>
      </c>
      <c r="D6" s="112" t="inlineStr">
        <is>
          <t>CALCULATED VALUE</t>
        </is>
      </c>
      <c r="E6" s="112" t="inlineStr">
        <is>
          <t>TIER  ▼</t>
        </is>
      </c>
      <c r="F6" s="112" t="inlineStr">
        <is>
          <t>SCORE</t>
        </is>
      </c>
      <c r="G6" s="112" t="inlineStr">
        <is>
          <t>WTD SCORE</t>
        </is>
      </c>
      <c r="H6" s="111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3" t="inlineStr">
        <is>
          <t xml:space="preserve">  Business Clarity</t>
        </is>
      </c>
      <c r="B8" s="114" t="inlineStr">
        <is>
          <t>P1</t>
        </is>
      </c>
      <c r="C8" s="115" t="n">
        <v>0.025</v>
      </c>
      <c r="D8" s="116" t="inlineStr">
        <is>
          <t>— user input required</t>
        </is>
      </c>
      <c r="E8" s="117" t="n"/>
      <c r="F8" s="118">
        <f>IF(E8="HIGH",10,IF(E8="MOD-HIGH",7,IF(E8="MOD-LOW",3,IF(E8="LOW",0,""))))</f>
        <v/>
      </c>
      <c r="G8" s="119">
        <f>IF(F8="",0,C8*F8*10)</f>
        <v/>
      </c>
      <c r="H8" s="120" t="inlineStr"/>
    </row>
    <row r="9" ht="18" customHeight="1">
      <c r="A9" s="121" t="inlineStr">
        <is>
          <t xml:space="preserve">  Moat Profile</t>
        </is>
      </c>
      <c r="B9" s="122" t="inlineStr">
        <is>
          <t>P1</t>
        </is>
      </c>
      <c r="C9" s="123" t="n">
        <v>0.1</v>
      </c>
      <c r="D9" s="124" t="inlineStr">
        <is>
          <t>GM 24.2% ✗ (&gt;40%)  |  GM trend -1.8% ✗ (&gt;+1pp)  |  ROIC-WACC +36.4% ✓ (&gt;+5pp)  |  Rev consistency σ=4.9% ✓ (&lt;8%)  [2/4 indicators positive — proxy score]</t>
        </is>
      </c>
      <c r="E9" s="125" t="inlineStr">
        <is>
          <t>MOD-LOW</t>
        </is>
      </c>
      <c r="F9" s="126" t="n">
        <v>5</v>
      </c>
      <c r="G9" s="127">
        <f>IF(F9="",0,C9*F9*10)</f>
        <v/>
      </c>
      <c r="H9" s="128" t="inlineStr">
        <is>
          <t>GM 24.2% ✗ (&gt;40%)  |  GM trend -1.8% ✗ (&gt;+1pp)  |  ROIC-WACC +36.4% ✓ (&gt;+5pp)  |  Rev consistency σ=4.9% ✓ (&lt;8%)  [2/4 indicators positive — proxy score]</t>
        </is>
      </c>
    </row>
    <row r="10" ht="18" customHeight="1">
      <c r="A10" s="113" t="inlineStr">
        <is>
          <t xml:space="preserve">  Long-Term Potential</t>
        </is>
      </c>
      <c r="B10" s="114" t="inlineStr">
        <is>
          <t>P1</t>
        </is>
      </c>
      <c r="C10" s="115" t="n">
        <v>0.1</v>
      </c>
      <c r="D10" s="116" t="inlineStr">
        <is>
          <t>— user input required</t>
        </is>
      </c>
      <c r="E10" s="117" t="n"/>
      <c r="F10" s="118">
        <f>IF(E10="HIGH",10,IF(E10="MOD-HIGH",7,IF(E10="MOD-LOW",3,IF(E10="LOW",0,""))))</f>
        <v/>
      </c>
      <c r="G10" s="119">
        <f>IF(F10="",0,C10*F10*10)</f>
        <v/>
      </c>
      <c r="H10" s="120" t="inlineStr"/>
    </row>
    <row r="11" ht="18" customHeight="1">
      <c r="A11" s="121" t="inlineStr">
        <is>
          <t xml:space="preserve">  Management</t>
        </is>
      </c>
      <c r="B11" s="122" t="inlineStr">
        <is>
          <t>P1</t>
        </is>
      </c>
      <c r="C11" s="123" t="n">
        <v>0.075</v>
      </c>
      <c r="D11" s="124" t="inlineStr">
        <is>
          <t>ROIC trend -57.5% ✗ (&gt;=-2pp)  |  GM maintained -1.8% ✗  |  Op margin -4.7% ✗ (≥-2pp)  |  Capital returns LOW ✗  |  Share count -0.8%/yr ✓ (net buyback)  [1/5 indicators positive — proxy score]</t>
        </is>
      </c>
      <c r="E11" s="129" t="inlineStr">
        <is>
          <t>LOW</t>
        </is>
      </c>
      <c r="F11" s="126" t="n">
        <v>2</v>
      </c>
      <c r="G11" s="127">
        <f>IF(F11="",0,C11*F11*10)</f>
        <v/>
      </c>
      <c r="H11" s="128" t="inlineStr">
        <is>
          <t>ROIC trend -57.5% ✗ (&gt;=-2pp)  |  GM maintained -1.8% ✗  |  Op margin -4.7% ✗ (≥-2pp)  |  Capital returns LOW ✗  |  Share count -0.8%/yr ✓ (net buyback)  [1/5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1" t="inlineStr">
        <is>
          <t xml:space="preserve">  Revenue 3yr CAGR</t>
        </is>
      </c>
      <c r="B13" s="122" t="inlineStr">
        <is>
          <t>P2</t>
        </is>
      </c>
      <c r="C13" s="123" t="n">
        <v>0.1</v>
      </c>
      <c r="D13" s="124" t="inlineStr">
        <is>
          <t>4.9%</t>
        </is>
      </c>
      <c r="E13" s="125" t="inlineStr">
        <is>
          <t>MOD-LOW</t>
        </is>
      </c>
      <c r="F13" s="126" t="n">
        <v>6.72</v>
      </c>
      <c r="G13" s="127">
        <f>IF(F13="",0,C13*F13*10)</f>
        <v/>
      </c>
      <c r="H13" s="128" t="inlineStr">
        <is>
          <t>4.9%</t>
        </is>
      </c>
    </row>
    <row r="14" ht="18" customHeight="1">
      <c r="A14" s="121" t="inlineStr">
        <is>
          <t xml:space="preserve">  Cash Quality  (FCF / Net Income)</t>
        </is>
      </c>
      <c r="B14" s="122" t="inlineStr">
        <is>
          <t>P2</t>
        </is>
      </c>
      <c r="C14" s="123" t="n">
        <v>0.1</v>
      </c>
      <c r="D14" s="124" t="inlineStr">
        <is>
          <t>119%  [through-cycle: 70/30 latest+5yr median, latest 131.5% → smoothed 118.8%]</t>
        </is>
      </c>
      <c r="E14" s="130" t="inlineStr">
        <is>
          <t>HIGH</t>
        </is>
      </c>
      <c r="F14" s="126" t="n">
        <v>10</v>
      </c>
      <c r="G14" s="127">
        <f>IF(F14="",0,C14*F14*10)</f>
        <v/>
      </c>
      <c r="H14" s="128" t="inlineStr">
        <is>
          <t>119%  [through-cycle: 70/30 latest+5yr median, latest 131.5% → smoothed 118.8%]</t>
        </is>
      </c>
    </row>
    <row r="15" ht="18" customHeight="1">
      <c r="A15" s="121" t="inlineStr">
        <is>
          <t xml:space="preserve">  Capital Returns</t>
        </is>
      </c>
      <c r="B15" s="122" t="inlineStr">
        <is>
          <t>P2</t>
        </is>
      </c>
      <c r="C15" s="123" t="n">
        <v>0.05</v>
      </c>
      <c r="D15" s="124" t="inlineStr">
        <is>
          <t>No capital returns in latest year</t>
        </is>
      </c>
      <c r="E15" s="129" t="inlineStr">
        <is>
          <t>LOW</t>
        </is>
      </c>
      <c r="F15" s="126" t="n">
        <v>0</v>
      </c>
      <c r="G15" s="127">
        <f>IF(F15="",0,C15*F15*10)</f>
        <v/>
      </c>
      <c r="H15" s="128" t="inlineStr">
        <is>
          <t>No capital returns in latest year</t>
        </is>
      </c>
    </row>
    <row r="16" ht="18" customHeight="1">
      <c r="A16" s="121" t="inlineStr">
        <is>
          <t xml:space="preserve">  ROIC</t>
        </is>
      </c>
      <c r="B16" s="122" t="inlineStr">
        <is>
          <t>P2</t>
        </is>
      </c>
      <c r="C16" s="123" t="n">
        <v>0.075</v>
      </c>
      <c r="D16" s="124" t="inlineStr">
        <is>
          <t>61.6%  [trend penalty: declined &gt;5pp vs 3yr ago]  [through-cycle: 70/30 latest+5yr median, latest 44.3% → smoothed 61.6%]</t>
        </is>
      </c>
      <c r="E16" s="131" t="inlineStr">
        <is>
          <t>MOD-HIGH</t>
        </is>
      </c>
      <c r="F16" s="126" t="n">
        <v>6.5</v>
      </c>
      <c r="G16" s="127">
        <f>IF(F16="",0,C16*F16*10)</f>
        <v/>
      </c>
      <c r="H16" s="128" t="inlineStr">
        <is>
          <t>61.6%  [trend penalty: declined &gt;5pp vs 3yr ago]  [through-cycle: 70/30 latest+5yr median, latest 44.3% → smoothed 61.6%]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1" t="inlineStr">
        <is>
          <t xml:space="preserve">  Credit Risk  (D / EBITDA)</t>
        </is>
      </c>
      <c r="B18" s="122" t="inlineStr">
        <is>
          <t>P3</t>
        </is>
      </c>
      <c r="C18" s="123" t="n">
        <v>0.05</v>
      </c>
      <c r="D18" s="124" t="inlineStr">
        <is>
          <t>2.7x  [through-cycle: 70/30 latest+5yr median, latest 3.0x → smoothed 2.7x]</t>
        </is>
      </c>
      <c r="E18" s="131" t="inlineStr">
        <is>
          <t>MOD-HIGH</t>
        </is>
      </c>
      <c r="F18" s="126" t="n">
        <v>7.5</v>
      </c>
      <c r="G18" s="127">
        <f>IF(F18="",0,C18*F18*10)</f>
        <v/>
      </c>
      <c r="H18" s="128" t="inlineStr">
        <is>
          <t>2.7x  [through-cycle: 70/30 latest+5yr median, latest 3.0x → smoothed 2.7x]</t>
        </is>
      </c>
    </row>
    <row r="19" ht="18" customHeight="1">
      <c r="A19" s="121" t="inlineStr">
        <is>
          <t xml:space="preserve">  Interest Cover  (EBIT / Interest)</t>
        </is>
      </c>
      <c r="B19" s="122" t="inlineStr">
        <is>
          <t>P3</t>
        </is>
      </c>
      <c r="C19" s="123" t="n">
        <v>0.075</v>
      </c>
      <c r="D19" s="124" t="inlineStr">
        <is>
          <t>6.6x</t>
        </is>
      </c>
      <c r="E19" s="131" t="inlineStr">
        <is>
          <t>MOD-HIGH</t>
        </is>
      </c>
      <c r="F19" s="126" t="n">
        <v>8.300000000000001</v>
      </c>
      <c r="G19" s="127">
        <f>IF(F19="",0,C19*F19*10)</f>
        <v/>
      </c>
      <c r="H19" s="128" t="inlineStr">
        <is>
          <t>6.6x</t>
        </is>
      </c>
    </row>
    <row r="20" ht="18" customHeight="1">
      <c r="A20" s="121" t="inlineStr">
        <is>
          <t xml:space="preserve">  Execution Risk</t>
        </is>
      </c>
      <c r="B20" s="122" t="inlineStr">
        <is>
          <t>P3</t>
        </is>
      </c>
      <c r="C20" s="123" t="n">
        <v>0.05</v>
      </c>
      <c r="D20" s="124" t="inlineStr">
        <is>
          <t>Rev growth σ=4.9%  |  OM trend -7.1%, σ=2.5%  [quality = direction + stability]</t>
        </is>
      </c>
      <c r="E20" s="125" t="inlineStr">
        <is>
          <t>MOD-LOW</t>
        </is>
      </c>
      <c r="F20" s="126" t="n">
        <v>3.33</v>
      </c>
      <c r="G20" s="127">
        <f>IF(F20="",0,C20*F20*10)</f>
        <v/>
      </c>
      <c r="H20" s="128" t="inlineStr">
        <is>
          <t>Rev growth σ=4.9%  |  OM trend -7.1%, σ=2.5%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1" t="inlineStr">
        <is>
          <t xml:space="preserve">  Valuation vs Median  (P/E)</t>
        </is>
      </c>
      <c r="B22" s="122" t="inlineStr">
        <is>
          <t>P4</t>
        </is>
      </c>
      <c r="C22" s="123" t="n">
        <v>0.1</v>
      </c>
      <c r="D22" s="124" t="inlineStr">
        <is>
          <t>Fwd P/E 41.5x (scoring basis)  |  5yr avg 35.2x  |  DCF-implied 13.6x [ref only — not used as benchmark]  [+18% vs benchmark]  [trail=4.14 | fwd_pe=41.5x→4.14 | abs=1.5 → blended 40/40/20=3.61]  PEG=88.88 (fwd_pe=41.5x / eps_growth=47%)  [revision:Strong upgrade cycle→+0.50]</t>
        </is>
      </c>
      <c r="E22" s="125" t="inlineStr">
        <is>
          <t>MOD-LOW</t>
        </is>
      </c>
      <c r="F22" s="126" t="n">
        <v>4.11</v>
      </c>
      <c r="G22" s="127">
        <f>IF(F22="",0,C22*F22*10)</f>
        <v/>
      </c>
      <c r="H22" s="128" t="inlineStr">
        <is>
          <t>Fwd P/E 41.5x (scoring basis)  |  5yr avg 35.2x  |  DCF-implied 13.6x [ref only — not used as benchmark]  [+18% vs benchmark]  [trail=4.14 | fwd_pe=41.5x→4.14 | abs=1.5 → blended 40/40/20=3.61]  PEG=88.88 (fwd_pe=41.5x / eps_growth=47%)  [revision:Strong upgrade cycle→+0.50]</t>
        </is>
      </c>
    </row>
    <row r="23" ht="18" customHeight="1">
      <c r="A23" s="121" t="inlineStr">
        <is>
          <t xml:space="preserve">  Valuation vs Median  (P/FCF)</t>
        </is>
      </c>
      <c r="B23" s="122" t="inlineStr">
        <is>
          <t>P4</t>
        </is>
      </c>
      <c r="C23" s="123" t="n">
        <v>0.1</v>
      </c>
      <c r="D23" s="124" t="inlineStr">
        <is>
          <t>Current 40.0x  |  5yr avg 35.0x  |  DCF-implied 10.3x [ref only — not used as benchmark]  [+14% vs benchmark]  [trail=4.71 | fwd_pfcf=45.5x→2.40 | abs=4.0 → blended 40/40/20=3.65]  [fcf_yield=2.5% vs rf=4.5%  spread=-2.0%→modifier=-0.25]</t>
        </is>
      </c>
      <c r="E23" s="125" t="inlineStr">
        <is>
          <t>MOD-LOW</t>
        </is>
      </c>
      <c r="F23" s="126" t="n">
        <v>3.4</v>
      </c>
      <c r="G23" s="127">
        <f>IF(F23="",0,C23*F23*10)</f>
        <v/>
      </c>
      <c r="H23" s="128" t="inlineStr">
        <is>
          <t>Current 40.0x  |  5yr avg 35.0x  |  DCF-implied 10.3x [ref only — not used as benchmark]  [+14% vs benchmark]  [trail=4.71 | fwd_pfcf=45.5x→2.40 | abs=4.0 → blended 40/40/20=3.65]  [fcf_yield=2.5% vs rf=4.5%  spread=-2.0%→modifier=-0.25]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2" t="inlineStr">
        <is>
          <t>TOTAL SCORE  (max = 100.0)</t>
        </is>
      </c>
      <c r="B25" s="133" t="n"/>
      <c r="C25" s="133" t="n"/>
      <c r="D25" s="133" t="n"/>
      <c r="E25" s="133" t="n"/>
      <c r="F25" s="133" t="n"/>
      <c r="G25" s="134">
        <f>G8+G9+G10+G11+G13+G14+G15+G16+G18+G19+G20+G22+G23</f>
        <v/>
      </c>
      <c r="H25" s="135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6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7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2026-05-30T04:16:46Z</dcterms:created>
  <dcterms:modified xmlns:dcterms="http://purl.org/dc/terms/" xmlns:xsi="http://www.w3.org/2001/XMLSchema-instance" xsi:type="dcterms:W3CDTF">2026-05-30T04:16:59Z</dcterms:modified>
</cp:coreProperties>
</file>