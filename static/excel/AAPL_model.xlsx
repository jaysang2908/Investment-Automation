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AAPL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416161</v>
      </c>
    </row>
    <row r="8">
      <c r="A8" s="3" t="inlineStr">
        <is>
          <t>Gross Profit ($mm)</t>
        </is>
      </c>
      <c r="B8" s="7" t="n">
        <v>195201</v>
      </c>
    </row>
    <row r="9">
      <c r="A9" s="3" t="inlineStr">
        <is>
          <t>EBITDA ($mm)</t>
        </is>
      </c>
      <c r="B9" s="7" t="n">
        <v>144427</v>
      </c>
    </row>
    <row r="10">
      <c r="A10" s="3" t="inlineStr">
        <is>
          <t>EBIT ($mm)</t>
        </is>
      </c>
      <c r="B10" s="7" t="n">
        <v>133050</v>
      </c>
    </row>
    <row r="11">
      <c r="A11" s="3" t="inlineStr">
        <is>
          <t>Net Income ($mm)</t>
        </is>
      </c>
      <c r="B11" s="7" t="n">
        <v>112010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365817</v>
      </c>
      <c r="C5" s="16" t="n">
        <v>394328</v>
      </c>
      <c r="D5" s="16" t="n">
        <v>383285</v>
      </c>
      <c r="E5" s="16" t="n">
        <v>391035</v>
      </c>
      <c r="F5" s="16" t="n">
        <v>416161</v>
      </c>
    </row>
    <row r="6">
      <c r="A6" s="17" t="inlineStr">
        <is>
          <t>(2)  Cost of Revenue (COGS)</t>
        </is>
      </c>
      <c r="B6" s="18" t="n">
        <v>212981</v>
      </c>
      <c r="C6" s="18" t="n">
        <v>223546</v>
      </c>
      <c r="D6" s="18" t="n">
        <v>214137</v>
      </c>
      <c r="E6" s="18" t="n">
        <v>210352</v>
      </c>
      <c r="F6" s="18" t="n">
        <v>220960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21973</v>
      </c>
      <c r="C9" s="18" t="n">
        <v>25094</v>
      </c>
      <c r="D9" s="18" t="n">
        <v>24932</v>
      </c>
      <c r="E9" s="18" t="n">
        <v>26097</v>
      </c>
      <c r="F9" s="18" t="n">
        <v>27601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43887</v>
      </c>
      <c r="C11" s="18" t="n">
        <v>51345</v>
      </c>
      <c r="D11" s="18" t="n">
        <v>54847</v>
      </c>
      <c r="E11" s="18" t="n">
        <v>57467</v>
      </c>
      <c r="F11" s="18" t="n">
        <v>62151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11284</v>
      </c>
      <c r="C14" s="18" t="n">
        <v>11104</v>
      </c>
      <c r="D14" s="18" t="n">
        <v>11519</v>
      </c>
      <c r="E14" s="18" t="n">
        <v>11445</v>
      </c>
      <c r="F14" s="18" t="n">
        <v>11698</v>
      </c>
    </row>
    <row r="15">
      <c r="A15" s="19" t="inlineStr">
        <is>
          <t>(8)  EBIT (Operating Income)</t>
        </is>
      </c>
      <c r="B15" s="24" t="n">
        <v>108949</v>
      </c>
      <c r="C15" s="24" t="n">
        <v>119437</v>
      </c>
      <c r="D15" s="24" t="n">
        <v>114301</v>
      </c>
      <c r="E15" s="24" t="n">
        <v>123216</v>
      </c>
      <c r="F15" s="24" t="n">
        <v>133050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2645</v>
      </c>
      <c r="C17" s="18" t="n">
        <v>2931</v>
      </c>
      <c r="D17" s="18" t="n">
        <v>3933</v>
      </c>
      <c r="E17" s="18" t="n">
        <v>0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2843</v>
      </c>
      <c r="C18" s="18" t="n">
        <v>2825</v>
      </c>
      <c r="D18" s="18" t="n">
        <v>3750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109207</v>
      </c>
      <c r="C21" s="24" t="n">
        <v>119103</v>
      </c>
      <c r="D21" s="24" t="n">
        <v>113736</v>
      </c>
      <c r="E21" s="24" t="n">
        <v>123485</v>
      </c>
      <c r="F21" s="24" t="n">
        <v>132729</v>
      </c>
    </row>
    <row r="22">
      <c r="A22" s="17" t="inlineStr">
        <is>
          <t>(11) Income Tax Expense</t>
        </is>
      </c>
      <c r="B22" s="18" t="n">
        <v>14527</v>
      </c>
      <c r="C22" s="18" t="n">
        <v>19300</v>
      </c>
      <c r="D22" s="18" t="n">
        <v>16741</v>
      </c>
      <c r="E22" s="18" t="n">
        <v>29749</v>
      </c>
      <c r="F22" s="18" t="n">
        <v>20719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94680</v>
      </c>
      <c r="C24" s="24" t="n">
        <v>99803</v>
      </c>
      <c r="D24" s="24" t="n">
        <v>96995</v>
      </c>
      <c r="E24" s="24" t="n">
        <v>93736</v>
      </c>
      <c r="F24" s="24" t="n">
        <v>112010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365817</v>
      </c>
      <c r="C30" s="16" t="n">
        <v>394328</v>
      </c>
      <c r="D30" s="16" t="n">
        <v>383285</v>
      </c>
      <c r="E30" s="16" t="n">
        <v>391035</v>
      </c>
      <c r="F30" s="16" t="n">
        <v>416161</v>
      </c>
    </row>
    <row r="31">
      <c r="A31" s="17" t="inlineStr">
        <is>
          <t>Cost of Revenue</t>
        </is>
      </c>
      <c r="B31" s="18" t="n">
        <v>212981</v>
      </c>
      <c r="C31" s="18" t="n">
        <v>223546</v>
      </c>
      <c r="D31" s="18" t="n">
        <v>214137</v>
      </c>
      <c r="E31" s="18" t="n">
        <v>210352</v>
      </c>
      <c r="F31" s="18" t="n">
        <v>220960</v>
      </c>
    </row>
    <row r="32">
      <c r="A32" s="26" t="inlineStr">
        <is>
          <t>Gross Profit</t>
        </is>
      </c>
      <c r="B32" s="27" t="n">
        <v>152836</v>
      </c>
      <c r="C32" s="27" t="n">
        <v>170782</v>
      </c>
      <c r="D32" s="27" t="n">
        <v>169148</v>
      </c>
      <c r="E32" s="27" t="n">
        <v>180683</v>
      </c>
      <c r="F32" s="27" t="n">
        <v>195201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21914</v>
      </c>
      <c r="C34" s="18" t="n">
        <v>26251</v>
      </c>
      <c r="D34" s="18" t="n">
        <v>29915</v>
      </c>
      <c r="E34" s="18" t="n">
        <v>31370</v>
      </c>
      <c r="F34" s="18" t="n">
        <v>34550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7458</v>
      </c>
      <c r="F35" s="18" t="n">
        <v>27601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18639</v>
      </c>
      <c r="F36" s="18" t="n">
        <v>0</v>
      </c>
    </row>
    <row r="37">
      <c r="A37" s="17" t="inlineStr">
        <is>
          <t>SG&amp;A (Combined)</t>
        </is>
      </c>
      <c r="B37" s="18" t="n">
        <v>21973</v>
      </c>
      <c r="C37" s="18" t="n">
        <v>25094</v>
      </c>
      <c r="D37" s="18" t="n">
        <v>24932</v>
      </c>
      <c r="E37" s="18" t="n">
        <v>26097</v>
      </c>
      <c r="F37" s="18" t="n">
        <v>27601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43887</v>
      </c>
      <c r="C39" s="27" t="n">
        <v>51345</v>
      </c>
      <c r="D39" s="27" t="n">
        <v>54847</v>
      </c>
      <c r="E39" s="27" t="n">
        <v>57467</v>
      </c>
      <c r="F39" s="27" t="n">
        <v>62151</v>
      </c>
    </row>
    <row r="40">
      <c r="A40" s="17" t="inlineStr">
        <is>
          <t>Cost &amp; Expenses (COGS + Opex)</t>
        </is>
      </c>
      <c r="B40" s="18" t="n">
        <v>256868</v>
      </c>
      <c r="C40" s="18" t="n">
        <v>274891</v>
      </c>
      <c r="D40" s="18" t="n">
        <v>268984</v>
      </c>
      <c r="E40" s="18" t="n">
        <v>267819</v>
      </c>
      <c r="F40" s="18" t="n">
        <v>283111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108949</v>
      </c>
      <c r="C42" s="16" t="n">
        <v>119437</v>
      </c>
      <c r="D42" s="16" t="n">
        <v>114301</v>
      </c>
      <c r="E42" s="16" t="n">
        <v>123216</v>
      </c>
      <c r="F42" s="16" t="n">
        <v>133050</v>
      </c>
    </row>
    <row r="43">
      <c r="A43" s="17" t="inlineStr">
        <is>
          <t>EBIT (FMP field)</t>
        </is>
      </c>
      <c r="B43" s="18" t="n">
        <v>111852</v>
      </c>
      <c r="C43" s="18" t="n">
        <v>122034</v>
      </c>
      <c r="D43" s="18" t="n">
        <v>117669</v>
      </c>
      <c r="E43" s="18" t="n">
        <v>123485</v>
      </c>
      <c r="F43" s="18" t="n">
        <v>132729</v>
      </c>
    </row>
    <row r="44">
      <c r="A44" s="26" t="inlineStr">
        <is>
          <t>EBITDA</t>
        </is>
      </c>
      <c r="B44" s="27" t="n">
        <v>123136</v>
      </c>
      <c r="C44" s="27" t="n">
        <v>133138</v>
      </c>
      <c r="D44" s="27" t="n">
        <v>129188</v>
      </c>
      <c r="E44" s="27" t="n">
        <v>134930</v>
      </c>
      <c r="F44" s="27" t="n">
        <v>144427</v>
      </c>
    </row>
    <row r="45">
      <c r="A45" s="17" t="inlineStr">
        <is>
          <t>Depreciation &amp; Amortisation</t>
        </is>
      </c>
      <c r="B45" s="18" t="n">
        <v>11284</v>
      </c>
      <c r="C45" s="18" t="n">
        <v>11104</v>
      </c>
      <c r="D45" s="18" t="n">
        <v>11519</v>
      </c>
      <c r="E45" s="18" t="n">
        <v>11445</v>
      </c>
      <c r="F45" s="18" t="n">
        <v>11698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2843</v>
      </c>
      <c r="C47" s="18" t="n">
        <v>2825</v>
      </c>
      <c r="D47" s="18" t="n">
        <v>3750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2645</v>
      </c>
      <c r="C48" s="18" t="n">
        <v>2931</v>
      </c>
      <c r="D48" s="18" t="n">
        <v>3933</v>
      </c>
      <c r="E48" s="18" t="n">
        <v>0</v>
      </c>
      <c r="F48" s="18" t="n">
        <v>0</v>
      </c>
    </row>
    <row r="49">
      <c r="A49" s="17" t="inlineStr">
        <is>
          <t>Net Interest Income</t>
        </is>
      </c>
      <c r="B49" s="18" t="n">
        <v>198</v>
      </c>
      <c r="C49" s="18" t="n">
        <v>-106</v>
      </c>
      <c r="D49" s="18" t="n">
        <v>-183</v>
      </c>
      <c r="E49" s="18" t="n">
        <v>0</v>
      </c>
      <c r="F49" s="18" t="n">
        <v>0</v>
      </c>
    </row>
    <row r="50">
      <c r="A50" s="17" t="inlineStr">
        <is>
          <t>Non-Operating Income (ex-interest)</t>
        </is>
      </c>
      <c r="B50" s="18" t="n">
        <v>-2903</v>
      </c>
      <c r="C50" s="18" t="n">
        <v>-2597</v>
      </c>
      <c r="D50" s="18" t="n">
        <v>-3368</v>
      </c>
      <c r="E50" s="18" t="n">
        <v>-269</v>
      </c>
      <c r="F50" s="18" t="n">
        <v>321</v>
      </c>
    </row>
    <row r="51">
      <c r="A51" s="17" t="inlineStr">
        <is>
          <t>Total Other Income / (Expenses)</t>
        </is>
      </c>
      <c r="B51" s="18" t="n">
        <v>258</v>
      </c>
      <c r="C51" s="18" t="n">
        <v>-334</v>
      </c>
      <c r="D51" s="18" t="n">
        <v>-565</v>
      </c>
      <c r="E51" s="18" t="n">
        <v>269</v>
      </c>
      <c r="F51" s="18" t="n">
        <v>-321</v>
      </c>
    </row>
    <row r="52">
      <c r="A52" s="26" t="inlineStr">
        <is>
          <t>EBT / Income Before Tax</t>
        </is>
      </c>
      <c r="B52" s="27" t="n">
        <v>109207</v>
      </c>
      <c r="C52" s="27" t="n">
        <v>119103</v>
      </c>
      <c r="D52" s="27" t="n">
        <v>113736</v>
      </c>
      <c r="E52" s="27" t="n">
        <v>123485</v>
      </c>
      <c r="F52" s="27" t="n">
        <v>132729</v>
      </c>
    </row>
    <row r="53">
      <c r="A53" s="17" t="inlineStr">
        <is>
          <t>Income Tax Expense</t>
        </is>
      </c>
      <c r="B53" s="18" t="n">
        <v>14527</v>
      </c>
      <c r="C53" s="18" t="n">
        <v>19300</v>
      </c>
      <c r="D53" s="18" t="n">
        <v>16741</v>
      </c>
      <c r="E53" s="18" t="n">
        <v>29749</v>
      </c>
      <c r="F53" s="18" t="n">
        <v>20719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94680</v>
      </c>
      <c r="C55" s="18" t="n">
        <v>99803</v>
      </c>
      <c r="D55" s="18" t="n">
        <v>96995</v>
      </c>
      <c r="E55" s="18" t="n">
        <v>93736</v>
      </c>
      <c r="F55" s="18" t="n">
        <v>112010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94680</v>
      </c>
      <c r="C59" s="27" t="n">
        <v>99803</v>
      </c>
      <c r="D59" s="27" t="n">
        <v>96995</v>
      </c>
      <c r="E59" s="27" t="n">
        <v>93736</v>
      </c>
      <c r="F59" s="27" t="n">
        <v>112010</v>
      </c>
    </row>
    <row r="60">
      <c r="A60" s="15" t="inlineStr">
        <is>
          <t>Bottom Line Net Income</t>
        </is>
      </c>
      <c r="B60" s="16" t="n">
        <v>94680</v>
      </c>
      <c r="C60" s="16" t="n">
        <v>99803</v>
      </c>
      <c r="D60" s="16" t="n">
        <v>96995</v>
      </c>
      <c r="E60" s="16" t="n">
        <v>93736</v>
      </c>
      <c r="F60" s="16" t="n">
        <v>112010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5.67</v>
      </c>
      <c r="C62" s="18" t="n">
        <v>6.15</v>
      </c>
      <c r="D62" s="18" t="n">
        <v>6.16</v>
      </c>
      <c r="E62" s="18" t="n">
        <v>6.11</v>
      </c>
      <c r="F62" s="18" t="n">
        <v>7.49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16701.27</v>
      </c>
      <c r="C64" s="18" t="n">
        <v>16215.96</v>
      </c>
      <c r="D64" s="18" t="n">
        <v>15744.23</v>
      </c>
      <c r="E64" s="18" t="n">
        <v>15343.78</v>
      </c>
      <c r="F64" s="18" t="n">
        <v>14948.5</v>
      </c>
    </row>
    <row r="65">
      <c r="A65" s="17" t="inlineStr">
        <is>
          <t>Shares Outstanding — Diluted (mm)</t>
        </is>
      </c>
      <c r="B65" s="18" t="n">
        <v>16864.92</v>
      </c>
      <c r="C65" s="18" t="n">
        <v>16325.82</v>
      </c>
      <c r="D65" s="18" t="n">
        <v>15812.55</v>
      </c>
      <c r="E65" s="18" t="n">
        <v>15408.09</v>
      </c>
      <c r="F65" s="18" t="n">
        <v>15004.7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34940</v>
      </c>
      <c r="C5" s="18" t="n">
        <v>23646</v>
      </c>
      <c r="D5" s="18" t="n">
        <v>29965</v>
      </c>
      <c r="E5" s="18" t="n">
        <v>29943</v>
      </c>
      <c r="F5" s="18" t="n">
        <v>35934</v>
      </c>
    </row>
    <row r="6">
      <c r="A6" s="17" t="inlineStr">
        <is>
          <t>(2)  Receivables</t>
        </is>
      </c>
      <c r="B6" s="18" t="n">
        <v>51506</v>
      </c>
      <c r="C6" s="18" t="n">
        <v>60932</v>
      </c>
      <c r="D6" s="18" t="n">
        <v>60985</v>
      </c>
      <c r="E6" s="18" t="n">
        <v>66243</v>
      </c>
      <c r="F6" s="18" t="n">
        <v>72957</v>
      </c>
    </row>
    <row r="7">
      <c r="A7" s="17" t="inlineStr">
        <is>
          <t>(3)  Inventory</t>
        </is>
      </c>
      <c r="B7" s="18" t="n">
        <v>6580</v>
      </c>
      <c r="C7" s="18" t="n">
        <v>4946</v>
      </c>
      <c r="D7" s="18" t="n">
        <v>6331</v>
      </c>
      <c r="E7" s="18" t="n">
        <v>7286</v>
      </c>
      <c r="F7" s="18" t="n">
        <v>5718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134836</v>
      </c>
      <c r="C9" s="24" t="n">
        <v>135405</v>
      </c>
      <c r="D9" s="24" t="n">
        <v>143566</v>
      </c>
      <c r="E9" s="24" t="n">
        <v>152987</v>
      </c>
      <c r="F9" s="24" t="n">
        <v>147957</v>
      </c>
    </row>
    <row r="10">
      <c r="A10" s="17" t="inlineStr">
        <is>
          <t>(6)  PP&amp;E (Net)</t>
        </is>
      </c>
      <c r="B10" s="18" t="n">
        <v>49527</v>
      </c>
      <c r="C10" s="18" t="n">
        <v>52534</v>
      </c>
      <c r="D10" s="18" t="n">
        <v>54376</v>
      </c>
      <c r="E10" s="18" t="n">
        <v>45680</v>
      </c>
      <c r="F10" s="18" t="n">
        <v>49834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15375</v>
      </c>
      <c r="D12" s="18" t="n">
        <v>17852</v>
      </c>
      <c r="E12" s="18" t="n">
        <v>19499</v>
      </c>
      <c r="F12" s="18" t="n">
        <v>20777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216166</v>
      </c>
      <c r="C14" s="24" t="n">
        <v>217350</v>
      </c>
      <c r="D14" s="24" t="n">
        <v>209017</v>
      </c>
      <c r="E14" s="24" t="n">
        <v>211993</v>
      </c>
      <c r="F14" s="24" t="n">
        <v>211284</v>
      </c>
    </row>
    <row r="15">
      <c r="A15" s="19" t="inlineStr">
        <is>
          <t>(11) Total Assets</t>
        </is>
      </c>
      <c r="B15" s="24" t="n">
        <v>351002</v>
      </c>
      <c r="C15" s="24" t="n">
        <v>352755</v>
      </c>
      <c r="D15" s="24" t="n">
        <v>352583</v>
      </c>
      <c r="E15" s="24" t="n">
        <v>364980</v>
      </c>
      <c r="F15" s="24" t="n">
        <v>359241</v>
      </c>
    </row>
    <row r="16" ht="6" customHeight="1"/>
    <row r="17">
      <c r="A17" s="17" t="inlineStr">
        <is>
          <t>(12) Accounts Payable</t>
        </is>
      </c>
      <c r="B17" s="18" t="n">
        <v>54763</v>
      </c>
      <c r="C17" s="18" t="n">
        <v>64115</v>
      </c>
      <c r="D17" s="18" t="n">
        <v>62611</v>
      </c>
      <c r="E17" s="18" t="n">
        <v>68960</v>
      </c>
      <c r="F17" s="18" t="n">
        <v>69860</v>
      </c>
    </row>
    <row r="18">
      <c r="A18" s="17" t="inlineStr">
        <is>
          <t>(13) Short-Term Borrowings</t>
        </is>
      </c>
      <c r="B18" s="18" t="n">
        <v>15613</v>
      </c>
      <c r="C18" s="18" t="n">
        <v>21110</v>
      </c>
      <c r="D18" s="18" t="n">
        <v>15807</v>
      </c>
      <c r="E18" s="18" t="n">
        <v>20879</v>
      </c>
      <c r="F18" s="18" t="n">
        <v>20329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125481</v>
      </c>
      <c r="C21" s="24" t="n">
        <v>153982</v>
      </c>
      <c r="D21" s="24" t="n">
        <v>145308</v>
      </c>
      <c r="E21" s="24" t="n">
        <v>176392</v>
      </c>
      <c r="F21" s="24" t="n">
        <v>165631</v>
      </c>
    </row>
    <row r="22">
      <c r="A22" s="17" t="inlineStr">
        <is>
          <t>(17) Long-Term Debt</t>
        </is>
      </c>
      <c r="B22" s="18" t="n">
        <v>109106</v>
      </c>
      <c r="C22" s="18" t="n">
        <v>98959</v>
      </c>
      <c r="D22" s="18" t="n">
        <v>95281</v>
      </c>
      <c r="E22" s="18" t="n">
        <v>85750</v>
      </c>
      <c r="F22" s="18" t="n">
        <v>78328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287912</v>
      </c>
      <c r="C25" s="24" t="n">
        <v>302083</v>
      </c>
      <c r="D25" s="24" t="n">
        <v>290437</v>
      </c>
      <c r="E25" s="24" t="n">
        <v>308030</v>
      </c>
      <c r="F25" s="24" t="n">
        <v>285508</v>
      </c>
    </row>
    <row r="26" ht="6" customHeight="1"/>
    <row r="27">
      <c r="A27" s="17" t="inlineStr">
        <is>
          <t>(21) Common Stock &amp; APIC</t>
        </is>
      </c>
      <c r="B27" s="18" t="n">
        <v>57365</v>
      </c>
      <c r="C27" s="18" t="n">
        <v>64849</v>
      </c>
      <c r="D27" s="18" t="n">
        <v>73812</v>
      </c>
      <c r="E27" s="18" t="n">
        <v>83276</v>
      </c>
      <c r="F27" s="18" t="n">
        <v>93568</v>
      </c>
    </row>
    <row r="28">
      <c r="A28" s="17" t="inlineStr">
        <is>
          <t>(22) Retained Earnings</t>
        </is>
      </c>
      <c r="B28" s="18" t="n">
        <v>5562</v>
      </c>
      <c r="C28" s="18" t="n">
        <v>-3068</v>
      </c>
      <c r="D28" s="18" t="n">
        <v>-214</v>
      </c>
      <c r="E28" s="18" t="n">
        <v>-19154</v>
      </c>
      <c r="F28" s="18" t="n">
        <v>-14264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63090</v>
      </c>
      <c r="C30" s="24" t="n">
        <v>50672</v>
      </c>
      <c r="D30" s="24" t="n">
        <v>62146</v>
      </c>
      <c r="E30" s="24" t="n">
        <v>56950</v>
      </c>
      <c r="F30" s="24" t="n">
        <v>73733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34940</v>
      </c>
      <c r="C36" s="18" t="n">
        <v>23646</v>
      </c>
      <c r="D36" s="18" t="n">
        <v>29965</v>
      </c>
      <c r="E36" s="18" t="n">
        <v>29943</v>
      </c>
      <c r="F36" s="18" t="n">
        <v>35934</v>
      </c>
    </row>
    <row r="37">
      <c r="A37" s="17" t="inlineStr">
        <is>
          <t>Short-Term Investments</t>
        </is>
      </c>
      <c r="B37" s="18" t="n">
        <v>27699</v>
      </c>
      <c r="C37" s="18" t="n">
        <v>24658</v>
      </c>
      <c r="D37" s="18" t="n">
        <v>31590</v>
      </c>
      <c r="E37" s="18" t="n">
        <v>35228</v>
      </c>
      <c r="F37" s="18" t="n">
        <v>18763</v>
      </c>
    </row>
    <row r="38">
      <c r="A38" s="28" t="inlineStr">
        <is>
          <t>Cash &amp; Short-Term Investments</t>
        </is>
      </c>
      <c r="B38" s="29" t="n">
        <v>62639</v>
      </c>
      <c r="C38" s="29" t="n">
        <v>48304</v>
      </c>
      <c r="D38" s="29" t="n">
        <v>61555</v>
      </c>
      <c r="E38" s="29" t="n">
        <v>65171</v>
      </c>
      <c r="F38" s="29" t="n">
        <v>54697</v>
      </c>
    </row>
    <row r="39">
      <c r="A39" s="17" t="inlineStr">
        <is>
          <t>Accounts Receivable (Trade)</t>
        </is>
      </c>
      <c r="B39" s="18" t="n">
        <v>26278</v>
      </c>
      <c r="C39" s="18" t="n">
        <v>28184</v>
      </c>
      <c r="D39" s="18" t="n">
        <v>29508</v>
      </c>
      <c r="E39" s="18" t="n">
        <v>33410</v>
      </c>
      <c r="F39" s="18" t="n">
        <v>39777</v>
      </c>
    </row>
    <row r="40">
      <c r="A40" s="17" t="inlineStr">
        <is>
          <t>Other Receivables</t>
        </is>
      </c>
      <c r="B40" s="18" t="n">
        <v>25228</v>
      </c>
      <c r="C40" s="18" t="n">
        <v>32748</v>
      </c>
      <c r="D40" s="18" t="n">
        <v>31477</v>
      </c>
      <c r="E40" s="18" t="n">
        <v>32833</v>
      </c>
      <c r="F40" s="18" t="n">
        <v>33180</v>
      </c>
    </row>
    <row r="41">
      <c r="A41" s="28" t="inlineStr">
        <is>
          <t>Net Receivables (Total)</t>
        </is>
      </c>
      <c r="B41" s="29" t="n">
        <v>51506</v>
      </c>
      <c r="C41" s="29" t="n">
        <v>60932</v>
      </c>
      <c r="D41" s="29" t="n">
        <v>60985</v>
      </c>
      <c r="E41" s="29" t="n">
        <v>66243</v>
      </c>
      <c r="F41" s="29" t="n">
        <v>72957</v>
      </c>
    </row>
    <row r="42">
      <c r="A42" s="17" t="inlineStr">
        <is>
          <t>Inventory</t>
        </is>
      </c>
      <c r="B42" s="18" t="n">
        <v>6580</v>
      </c>
      <c r="C42" s="18" t="n">
        <v>4946</v>
      </c>
      <c r="D42" s="18" t="n">
        <v>6331</v>
      </c>
      <c r="E42" s="18" t="n">
        <v>7286</v>
      </c>
      <c r="F42" s="18" t="n">
        <v>5718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14111</v>
      </c>
      <c r="C44" s="18" t="n">
        <v>21223</v>
      </c>
      <c r="D44" s="18" t="n">
        <v>14695</v>
      </c>
      <c r="E44" s="18" t="n">
        <v>14287</v>
      </c>
      <c r="F44" s="18" t="n">
        <v>14585</v>
      </c>
    </row>
    <row r="45">
      <c r="A45" s="26" t="inlineStr">
        <is>
          <t>Total Current Assets</t>
        </is>
      </c>
      <c r="B45" s="27" t="n">
        <v>134836</v>
      </c>
      <c r="C45" s="27" t="n">
        <v>135405</v>
      </c>
      <c r="D45" s="27" t="n">
        <v>143566</v>
      </c>
      <c r="E45" s="27" t="n">
        <v>152987</v>
      </c>
      <c r="F45" s="27" t="n">
        <v>147957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49527</v>
      </c>
      <c r="C47" s="18" t="n">
        <v>52534</v>
      </c>
      <c r="D47" s="18" t="n">
        <v>54376</v>
      </c>
      <c r="E47" s="18" t="n">
        <v>45680</v>
      </c>
      <c r="F47" s="18" t="n">
        <v>49834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127877</v>
      </c>
      <c r="C50" s="18" t="n">
        <v>120805</v>
      </c>
      <c r="D50" s="18" t="n">
        <v>100544</v>
      </c>
      <c r="E50" s="18" t="n">
        <v>91479</v>
      </c>
      <c r="F50" s="18" t="n">
        <v>77723</v>
      </c>
    </row>
    <row r="51">
      <c r="A51" s="17" t="inlineStr">
        <is>
          <t>Tax Assets (Deferred)</t>
        </is>
      </c>
      <c r="B51" s="18" t="n">
        <v>0</v>
      </c>
      <c r="C51" s="18" t="n">
        <v>15375</v>
      </c>
      <c r="D51" s="18" t="n">
        <v>17852</v>
      </c>
      <c r="E51" s="18" t="n">
        <v>19499</v>
      </c>
      <c r="F51" s="18" t="n">
        <v>20777</v>
      </c>
    </row>
    <row r="52">
      <c r="A52" s="17" t="inlineStr">
        <is>
          <t>Total Investments</t>
        </is>
      </c>
      <c r="B52" s="18" t="n">
        <v>155576</v>
      </c>
      <c r="C52" s="18" t="n">
        <v>145463</v>
      </c>
      <c r="D52" s="18" t="n">
        <v>132134</v>
      </c>
      <c r="E52" s="18" t="n">
        <v>126707</v>
      </c>
      <c r="F52" s="18" t="n">
        <v>96486</v>
      </c>
    </row>
    <row r="53">
      <c r="A53" s="17" t="inlineStr">
        <is>
          <t>Other Non-Current Assets</t>
        </is>
      </c>
      <c r="B53" s="18" t="n">
        <v>38762</v>
      </c>
      <c r="C53" s="18" t="n">
        <v>28636</v>
      </c>
      <c r="D53" s="18" t="n">
        <v>36245</v>
      </c>
      <c r="E53" s="18" t="n">
        <v>55335</v>
      </c>
      <c r="F53" s="18" t="n">
        <v>62950</v>
      </c>
    </row>
    <row r="54">
      <c r="A54" s="26" t="inlineStr">
        <is>
          <t>Total Non-Current Assets</t>
        </is>
      </c>
      <c r="B54" s="27" t="n">
        <v>216166</v>
      </c>
      <c r="C54" s="27" t="n">
        <v>217350</v>
      </c>
      <c r="D54" s="27" t="n">
        <v>209017</v>
      </c>
      <c r="E54" s="27" t="n">
        <v>211993</v>
      </c>
      <c r="F54" s="27" t="n">
        <v>211284</v>
      </c>
    </row>
    <row r="55">
      <c r="A55" s="13" t="inlineStr">
        <is>
          <t>TOTAL ASSETS</t>
        </is>
      </c>
      <c r="B55" s="30" t="n">
        <v>351002</v>
      </c>
      <c r="C55" s="30" t="n">
        <v>352755</v>
      </c>
      <c r="D55" s="30" t="n">
        <v>352583</v>
      </c>
      <c r="E55" s="30" t="n">
        <v>364980</v>
      </c>
      <c r="F55" s="30" t="n">
        <v>359241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54763</v>
      </c>
      <c r="C57" s="18" t="n">
        <v>64115</v>
      </c>
      <c r="D57" s="18" t="n">
        <v>62611</v>
      </c>
      <c r="E57" s="18" t="n">
        <v>68960</v>
      </c>
      <c r="F57" s="18" t="n">
        <v>69860</v>
      </c>
    </row>
    <row r="58">
      <c r="A58" s="17" t="inlineStr">
        <is>
          <t>Short-Term Debt</t>
        </is>
      </c>
      <c r="B58" s="18" t="n">
        <v>15613</v>
      </c>
      <c r="C58" s="18" t="n">
        <v>21110</v>
      </c>
      <c r="D58" s="18" t="n">
        <v>15807</v>
      </c>
      <c r="E58" s="18" t="n">
        <v>20879</v>
      </c>
      <c r="F58" s="18" t="n">
        <v>20329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7612</v>
      </c>
      <c r="C60" s="18" t="n">
        <v>7912</v>
      </c>
      <c r="D60" s="18" t="n">
        <v>8061</v>
      </c>
      <c r="E60" s="18" t="n">
        <v>8249</v>
      </c>
      <c r="F60" s="18" t="n">
        <v>9055</v>
      </c>
    </row>
    <row r="61">
      <c r="A61" s="17" t="inlineStr">
        <is>
          <t>Accrued &amp; Other Current Liabilities</t>
        </is>
      </c>
      <c r="B61" s="18" t="n">
        <v>45965</v>
      </c>
      <c r="C61" s="18" t="n">
        <v>52630</v>
      </c>
      <c r="D61" s="18" t="n">
        <v>48435</v>
      </c>
      <c r="E61" s="18" t="n">
        <v>50071</v>
      </c>
      <c r="F61" s="18" t="n">
        <v>42335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125481</v>
      </c>
      <c r="C63" s="27" t="n">
        <v>153982</v>
      </c>
      <c r="D63" s="27" t="n">
        <v>145308</v>
      </c>
      <c r="E63" s="27" t="n">
        <v>176392</v>
      </c>
      <c r="F63" s="27" t="n">
        <v>165631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109106</v>
      </c>
      <c r="C65" s="18" t="n">
        <v>98959</v>
      </c>
      <c r="D65" s="18" t="n">
        <v>95281</v>
      </c>
      <c r="E65" s="18" t="n">
        <v>85750</v>
      </c>
      <c r="F65" s="18" t="n">
        <v>78328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43050</v>
      </c>
      <c r="C69" s="18" t="n">
        <v>38394</v>
      </c>
      <c r="D69" s="18" t="n">
        <v>38581</v>
      </c>
      <c r="E69" s="18" t="n">
        <v>35090</v>
      </c>
      <c r="F69" s="18" t="n">
        <v>29946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287912</v>
      </c>
      <c r="C71" s="30" t="n">
        <v>302083</v>
      </c>
      <c r="D71" s="30" t="n">
        <v>290437</v>
      </c>
      <c r="E71" s="30" t="n">
        <v>308030</v>
      </c>
      <c r="F71" s="30" t="n">
        <v>285508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57365</v>
      </c>
      <c r="C73" s="18" t="n">
        <v>64849</v>
      </c>
      <c r="D73" s="18" t="n">
        <v>73812</v>
      </c>
      <c r="E73" s="18" t="n">
        <v>83276</v>
      </c>
      <c r="F73" s="18" t="n">
        <v>93568</v>
      </c>
    </row>
    <row r="74">
      <c r="A74" s="17" t="inlineStr">
        <is>
          <t>Retained Earnings</t>
        </is>
      </c>
      <c r="B74" s="18" t="n">
        <v>5562</v>
      </c>
      <c r="C74" s="18" t="n">
        <v>-3068</v>
      </c>
      <c r="D74" s="18" t="n">
        <v>-214</v>
      </c>
      <c r="E74" s="18" t="n">
        <v>-19154</v>
      </c>
      <c r="F74" s="18" t="n">
        <v>-14264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63090</v>
      </c>
      <c r="C78" s="27" t="n">
        <v>50672</v>
      </c>
      <c r="D78" s="27" t="n">
        <v>62146</v>
      </c>
      <c r="E78" s="27" t="n">
        <v>56950</v>
      </c>
      <c r="F78" s="27" t="n">
        <v>73733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104038</v>
      </c>
      <c r="C5" s="24" t="n">
        <v>122151</v>
      </c>
      <c r="D5" s="24" t="n">
        <v>110543</v>
      </c>
      <c r="E5" s="24" t="n">
        <v>118254</v>
      </c>
      <c r="F5" s="24" t="n">
        <v>111482</v>
      </c>
    </row>
    <row r="6">
      <c r="A6" s="17" t="inlineStr">
        <is>
          <t>(2)  Capital Expenditures</t>
        </is>
      </c>
      <c r="B6" s="18" t="n">
        <v>-11085</v>
      </c>
      <c r="C6" s="18" t="n">
        <v>-10708</v>
      </c>
      <c r="D6" s="18" t="n">
        <v>-10959</v>
      </c>
      <c r="E6" s="18" t="n">
        <v>-9447</v>
      </c>
      <c r="F6" s="18" t="n">
        <v>-12715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12665</v>
      </c>
      <c r="C9" s="18" t="n">
        <v>-123</v>
      </c>
      <c r="D9" s="18" t="n">
        <v>-9901</v>
      </c>
      <c r="E9" s="18" t="n">
        <v>-5998</v>
      </c>
      <c r="F9" s="18" t="n">
        <v>-8483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1105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-14467</v>
      </c>
      <c r="C12" s="18" t="n">
        <v>-14841</v>
      </c>
      <c r="D12" s="18" t="n">
        <v>-15025</v>
      </c>
      <c r="E12" s="18" t="n">
        <v>-15234</v>
      </c>
      <c r="F12" s="18" t="n">
        <v>-15421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92953</v>
      </c>
      <c r="C15" s="24" t="n">
        <v>111443</v>
      </c>
      <c r="D15" s="24" t="n">
        <v>99584</v>
      </c>
      <c r="E15" s="24" t="n">
        <v>108807</v>
      </c>
      <c r="F15" s="24" t="n">
        <v>98767</v>
      </c>
    </row>
    <row r="16">
      <c r="A16" s="15" t="inlineStr">
        <is>
          <t xml:space="preserve">     Net Change in Cash</t>
        </is>
      </c>
      <c r="B16" s="16" t="n">
        <v>-3860</v>
      </c>
      <c r="C16" s="16" t="n">
        <v>-10952</v>
      </c>
      <c r="D16" s="16" t="n">
        <v>5760</v>
      </c>
      <c r="E16" s="16" t="n">
        <v>-794</v>
      </c>
      <c r="F16" s="16" t="n">
        <v>5991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94680</v>
      </c>
      <c r="C21" s="18" t="n">
        <v>99803</v>
      </c>
      <c r="D21" s="18" t="n">
        <v>96995</v>
      </c>
      <c r="E21" s="18" t="n">
        <v>93736</v>
      </c>
      <c r="F21" s="18" t="n">
        <v>112010</v>
      </c>
    </row>
    <row r="22">
      <c r="A22" s="17" t="inlineStr">
        <is>
          <t>Depreciation &amp; Amortisation</t>
        </is>
      </c>
      <c r="B22" s="18" t="n">
        <v>11284</v>
      </c>
      <c r="C22" s="18" t="n">
        <v>11104</v>
      </c>
      <c r="D22" s="18" t="n">
        <v>11519</v>
      </c>
      <c r="E22" s="18" t="n">
        <v>11445</v>
      </c>
      <c r="F22" s="18" t="n">
        <v>11698</v>
      </c>
    </row>
    <row r="23">
      <c r="A23" s="17" t="inlineStr">
        <is>
          <t>Deferred Income Tax</t>
        </is>
      </c>
      <c r="B23" s="18" t="n">
        <v>-4774</v>
      </c>
      <c r="C23" s="18" t="n">
        <v>895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7906</v>
      </c>
      <c r="C24" s="18" t="n">
        <v>9038</v>
      </c>
      <c r="D24" s="18" t="n">
        <v>10833</v>
      </c>
      <c r="E24" s="18" t="n">
        <v>11688</v>
      </c>
      <c r="F24" s="18" t="n">
        <v>12863</v>
      </c>
    </row>
    <row r="25">
      <c r="A25" s="17" t="inlineStr">
        <is>
          <t>Change in Working Capital</t>
        </is>
      </c>
      <c r="B25" s="18" t="n">
        <v>-4911</v>
      </c>
      <c r="C25" s="18" t="n">
        <v>1200</v>
      </c>
      <c r="D25" s="18" t="n">
        <v>-6577</v>
      </c>
      <c r="E25" s="18" t="n">
        <v>3651</v>
      </c>
      <c r="F25" s="18" t="n">
        <v>-25000</v>
      </c>
    </row>
    <row r="26">
      <c r="A26" s="21" t="inlineStr">
        <is>
          <t xml:space="preserve">  — Accounts Receivable</t>
        </is>
      </c>
      <c r="B26" s="18" t="n">
        <v>-14028</v>
      </c>
      <c r="C26" s="18" t="n">
        <v>-9343</v>
      </c>
      <c r="D26" s="18" t="n">
        <v>-417</v>
      </c>
      <c r="E26" s="18" t="n">
        <v>-5144</v>
      </c>
      <c r="F26" s="18" t="n">
        <v>-6682</v>
      </c>
    </row>
    <row r="27">
      <c r="A27" s="21" t="inlineStr">
        <is>
          <t xml:space="preserve">  — Inventory</t>
        </is>
      </c>
      <c r="B27" s="18" t="n">
        <v>-2642</v>
      </c>
      <c r="C27" s="18" t="n">
        <v>1484</v>
      </c>
      <c r="D27" s="18" t="n">
        <v>-1618</v>
      </c>
      <c r="E27" s="18" t="n">
        <v>-1046</v>
      </c>
      <c r="F27" s="18" t="n">
        <v>1400</v>
      </c>
    </row>
    <row r="28">
      <c r="A28" s="21" t="inlineStr">
        <is>
          <t xml:space="preserve">  — Accounts Payable</t>
        </is>
      </c>
      <c r="B28" s="18" t="n">
        <v>12326</v>
      </c>
      <c r="C28" s="18" t="n">
        <v>9448</v>
      </c>
      <c r="D28" s="18" t="n">
        <v>-1889</v>
      </c>
      <c r="E28" s="18" t="n">
        <v>6020</v>
      </c>
      <c r="F28" s="18" t="n">
        <v>902</v>
      </c>
    </row>
    <row r="29">
      <c r="A29" s="21" t="inlineStr">
        <is>
          <t xml:space="preserve">  — Other Working Capital</t>
        </is>
      </c>
      <c r="B29" s="18" t="n">
        <v>-567</v>
      </c>
      <c r="C29" s="18" t="n">
        <v>-389</v>
      </c>
      <c r="D29" s="18" t="n">
        <v>-2653</v>
      </c>
      <c r="E29" s="18" t="n">
        <v>3821</v>
      </c>
      <c r="F29" s="18" t="n">
        <v>-20620</v>
      </c>
    </row>
    <row r="30">
      <c r="A30" s="17" t="inlineStr">
        <is>
          <t>Other Non-Cash Items</t>
        </is>
      </c>
      <c r="B30" s="18" t="n">
        <v>-147</v>
      </c>
      <c r="C30" s="18" t="n">
        <v>111</v>
      </c>
      <c r="D30" s="18" t="n">
        <v>-2227</v>
      </c>
      <c r="E30" s="18" t="n">
        <v>-2266</v>
      </c>
      <c r="F30" s="18" t="n">
        <v>-89</v>
      </c>
    </row>
    <row r="31">
      <c r="A31" s="26" t="inlineStr">
        <is>
          <t>Net Cash from Operations (CFO)</t>
        </is>
      </c>
      <c r="B31" s="27" t="n">
        <v>104038</v>
      </c>
      <c r="C31" s="27" t="n">
        <v>122151</v>
      </c>
      <c r="D31" s="27" t="n">
        <v>110543</v>
      </c>
      <c r="E31" s="27" t="n">
        <v>118254</v>
      </c>
      <c r="F31" s="27" t="n">
        <v>111482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-11085</v>
      </c>
      <c r="C33" s="18" t="n">
        <v>-10708</v>
      </c>
      <c r="D33" s="18" t="n">
        <v>-10959</v>
      </c>
      <c r="E33" s="18" t="n">
        <v>-9447</v>
      </c>
      <c r="F33" s="18" t="n">
        <v>-12715</v>
      </c>
    </row>
    <row r="34">
      <c r="A34" s="21" t="inlineStr">
        <is>
          <t xml:space="preserve">  (Alt: Invest. in PP&amp;E)</t>
        </is>
      </c>
      <c r="B34" s="18" t="n">
        <v>-11085</v>
      </c>
      <c r="C34" s="18" t="n">
        <v>-10708</v>
      </c>
      <c r="D34" s="18" t="n">
        <v>-10959</v>
      </c>
      <c r="E34" s="18" t="n">
        <v>-9447</v>
      </c>
      <c r="F34" s="18" t="n">
        <v>-12715</v>
      </c>
    </row>
    <row r="35">
      <c r="A35" s="17" t="inlineStr">
        <is>
          <t>Acquisitions (Net)</t>
        </is>
      </c>
      <c r="B35" s="18" t="n">
        <v>-33</v>
      </c>
      <c r="C35" s="18" t="n">
        <v>-306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-109558</v>
      </c>
      <c r="C36" s="18" t="n">
        <v>-76923</v>
      </c>
      <c r="D36" s="18" t="n">
        <v>-29513</v>
      </c>
      <c r="E36" s="18" t="n">
        <v>-48656</v>
      </c>
      <c r="F36" s="18" t="n">
        <v>-24407</v>
      </c>
    </row>
    <row r="37">
      <c r="A37" s="17" t="inlineStr">
        <is>
          <t>Sales / Maturities of Investments</t>
        </is>
      </c>
      <c r="B37" s="18" t="n">
        <v>106483</v>
      </c>
      <c r="C37" s="18" t="n">
        <v>67363</v>
      </c>
      <c r="D37" s="18" t="n">
        <v>45514</v>
      </c>
      <c r="E37" s="18" t="n">
        <v>62346</v>
      </c>
      <c r="F37" s="18" t="n">
        <v>53797</v>
      </c>
    </row>
    <row r="38">
      <c r="A38" s="17" t="inlineStr">
        <is>
          <t>Other Investing Activities</t>
        </is>
      </c>
      <c r="B38" s="18" t="n">
        <v>-352</v>
      </c>
      <c r="C38" s="18" t="n">
        <v>-1780</v>
      </c>
      <c r="D38" s="18" t="n">
        <v>-1337</v>
      </c>
      <c r="E38" s="18" t="n">
        <v>-1308</v>
      </c>
      <c r="F38" s="18" t="n">
        <v>-1480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12665</v>
      </c>
      <c r="C41" s="18" t="n">
        <v>-123</v>
      </c>
      <c r="D41" s="18" t="n">
        <v>-9901</v>
      </c>
      <c r="E41" s="18" t="n">
        <v>-5998</v>
      </c>
      <c r="F41" s="18" t="n">
        <v>-8483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1105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-85971</v>
      </c>
      <c r="C44" s="18" t="n">
        <v>-89402</v>
      </c>
      <c r="D44" s="18" t="n">
        <v>-77550</v>
      </c>
      <c r="E44" s="18" t="n">
        <v>-94949</v>
      </c>
      <c r="F44" s="18" t="n">
        <v>-90711</v>
      </c>
    </row>
    <row r="45">
      <c r="A45" s="17" t="inlineStr">
        <is>
          <t>Dividends Paid</t>
        </is>
      </c>
      <c r="B45" s="18" t="n">
        <v>-14467</v>
      </c>
      <c r="C45" s="18" t="n">
        <v>-14841</v>
      </c>
      <c r="D45" s="18" t="n">
        <v>-15025</v>
      </c>
      <c r="E45" s="18" t="n">
        <v>-15234</v>
      </c>
      <c r="F45" s="18" t="n">
        <v>-15421</v>
      </c>
    </row>
    <row r="46">
      <c r="A46" s="17" t="inlineStr">
        <is>
          <t>Other Financing Activities</t>
        </is>
      </c>
      <c r="B46" s="18" t="n">
        <v>-6685</v>
      </c>
      <c r="C46" s="18" t="n">
        <v>-6383</v>
      </c>
      <c r="D46" s="18" t="n">
        <v>-6012</v>
      </c>
      <c r="E46" s="18" t="n">
        <v>-5802</v>
      </c>
      <c r="F46" s="18" t="n">
        <v>-6071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-3860</v>
      </c>
      <c r="C50" s="16" t="n">
        <v>-10952</v>
      </c>
      <c r="D50" s="16" t="n">
        <v>5760</v>
      </c>
      <c r="E50" s="16" t="n">
        <v>-794</v>
      </c>
      <c r="F50" s="16" t="n">
        <v>5991</v>
      </c>
    </row>
    <row r="51">
      <c r="A51" s="17" t="inlineStr">
        <is>
          <t>Cash at Beginning of Period</t>
        </is>
      </c>
      <c r="B51" s="18" t="n">
        <v>39789</v>
      </c>
      <c r="C51" s="18" t="n">
        <v>35929</v>
      </c>
      <c r="D51" s="18" t="n">
        <v>24977</v>
      </c>
      <c r="E51" s="18" t="n">
        <v>30737</v>
      </c>
      <c r="F51" s="18" t="n">
        <v>29943</v>
      </c>
    </row>
    <row r="52">
      <c r="A52" s="26" t="inlineStr">
        <is>
          <t>Cash at End of Period</t>
        </is>
      </c>
      <c r="B52" s="27" t="n">
        <v>35929</v>
      </c>
      <c r="C52" s="27" t="n">
        <v>24977</v>
      </c>
      <c r="D52" s="27" t="n">
        <v>30737</v>
      </c>
      <c r="E52" s="27" t="n">
        <v>29943</v>
      </c>
      <c r="F52" s="27" t="n">
        <v>35934</v>
      </c>
    </row>
    <row r="53">
      <c r="A53" s="26" t="inlineStr">
        <is>
          <t>Free Cash Flow</t>
        </is>
      </c>
      <c r="B53" s="27" t="n">
        <v>92953</v>
      </c>
      <c r="C53" s="27" t="n">
        <v>111443</v>
      </c>
      <c r="D53" s="27" t="n">
        <v>99584</v>
      </c>
      <c r="E53" s="27" t="n">
        <v>108807</v>
      </c>
      <c r="F53" s="27" t="n">
        <v>98767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16864.92</v>
      </c>
      <c r="C61" s="18" t="n">
        <v>16325.82</v>
      </c>
      <c r="D61" s="18" t="n">
        <v>15812.55</v>
      </c>
      <c r="E61" s="18" t="n">
        <v>15408.09</v>
      </c>
      <c r="F61" s="18" t="n">
        <v>15004.7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33708</v>
      </c>
      <c r="C5" s="18" t="n">
        <v>29984</v>
      </c>
      <c r="D5" s="18" t="n">
        <v>29357</v>
      </c>
      <c r="E5" s="18" t="n">
        <v>40177</v>
      </c>
      <c r="F5" s="18" t="n">
        <v>35190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AAPL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4379916.43276</v>
      </c>
      <c r="C5" s="44" t="inlineStr">
        <is>
          <t>FMP marketCap  |  price $298.21</t>
        </is>
      </c>
    </row>
    <row r="6">
      <c r="A6" s="17" t="inlineStr">
        <is>
          <t>Debt  (gross book value, $mm)</t>
        </is>
      </c>
      <c r="B6" s="43" t="n">
        <v>98657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1.065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1.044</v>
      </c>
      <c r="C17" s="44" t="inlineStr">
        <is>
          <t>Mean-reversion toward market beta of 1.0</t>
        </is>
      </c>
    </row>
    <row r="18">
      <c r="A18" s="17" t="inlineStr">
        <is>
          <t>Damodaran industry unlevered  (Consumer Electronics)</t>
        </is>
      </c>
      <c r="B18" s="50" t="n">
        <v>1.05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0.02x,  t = 15.6%)</t>
        </is>
      </c>
      <c r="B19" s="50" t="n">
        <v>1.07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1.009</v>
      </c>
      <c r="C20" s="44" t="inlineStr">
        <is>
          <t>AMZN: 1.468  |  HD: 0.999  |  MCD: 0.436  |  NKE: 1.</t>
        </is>
      </c>
    </row>
    <row r="21">
      <c r="A21" s="47" t="inlineStr">
        <is>
          <t>► Selected beta  (user override)</t>
        </is>
      </c>
      <c r="B21" s="51" t="n">
        <v>1.047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$133050mm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</v>
      </c>
      <c r="C36" s="44" t="inlineStr">
        <is>
          <t>Rf 4.46%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47" t="inlineStr">
        <is>
          <t>► Selected pre-tax Rd  (user override)</t>
        </is>
      </c>
      <c r="B38" s="48" t="n">
        <v>0.025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0.1561</v>
      </c>
      <c r="C41" s="44" t="inlineStr">
        <is>
          <t>FMP: $20719mm  /  $132729mm</t>
        </is>
      </c>
    </row>
    <row r="42">
      <c r="A42" s="47" t="inlineStr">
        <is>
          <t>► Selected tax rate  (user override)</t>
        </is>
      </c>
      <c r="B42" s="48" t="n">
        <v>0.1561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B8*B29+B9*B38*(1-B42)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B8*(B13+(B21+(-1.0))*(B26+(-0.01)))+B9*B38*(1-B42)</f>
        <v/>
      </c>
      <c r="C49" s="59">
        <f>B8*(B13+(B21+(-1.0))*(B26+(-0.005)))+B9*B38*(1-B42)</f>
        <v/>
      </c>
      <c r="D49" s="59">
        <f>B8*(B13+(B21+(-1.0))*(B26+(0.0)))+B9*B38*(1-B42)</f>
        <v/>
      </c>
      <c r="E49" s="59">
        <f>B8*(B13+(B21+(-1.0))*(B26+(0.005)))+B9*B38*(1-B42)</f>
        <v/>
      </c>
      <c r="F49" s="59">
        <f>B8*(B13+(B21+(-1.0))*(B26+(0.01)))+B9*B38*(1-B42)</f>
        <v/>
      </c>
    </row>
    <row r="50">
      <c r="A50" s="58" t="inlineStr">
        <is>
          <t>-0.5</t>
        </is>
      </c>
      <c r="B50" s="59">
        <f>B8*(B13+(B21+(-0.5))*(B26+(-0.01)))+B9*B38*(1-B42)</f>
        <v/>
      </c>
      <c r="C50" s="59">
        <f>B8*(B13+(B21+(-0.5))*(B26+(-0.005)))+B9*B38*(1-B42)</f>
        <v/>
      </c>
      <c r="D50" s="59">
        <f>B8*(B13+(B21+(-0.5))*(B26+(0.0)))+B9*B38*(1-B42)</f>
        <v/>
      </c>
      <c r="E50" s="59">
        <f>B8*(B13+(B21+(-0.5))*(B26+(0.005)))+B9*B38*(1-B42)</f>
        <v/>
      </c>
      <c r="F50" s="59">
        <f>B8*(B13+(B21+(-0.5))*(B26+(0.01)))+B9*B38*(1-B42)</f>
        <v/>
      </c>
    </row>
    <row r="51">
      <c r="A51" s="60" t="inlineStr">
        <is>
          <t>Base β</t>
        </is>
      </c>
      <c r="B51" s="61">
        <f>B8*(B13+(B21+(0.0))*(B26+(-0.01)))+B9*B38*(1-B42)</f>
        <v/>
      </c>
      <c r="C51" s="61">
        <f>B8*(B13+(B21+(0.0))*(B26+(-0.005)))+B9*B38*(1-B42)</f>
        <v/>
      </c>
      <c r="D51" s="62">
        <f>B8*(B13+(B21+(0.0))*(B26+(0.0)))+B9*B38*(1-B42)</f>
        <v/>
      </c>
      <c r="E51" s="61">
        <f>B8*(B13+(B21+(0.0))*(B26+(0.005)))+B9*B38*(1-B42)</f>
        <v/>
      </c>
      <c r="F51" s="61">
        <f>B8*(B13+(B21+(0.0))*(B26+(0.01)))+B9*B38*(1-B42)</f>
        <v/>
      </c>
    </row>
    <row r="52">
      <c r="A52" s="58" t="inlineStr">
        <is>
          <t>+0.5</t>
        </is>
      </c>
      <c r="B52" s="59">
        <f>B8*(B13+(B21+(0.5))*(B26+(-0.01)))+B9*B38*(1-B42)</f>
        <v/>
      </c>
      <c r="C52" s="59">
        <f>B8*(B13+(B21+(0.5))*(B26+(-0.005)))+B9*B38*(1-B42)</f>
        <v/>
      </c>
      <c r="D52" s="59">
        <f>B8*(B13+(B21+(0.5))*(B26+(0.0)))+B9*B38*(1-B42)</f>
        <v/>
      </c>
      <c r="E52" s="59">
        <f>B8*(B13+(B21+(0.5))*(B26+(0.005)))+B9*B38*(1-B42)</f>
        <v/>
      </c>
      <c r="F52" s="59">
        <f>B8*(B13+(B21+(0.5))*(B26+(0.01)))+B9*B38*(1-B42)</f>
        <v/>
      </c>
    </row>
    <row r="53">
      <c r="A53" s="58" t="inlineStr">
        <is>
          <t>+1.0</t>
        </is>
      </c>
      <c r="B53" s="59">
        <f>B8*(B13+(B21+(1.0))*(B26+(-0.01)))+B9*B38*(1-B42)</f>
        <v/>
      </c>
      <c r="C53" s="59">
        <f>B8*(B13+(B21+(1.0))*(B26+(-0.005)))+B9*B38*(1-B42)</f>
        <v/>
      </c>
      <c r="D53" s="59">
        <f>B8*(B13+(B21+(1.0))*(B26+(0.0)))+B9*B38*(1-B42)</f>
        <v/>
      </c>
      <c r="E53" s="59">
        <f>B8*(B13+(B21+(1.0))*(B26+(0.005)))+B9*B38*(1-B42)</f>
        <v/>
      </c>
      <c r="F53" s="59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AAPL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0.1433</v>
      </c>
      <c r="H7" s="71" t="n">
        <v>0.0824</v>
      </c>
      <c r="I7" s="71" t="n">
        <v>0.0613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0.3609</v>
      </c>
      <c r="H8" s="71" t="n">
        <v>0.3609</v>
      </c>
      <c r="I8" s="71" t="n">
        <v>0.3609</v>
      </c>
      <c r="J8" s="72">
        <f>I8</f>
        <v/>
      </c>
      <c r="K8" s="72">
        <f>I8</f>
        <v/>
      </c>
      <c r="L8" s="73" t="n">
        <v>0.347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475789.5</v>
      </c>
      <c r="H15" s="77" t="n">
        <v>515015.1</v>
      </c>
      <c r="I15" s="77" t="n">
        <v>546602.6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470,463 — 483,098</t>
        </is>
      </c>
      <c r="H16" s="82" t="inlineStr">
        <is>
          <t>495,458 — 554,189</t>
        </is>
      </c>
      <c r="I16" s="82" t="inlineStr">
        <is>
          <t>543,225 — 549,981</t>
        </is>
      </c>
      <c r="J16" s="82" t="inlineStr">
        <is>
          <t>575,224 — 634,981</t>
        </is>
      </c>
      <c r="K16" s="82" t="inlineStr">
        <is>
          <t>606,938 — 669,989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26</v>
      </c>
      <c r="H17" s="84" t="n">
        <v>31</v>
      </c>
      <c r="I17" s="84" t="n">
        <v>21</v>
      </c>
      <c r="J17" s="84" t="n">
        <v>13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171729.1</v>
      </c>
      <c r="H20" s="77" t="n">
        <v>185886.9</v>
      </c>
      <c r="I20" s="77" t="n">
        <v>197288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169,806 — 174,367</t>
        </is>
      </c>
      <c r="H21" s="82" t="inlineStr">
        <is>
          <t>178,828 — 200,026</t>
        </is>
      </c>
      <c r="I21" s="82" t="inlineStr">
        <is>
          <t>196,069 — 198,507</t>
        </is>
      </c>
      <c r="J21" s="82" t="inlineStr">
        <is>
          <t>207,619 — 229,187</t>
        </is>
      </c>
      <c r="K21" s="82" t="inlineStr">
        <is>
          <t>219,065 — 241,822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(1.9%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(1.9%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15004.7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298.21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AAPL  |  Master Prompt v2  |  15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46.9% ✓ (&gt;40%)  |  GM trend +3.6% ✓ (&gt;+1pp)  |  ROIC-WACC +82.3% ✓ (&gt;+5pp)  |  Rev consistency σ=4.1%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46.9% ✓ (&gt;40%)  |  GM trend +3.6% ✓ (&gt;+1pp)  |  ROIC-WACC +82.3% ✓ (&gt;+5pp)  |  Rev consistency σ=4.1%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+14.2% ✓ (≥-2pp)  |  GM maintained +3.6% ✓  |  Op margin +1.7% ✓ (≥-2pp)  |  Capital returns HIGH ✓  |  Share count -2.7%/yr ✓ (net buyback)  |  Goodwill/Equity 0% ✓ (organic)  [6/6 indicators positive — proxy score]</t>
        </is>
      </c>
      <c r="E11" s="130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+14.2% ✓ (≥-2pp)  |  GM maintained +3.6% ✓  |  Op margin +1.7% ✓ (≥-2pp)  |  Capital returns HIGH ✓  |  Share count -2.7%/yr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1.8%</t>
        </is>
      </c>
      <c r="E13" s="134" t="inlineStr">
        <is>
          <t>LOW</t>
        </is>
      </c>
      <c r="F13" s="131" t="n">
        <v>0.91</v>
      </c>
      <c r="G13" s="132">
        <f>IF(F13="",0,C13*F13*10)</f>
        <v/>
      </c>
      <c r="H13" s="133" t="inlineStr">
        <is>
          <t>1.8%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93%  [trend penalty: declined &gt;15pp vs 3yr ago]  [through-cycle: 70/30 latest+5yr median, latest 88.2% → smoothed 92.5%]</t>
        </is>
      </c>
      <c r="E14" s="135" t="inlineStr">
        <is>
          <t>MOD-HIGH</t>
        </is>
      </c>
      <c r="F14" s="131" t="n">
        <v>8.380000000000001</v>
      </c>
      <c r="G14" s="132">
        <f>IF(F14="",0,C14*F14*10)</f>
        <v/>
      </c>
      <c r="H14" s="133" t="inlineStr">
        <is>
          <t>93%  [trend penalty: declined &gt;15pp vs 3yr ago]  [through-cycle: 70/30 latest+5yr median, latest 88.2% → smoothed 92.5%]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$90,711mm latest FY — 5yr+ consistent equity-funded  [payout 92% of FCF]</t>
        </is>
      </c>
      <c r="E15" s="130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$90,711mm latest FY — 5yr+ consistent equity-funded  [payout 92%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78.0%  [through-cycle: 70/30 latest+5yr median, latest 82.3% → smoothed 78.0%]</t>
        </is>
      </c>
      <c r="E16" s="130" t="inlineStr">
        <is>
          <t>HIGH</t>
        </is>
      </c>
      <c r="F16" s="131" t="n">
        <v>12</v>
      </c>
      <c r="G16" s="132">
        <f>IF(F16="",0,C16*F16*10)</f>
        <v/>
      </c>
      <c r="H16" s="133" t="inlineStr">
        <is>
          <t>78.0%  [through-cycle: 70/30 latest+5yr median, latest 82.3% → smoothed 78.0%]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0.7x  [through-cycle: 70/30 latest+5yr median, latest 0.7x → smoothed 0.7x]</t>
        </is>
      </c>
      <c r="E18" s="130" t="inlineStr">
        <is>
          <t>HIGH</t>
        </is>
      </c>
      <c r="F18" s="131" t="n">
        <v>10.79</v>
      </c>
      <c r="G18" s="132">
        <f>IF(F18="",0,C18*F18*10)</f>
        <v/>
      </c>
      <c r="H18" s="133" t="inlineStr">
        <is>
          <t>0.7x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0" t="inlineStr">
        <is>
          <t>HIGH</t>
        </is>
      </c>
      <c r="F19" s="131" t="n">
        <v>12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σ=4.1%  |  Op margin σ=0.9%  [proxy — lower σ = lower risk = higher score]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σ=4.1%  |  Op margin σ=0.9%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34.1x  |  5yr avg 29.9x  |  Sector median 31.7x  |  DCF-implied 20.1x  [+70% vs benchmark]</t>
        </is>
      </c>
      <c r="E22" s="134" t="inlineStr">
        <is>
          <t>LOW</t>
        </is>
      </c>
      <c r="F22" s="131" t="n">
        <v>0</v>
      </c>
      <c r="G22" s="132">
        <f>IF(F22="",0,C22*F22*10)</f>
        <v/>
      </c>
      <c r="H22" s="133" t="inlineStr">
        <is>
          <t>Current 34.1x  |  5yr avg 29.9x  |  Sector median 31.7x  |  DCF-implied 20.1x  [+70%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38.7x  |  5yr avg 29.2x  |  Sector median 27.5x  |  DCF-implied 22.7x  [+70% vs benchmark]</t>
        </is>
      </c>
      <c r="E23" s="134" t="inlineStr">
        <is>
          <t>LOW</t>
        </is>
      </c>
      <c r="F23" s="131" t="n">
        <v>0</v>
      </c>
      <c r="G23" s="132">
        <f>IF(F23="",0,C23*F23*10)</f>
        <v/>
      </c>
      <c r="H23" s="133" t="inlineStr">
        <is>
          <t>Current 38.7x  |  5yr avg 29.2x  |  Sector median 27.5x  |  DCF-implied 22.7x  [+70%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2026-05-15T11:57:13Z</dcterms:created>
  <dcterms:modified xsi:type="dcterms:W3CDTF">2026-05-15T11:57:41Z</dcterms:modified>
</cp:coreProperties>
</file>