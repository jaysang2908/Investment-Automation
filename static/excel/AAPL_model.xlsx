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3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4" borderId="1" applyAlignment="1" pivotButton="0" quotePrefix="0" xfId="0">
      <alignment horizontal="left" vertical="center" indent="1"/>
    </xf>
    <xf numFmtId="0" fontId="26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left" vertical="center" indent="1"/>
    </xf>
    <xf numFmtId="0" fontId="24" fillId="3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AAPL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416161</v>
      </c>
    </row>
    <row r="7">
      <c r="A7" s="4" t="inlineStr">
        <is>
          <t>Gross Profit ($mm)</t>
        </is>
      </c>
      <c r="B7" s="6" t="n">
        <v>195201</v>
      </c>
    </row>
    <row r="8">
      <c r="A8" s="4" t="inlineStr">
        <is>
          <t>EBITDA ($mm)</t>
        </is>
      </c>
      <c r="B8" s="6" t="n">
        <v>144427</v>
      </c>
    </row>
    <row r="9">
      <c r="A9" s="4" t="inlineStr">
        <is>
          <t>EBIT ($mm)</t>
        </is>
      </c>
      <c r="B9" s="6" t="n">
        <v>133050</v>
      </c>
    </row>
    <row r="10">
      <c r="A10" s="4" t="inlineStr">
        <is>
          <t>Net Income ($mm)</t>
        </is>
      </c>
      <c r="B10" s="6" t="n">
        <v>112010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365817</v>
      </c>
      <c r="C5" s="15" t="n">
        <v>394328</v>
      </c>
      <c r="D5" s="15" t="n">
        <v>383285</v>
      </c>
      <c r="E5" s="15" t="n">
        <v>391035</v>
      </c>
      <c r="F5" s="15" t="n">
        <v>416161</v>
      </c>
    </row>
    <row r="6">
      <c r="A6" s="16" t="inlineStr">
        <is>
          <t>(2)  Cost of Revenue (COGS)</t>
        </is>
      </c>
      <c r="B6" s="17" t="n">
        <v>212981</v>
      </c>
      <c r="C6" s="17" t="n">
        <v>223546</v>
      </c>
      <c r="D6" s="17" t="n">
        <v>214137</v>
      </c>
      <c r="E6" s="17" t="n">
        <v>210352</v>
      </c>
      <c r="F6" s="17" t="n">
        <v>220960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21973</v>
      </c>
      <c r="C9" s="17" t="n">
        <v>25094</v>
      </c>
      <c r="D9" s="17" t="n">
        <v>24932</v>
      </c>
      <c r="E9" s="17" t="n">
        <v>26097</v>
      </c>
      <c r="F9" s="17" t="n">
        <v>27601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43887</v>
      </c>
      <c r="C11" s="17" t="n">
        <v>51345</v>
      </c>
      <c r="D11" s="17" t="n">
        <v>54847</v>
      </c>
      <c r="E11" s="17" t="n">
        <v>57467</v>
      </c>
      <c r="F11" s="17" t="n">
        <v>62151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11284</v>
      </c>
      <c r="C14" s="17" t="n">
        <v>11104</v>
      </c>
      <c r="D14" s="17" t="n">
        <v>11519</v>
      </c>
      <c r="E14" s="17" t="n">
        <v>11445</v>
      </c>
      <c r="F14" s="17" t="n">
        <v>11698</v>
      </c>
    </row>
    <row r="15">
      <c r="A15" s="18" t="inlineStr">
        <is>
          <t>(8)  EBIT (Operating Income)</t>
        </is>
      </c>
      <c r="B15" s="23" t="n">
        <v>108949</v>
      </c>
      <c r="C15" s="23" t="n">
        <v>119437</v>
      </c>
      <c r="D15" s="23" t="n">
        <v>114301</v>
      </c>
      <c r="E15" s="23" t="n">
        <v>123216</v>
      </c>
      <c r="F15" s="23" t="n">
        <v>133050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2645</v>
      </c>
      <c r="C17" s="17" t="n">
        <v>2931</v>
      </c>
      <c r="D17" s="17" t="n">
        <v>3933</v>
      </c>
      <c r="E17" s="17" t="n">
        <v>0</v>
      </c>
      <c r="F17" s="17" t="n">
        <v>0</v>
      </c>
    </row>
    <row r="18">
      <c r="A18" s="20" t="inlineStr">
        <is>
          <t xml:space="preserve">     Interest Income</t>
        </is>
      </c>
      <c r="B18" s="17" t="n">
        <v>2843</v>
      </c>
      <c r="C18" s="17" t="n">
        <v>2825</v>
      </c>
      <c r="D18" s="17" t="n">
        <v>3750</v>
      </c>
      <c r="E18" s="17" t="n">
        <v>0</v>
      </c>
      <c r="F18" s="17" t="n">
        <v>0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109207</v>
      </c>
      <c r="C21" s="23" t="n">
        <v>119103</v>
      </c>
      <c r="D21" s="23" t="n">
        <v>113736</v>
      </c>
      <c r="E21" s="23" t="n">
        <v>123485</v>
      </c>
      <c r="F21" s="23" t="n">
        <v>132729</v>
      </c>
    </row>
    <row r="22">
      <c r="A22" s="16" t="inlineStr">
        <is>
          <t>(11) Income Tax Expense</t>
        </is>
      </c>
      <c r="B22" s="17" t="n">
        <v>14527</v>
      </c>
      <c r="C22" s="17" t="n">
        <v>19300</v>
      </c>
      <c r="D22" s="17" t="n">
        <v>16741</v>
      </c>
      <c r="E22" s="17" t="n">
        <v>29749</v>
      </c>
      <c r="F22" s="17" t="n">
        <v>20719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94680</v>
      </c>
      <c r="C24" s="23" t="n">
        <v>99803</v>
      </c>
      <c r="D24" s="23" t="n">
        <v>96995</v>
      </c>
      <c r="E24" s="23" t="n">
        <v>93736</v>
      </c>
      <c r="F24" s="23" t="n">
        <v>112010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365817</v>
      </c>
      <c r="C30" s="15" t="n">
        <v>394328</v>
      </c>
      <c r="D30" s="15" t="n">
        <v>383285</v>
      </c>
      <c r="E30" s="15" t="n">
        <v>391035</v>
      </c>
      <c r="F30" s="15" t="n">
        <v>416161</v>
      </c>
    </row>
    <row r="31">
      <c r="A31" s="16" t="inlineStr">
        <is>
          <t>Cost of Revenue</t>
        </is>
      </c>
      <c r="B31" s="17" t="n">
        <v>212981</v>
      </c>
      <c r="C31" s="17" t="n">
        <v>223546</v>
      </c>
      <c r="D31" s="17" t="n">
        <v>214137</v>
      </c>
      <c r="E31" s="17" t="n">
        <v>210352</v>
      </c>
      <c r="F31" s="17" t="n">
        <v>220960</v>
      </c>
    </row>
    <row r="32">
      <c r="A32" s="25" t="inlineStr">
        <is>
          <t>Gross Profit</t>
        </is>
      </c>
      <c r="B32" s="26" t="n">
        <v>152836</v>
      </c>
      <c r="C32" s="26" t="n">
        <v>170782</v>
      </c>
      <c r="D32" s="26" t="n">
        <v>169148</v>
      </c>
      <c r="E32" s="26" t="n">
        <v>180683</v>
      </c>
      <c r="F32" s="26" t="n">
        <v>195201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21914</v>
      </c>
      <c r="C34" s="17" t="n">
        <v>26251</v>
      </c>
      <c r="D34" s="17" t="n">
        <v>29915</v>
      </c>
      <c r="E34" s="17" t="n">
        <v>31370</v>
      </c>
      <c r="F34" s="17" t="n">
        <v>34550</v>
      </c>
    </row>
    <row r="35">
      <c r="A35" s="16" t="inlineStr">
        <is>
          <t>General &amp; Administrative</t>
        </is>
      </c>
      <c r="B35" s="17" t="n">
        <v>0</v>
      </c>
      <c r="C35" s="17" t="n">
        <v>0</v>
      </c>
      <c r="D35" s="17" t="n">
        <v>0</v>
      </c>
      <c r="E35" s="17" t="n">
        <v>7458</v>
      </c>
      <c r="F35" s="17" t="n">
        <v>8077</v>
      </c>
    </row>
    <row r="36">
      <c r="A36" s="16" t="inlineStr">
        <is>
          <t>Selling &amp; Marketing</t>
        </is>
      </c>
      <c r="B36" s="17" t="n">
        <v>0</v>
      </c>
      <c r="C36" s="17" t="n">
        <v>0</v>
      </c>
      <c r="D36" s="17" t="n">
        <v>0</v>
      </c>
      <c r="E36" s="17" t="n">
        <v>18639</v>
      </c>
      <c r="F36" s="17" t="n">
        <v>19524</v>
      </c>
    </row>
    <row r="37">
      <c r="A37" s="16" t="inlineStr">
        <is>
          <t>SG&amp;A (Combined)</t>
        </is>
      </c>
      <c r="B37" s="17" t="n">
        <v>21973</v>
      </c>
      <c r="C37" s="17" t="n">
        <v>25094</v>
      </c>
      <c r="D37" s="17" t="n">
        <v>24932</v>
      </c>
      <c r="E37" s="17" t="n">
        <v>26097</v>
      </c>
      <c r="F37" s="17" t="n">
        <v>27601</v>
      </c>
    </row>
    <row r="38">
      <c r="A38" s="16" t="inlineStr">
        <is>
          <t>Other Expenses</t>
        </is>
      </c>
      <c r="B38" s="17" t="n">
        <v>0</v>
      </c>
      <c r="C38" s="17" t="n">
        <v>0</v>
      </c>
      <c r="D38" s="17" t="n">
        <v>0</v>
      </c>
      <c r="E38" s="17" t="n">
        <v>0</v>
      </c>
      <c r="F38" s="17" t="n">
        <v>0</v>
      </c>
    </row>
    <row r="39">
      <c r="A39" s="25" t="inlineStr">
        <is>
          <t>Total Operating Expenses</t>
        </is>
      </c>
      <c r="B39" s="26" t="n">
        <v>43887</v>
      </c>
      <c r="C39" s="26" t="n">
        <v>51345</v>
      </c>
      <c r="D39" s="26" t="n">
        <v>54847</v>
      </c>
      <c r="E39" s="26" t="n">
        <v>57467</v>
      </c>
      <c r="F39" s="26" t="n">
        <v>62151</v>
      </c>
    </row>
    <row r="40">
      <c r="A40" s="16" t="inlineStr">
        <is>
          <t>Cost &amp; Expenses (COGS + Opex)</t>
        </is>
      </c>
      <c r="B40" s="17" t="n">
        <v>256868</v>
      </c>
      <c r="C40" s="17" t="n">
        <v>274891</v>
      </c>
      <c r="D40" s="17" t="n">
        <v>268984</v>
      </c>
      <c r="E40" s="17" t="n">
        <v>267819</v>
      </c>
      <c r="F40" s="17" t="n">
        <v>283111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108949</v>
      </c>
      <c r="C42" s="15" t="n">
        <v>119437</v>
      </c>
      <c r="D42" s="15" t="n">
        <v>114301</v>
      </c>
      <c r="E42" s="15" t="n">
        <v>123216</v>
      </c>
      <c r="F42" s="15" t="n">
        <v>133050</v>
      </c>
    </row>
    <row r="43">
      <c r="A43" s="16" t="inlineStr">
        <is>
          <t>EBIT (FMP field)</t>
        </is>
      </c>
      <c r="B43" s="17" t="n">
        <v>111852</v>
      </c>
      <c r="C43" s="17" t="n">
        <v>122034</v>
      </c>
      <c r="D43" s="17" t="n">
        <v>117669</v>
      </c>
      <c r="E43" s="17" t="n">
        <v>123485</v>
      </c>
      <c r="F43" s="17" t="n">
        <v>132729</v>
      </c>
    </row>
    <row r="44">
      <c r="A44" s="25" t="inlineStr">
        <is>
          <t>EBITDA</t>
        </is>
      </c>
      <c r="B44" s="26" t="n">
        <v>123136</v>
      </c>
      <c r="C44" s="26" t="n">
        <v>133138</v>
      </c>
      <c r="D44" s="26" t="n">
        <v>129188</v>
      </c>
      <c r="E44" s="26" t="n">
        <v>134930</v>
      </c>
      <c r="F44" s="26" t="n">
        <v>144427</v>
      </c>
    </row>
    <row r="45">
      <c r="A45" s="16" t="inlineStr">
        <is>
          <t>Depreciation &amp; Amortisation</t>
        </is>
      </c>
      <c r="B45" s="17" t="n">
        <v>11284</v>
      </c>
      <c r="C45" s="17" t="n">
        <v>11104</v>
      </c>
      <c r="D45" s="17" t="n">
        <v>11519</v>
      </c>
      <c r="E45" s="17" t="n">
        <v>11445</v>
      </c>
      <c r="F45" s="17" t="n">
        <v>11698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2843</v>
      </c>
      <c r="C47" s="17" t="n">
        <v>2825</v>
      </c>
      <c r="D47" s="17" t="n">
        <v>3750</v>
      </c>
      <c r="E47" s="17" t="n">
        <v>0</v>
      </c>
      <c r="F47" s="17" t="n">
        <v>0</v>
      </c>
    </row>
    <row r="48">
      <c r="A48" s="16" t="inlineStr">
        <is>
          <t>Interest Expense</t>
        </is>
      </c>
      <c r="B48" s="17" t="n">
        <v>2645</v>
      </c>
      <c r="C48" s="17" t="n">
        <v>2931</v>
      </c>
      <c r="D48" s="17" t="n">
        <v>3933</v>
      </c>
      <c r="E48" s="17" t="n">
        <v>0</v>
      </c>
      <c r="F48" s="17" t="n">
        <v>0</v>
      </c>
    </row>
    <row r="49">
      <c r="A49" s="16" t="inlineStr">
        <is>
          <t>Net Interest Income</t>
        </is>
      </c>
      <c r="B49" s="17" t="n">
        <v>198</v>
      </c>
      <c r="C49" s="17" t="n">
        <v>-106</v>
      </c>
      <c r="D49" s="17" t="n">
        <v>-183</v>
      </c>
      <c r="E49" s="17" t="n">
        <v>0</v>
      </c>
      <c r="F49" s="17" t="n">
        <v>0</v>
      </c>
    </row>
    <row r="50">
      <c r="A50" s="16" t="inlineStr">
        <is>
          <t>Non-Operating Income (ex-interest)</t>
        </is>
      </c>
      <c r="B50" s="17" t="n">
        <v>-2903</v>
      </c>
      <c r="C50" s="17" t="n">
        <v>-2597</v>
      </c>
      <c r="D50" s="17" t="n">
        <v>-3368</v>
      </c>
      <c r="E50" s="17" t="n">
        <v>-269</v>
      </c>
      <c r="F50" s="17" t="n">
        <v>321</v>
      </c>
    </row>
    <row r="51">
      <c r="A51" s="16" t="inlineStr">
        <is>
          <t>Total Other Income / (Expenses)</t>
        </is>
      </c>
      <c r="B51" s="17" t="n">
        <v>258</v>
      </c>
      <c r="C51" s="17" t="n">
        <v>-334</v>
      </c>
      <c r="D51" s="17" t="n">
        <v>-565</v>
      </c>
      <c r="E51" s="17" t="n">
        <v>269</v>
      </c>
      <c r="F51" s="17" t="n">
        <v>-321</v>
      </c>
    </row>
    <row r="52">
      <c r="A52" s="25" t="inlineStr">
        <is>
          <t>EBT / Income Before Tax</t>
        </is>
      </c>
      <c r="B52" s="26" t="n">
        <v>109207</v>
      </c>
      <c r="C52" s="26" t="n">
        <v>119103</v>
      </c>
      <c r="D52" s="26" t="n">
        <v>113736</v>
      </c>
      <c r="E52" s="26" t="n">
        <v>123485</v>
      </c>
      <c r="F52" s="26" t="n">
        <v>132729</v>
      </c>
    </row>
    <row r="53">
      <c r="A53" s="16" t="inlineStr">
        <is>
          <t>Income Tax Expense</t>
        </is>
      </c>
      <c r="B53" s="17" t="n">
        <v>14527</v>
      </c>
      <c r="C53" s="17" t="n">
        <v>19300</v>
      </c>
      <c r="D53" s="17" t="n">
        <v>16741</v>
      </c>
      <c r="E53" s="17" t="n">
        <v>29749</v>
      </c>
      <c r="F53" s="17" t="n">
        <v>20719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94680</v>
      </c>
      <c r="C55" s="17" t="n">
        <v>99803</v>
      </c>
      <c r="D55" s="17" t="n">
        <v>96995</v>
      </c>
      <c r="E55" s="17" t="n">
        <v>93736</v>
      </c>
      <c r="F55" s="17" t="n">
        <v>112010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94680</v>
      </c>
      <c r="C59" s="26" t="n">
        <v>99803</v>
      </c>
      <c r="D59" s="26" t="n">
        <v>96995</v>
      </c>
      <c r="E59" s="26" t="n">
        <v>93736</v>
      </c>
      <c r="F59" s="26" t="n">
        <v>112010</v>
      </c>
    </row>
    <row r="60">
      <c r="A60" s="14" t="inlineStr">
        <is>
          <t>Bottom Line Net Income</t>
        </is>
      </c>
      <c r="B60" s="15" t="n">
        <v>94680</v>
      </c>
      <c r="C60" s="15" t="n">
        <v>99803</v>
      </c>
      <c r="D60" s="15" t="n">
        <v>96995</v>
      </c>
      <c r="E60" s="15" t="n">
        <v>93736</v>
      </c>
      <c r="F60" s="15" t="n">
        <v>112010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5.67</v>
      </c>
      <c r="C62" s="17" t="n">
        <v>6.15</v>
      </c>
      <c r="D62" s="17" t="n">
        <v>6.16</v>
      </c>
      <c r="E62" s="17" t="n">
        <v>6.11</v>
      </c>
      <c r="F62" s="17" t="n">
        <v>7.49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16701.27</v>
      </c>
      <c r="C64" s="17" t="n">
        <v>16215.96</v>
      </c>
      <c r="D64" s="17" t="n">
        <v>15744.23</v>
      </c>
      <c r="E64" s="17" t="n">
        <v>15343.78</v>
      </c>
      <c r="F64" s="17" t="n">
        <v>14948.5</v>
      </c>
    </row>
    <row r="65">
      <c r="A65" s="16" t="inlineStr">
        <is>
          <t>Shares Outstanding — Diluted (mm)</t>
        </is>
      </c>
      <c r="B65" s="17" t="n">
        <v>16864.92</v>
      </c>
      <c r="C65" s="17" t="n">
        <v>16325.82</v>
      </c>
      <c r="D65" s="17" t="n">
        <v>15812.55</v>
      </c>
      <c r="E65" s="17" t="n">
        <v>15408.09</v>
      </c>
      <c r="F65" s="17" t="n">
        <v>15004.7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34940</v>
      </c>
      <c r="C5" s="17" t="n">
        <v>23646</v>
      </c>
      <c r="D5" s="17" t="n">
        <v>29965</v>
      </c>
      <c r="E5" s="17" t="n">
        <v>29943</v>
      </c>
      <c r="F5" s="17" t="n">
        <v>35934</v>
      </c>
    </row>
    <row r="6">
      <c r="A6" s="16" t="inlineStr">
        <is>
          <t>(2)  Receivables</t>
        </is>
      </c>
      <c r="B6" s="17" t="n">
        <v>51506</v>
      </c>
      <c r="C6" s="17" t="n">
        <v>60932</v>
      </c>
      <c r="D6" s="17" t="n">
        <v>60985</v>
      </c>
      <c r="E6" s="17" t="n">
        <v>66243</v>
      </c>
      <c r="F6" s="17" t="n">
        <v>72957</v>
      </c>
    </row>
    <row r="7">
      <c r="A7" s="16" t="inlineStr">
        <is>
          <t>(3)  Inventory</t>
        </is>
      </c>
      <c r="B7" s="17" t="n">
        <v>6580</v>
      </c>
      <c r="C7" s="17" t="n">
        <v>4946</v>
      </c>
      <c r="D7" s="17" t="n">
        <v>6331</v>
      </c>
      <c r="E7" s="17" t="n">
        <v>7286</v>
      </c>
      <c r="F7" s="17" t="n">
        <v>5718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134836</v>
      </c>
      <c r="C9" s="23" t="n">
        <v>135405</v>
      </c>
      <c r="D9" s="23" t="n">
        <v>143566</v>
      </c>
      <c r="E9" s="23" t="n">
        <v>152987</v>
      </c>
      <c r="F9" s="23" t="n">
        <v>147957</v>
      </c>
    </row>
    <row r="10">
      <c r="A10" s="16" t="inlineStr">
        <is>
          <t>(6)  PP&amp;E (Net)</t>
        </is>
      </c>
      <c r="B10" s="17" t="n">
        <v>49527</v>
      </c>
      <c r="C10" s="17" t="n">
        <v>52534</v>
      </c>
      <c r="D10" s="17" t="n">
        <v>54376</v>
      </c>
      <c r="E10" s="17" t="n">
        <v>45680</v>
      </c>
      <c r="F10" s="17" t="n">
        <v>49834</v>
      </c>
    </row>
    <row r="11">
      <c r="A11" s="16" t="inlineStr">
        <is>
          <t>(7)  Goodwill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(8)  Deferred Tax Assets</t>
        </is>
      </c>
      <c r="B12" s="17" t="n">
        <v>0</v>
      </c>
      <c r="C12" s="17" t="n">
        <v>15375</v>
      </c>
      <c r="D12" s="17" t="n">
        <v>17852</v>
      </c>
      <c r="E12" s="17" t="n">
        <v>19499</v>
      </c>
      <c r="F12" s="17" t="n">
        <v>20777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216166</v>
      </c>
      <c r="C14" s="23" t="n">
        <v>217350</v>
      </c>
      <c r="D14" s="23" t="n">
        <v>209017</v>
      </c>
      <c r="E14" s="23" t="n">
        <v>211993</v>
      </c>
      <c r="F14" s="23" t="n">
        <v>211284</v>
      </c>
    </row>
    <row r="15">
      <c r="A15" s="18" t="inlineStr">
        <is>
          <t>(11) Total Assets</t>
        </is>
      </c>
      <c r="B15" s="23" t="n">
        <v>351002</v>
      </c>
      <c r="C15" s="23" t="n">
        <v>352755</v>
      </c>
      <c r="D15" s="23" t="n">
        <v>352583</v>
      </c>
      <c r="E15" s="23" t="n">
        <v>364980</v>
      </c>
      <c r="F15" s="23" t="n">
        <v>359241</v>
      </c>
    </row>
    <row r="16" ht="6" customHeight="1"/>
    <row r="17">
      <c r="A17" s="16" t="inlineStr">
        <is>
          <t>(12) Accounts Payable</t>
        </is>
      </c>
      <c r="B17" s="17" t="n">
        <v>54763</v>
      </c>
      <c r="C17" s="17" t="n">
        <v>64115</v>
      </c>
      <c r="D17" s="17" t="n">
        <v>62611</v>
      </c>
      <c r="E17" s="17" t="n">
        <v>68960</v>
      </c>
      <c r="F17" s="17" t="n">
        <v>69860</v>
      </c>
    </row>
    <row r="18">
      <c r="A18" s="16" t="inlineStr">
        <is>
          <t>(13) Short-Term Borrowings</t>
        </is>
      </c>
      <c r="B18" s="17" t="n">
        <v>15613</v>
      </c>
      <c r="C18" s="17" t="n">
        <v>21110</v>
      </c>
      <c r="D18" s="17" t="n">
        <v>15807</v>
      </c>
      <c r="E18" s="17" t="n">
        <v>20879</v>
      </c>
      <c r="F18" s="17" t="n">
        <v>20329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125481</v>
      </c>
      <c r="C21" s="23" t="n">
        <v>153982</v>
      </c>
      <c r="D21" s="23" t="n">
        <v>145308</v>
      </c>
      <c r="E21" s="23" t="n">
        <v>176392</v>
      </c>
      <c r="F21" s="23" t="n">
        <v>165631</v>
      </c>
    </row>
    <row r="22">
      <c r="A22" s="16" t="inlineStr">
        <is>
          <t>(17) Long-Term Debt</t>
        </is>
      </c>
      <c r="B22" s="17" t="n">
        <v>109106</v>
      </c>
      <c r="C22" s="17" t="n">
        <v>98959</v>
      </c>
      <c r="D22" s="17" t="n">
        <v>95281</v>
      </c>
      <c r="E22" s="17" t="n">
        <v>85750</v>
      </c>
      <c r="F22" s="17" t="n">
        <v>78328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287912</v>
      </c>
      <c r="C25" s="23" t="n">
        <v>302083</v>
      </c>
      <c r="D25" s="23" t="n">
        <v>290437</v>
      </c>
      <c r="E25" s="23" t="n">
        <v>308030</v>
      </c>
      <c r="F25" s="23" t="n">
        <v>285508</v>
      </c>
    </row>
    <row r="26" ht="6" customHeight="1"/>
    <row r="27">
      <c r="A27" s="16" t="inlineStr">
        <is>
          <t>(21) Common Stock &amp; APIC</t>
        </is>
      </c>
      <c r="B27" s="17" t="n">
        <v>57365</v>
      </c>
      <c r="C27" s="17" t="n">
        <v>64849</v>
      </c>
      <c r="D27" s="17" t="n">
        <v>73812</v>
      </c>
      <c r="E27" s="17" t="n">
        <v>83276</v>
      </c>
      <c r="F27" s="17" t="n">
        <v>93568</v>
      </c>
    </row>
    <row r="28">
      <c r="A28" s="16" t="inlineStr">
        <is>
          <t>(22) Retained Earnings</t>
        </is>
      </c>
      <c r="B28" s="17" t="n">
        <v>5562</v>
      </c>
      <c r="C28" s="17" t="n">
        <v>-3068</v>
      </c>
      <c r="D28" s="17" t="n">
        <v>-214</v>
      </c>
      <c r="E28" s="17" t="n">
        <v>-19154</v>
      </c>
      <c r="F28" s="17" t="n">
        <v>-14264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63090</v>
      </c>
      <c r="C30" s="23" t="n">
        <v>50672</v>
      </c>
      <c r="D30" s="23" t="n">
        <v>62146</v>
      </c>
      <c r="E30" s="23" t="n">
        <v>56950</v>
      </c>
      <c r="F30" s="23" t="n">
        <v>73733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34940</v>
      </c>
      <c r="C36" s="17" t="n">
        <v>23646</v>
      </c>
      <c r="D36" s="17" t="n">
        <v>29965</v>
      </c>
      <c r="E36" s="17" t="n">
        <v>29943</v>
      </c>
      <c r="F36" s="17" t="n">
        <v>35934</v>
      </c>
    </row>
    <row r="37">
      <c r="A37" s="16" t="inlineStr">
        <is>
          <t>Short-Term Investments</t>
        </is>
      </c>
      <c r="B37" s="17" t="n">
        <v>27699</v>
      </c>
      <c r="C37" s="17" t="n">
        <v>24658</v>
      </c>
      <c r="D37" s="17" t="n">
        <v>31590</v>
      </c>
      <c r="E37" s="17" t="n">
        <v>35228</v>
      </c>
      <c r="F37" s="17" t="n">
        <v>18763</v>
      </c>
    </row>
    <row r="38">
      <c r="A38" s="27" t="inlineStr">
        <is>
          <t>Cash &amp; Short-Term Investments</t>
        </is>
      </c>
      <c r="B38" s="28" t="n">
        <v>62639</v>
      </c>
      <c r="C38" s="28" t="n">
        <v>48304</v>
      </c>
      <c r="D38" s="28" t="n">
        <v>61555</v>
      </c>
      <c r="E38" s="28" t="n">
        <v>65171</v>
      </c>
      <c r="F38" s="28" t="n">
        <v>54697</v>
      </c>
    </row>
    <row r="39">
      <c r="A39" s="16" t="inlineStr">
        <is>
          <t>Accounts Receivable (Trade)</t>
        </is>
      </c>
      <c r="B39" s="17" t="n">
        <v>26278</v>
      </c>
      <c r="C39" s="17" t="n">
        <v>28184</v>
      </c>
      <c r="D39" s="17" t="n">
        <v>29508</v>
      </c>
      <c r="E39" s="17" t="n">
        <v>33410</v>
      </c>
      <c r="F39" s="17" t="n">
        <v>39777</v>
      </c>
    </row>
    <row r="40">
      <c r="A40" s="16" t="inlineStr">
        <is>
          <t>Other Receivables</t>
        </is>
      </c>
      <c r="B40" s="17" t="n">
        <v>25228</v>
      </c>
      <c r="C40" s="17" t="n">
        <v>32748</v>
      </c>
      <c r="D40" s="17" t="n">
        <v>31477</v>
      </c>
      <c r="E40" s="17" t="n">
        <v>32833</v>
      </c>
      <c r="F40" s="17" t="n">
        <v>33180</v>
      </c>
    </row>
    <row r="41">
      <c r="A41" s="27" t="inlineStr">
        <is>
          <t>Net Receivables (Total)</t>
        </is>
      </c>
      <c r="B41" s="28" t="n">
        <v>51506</v>
      </c>
      <c r="C41" s="28" t="n">
        <v>60932</v>
      </c>
      <c r="D41" s="28" t="n">
        <v>60985</v>
      </c>
      <c r="E41" s="28" t="n">
        <v>66243</v>
      </c>
      <c r="F41" s="28" t="n">
        <v>72957</v>
      </c>
    </row>
    <row r="42">
      <c r="A42" s="16" t="inlineStr">
        <is>
          <t>Inventory</t>
        </is>
      </c>
      <c r="B42" s="17" t="n">
        <v>6580</v>
      </c>
      <c r="C42" s="17" t="n">
        <v>4946</v>
      </c>
      <c r="D42" s="17" t="n">
        <v>6331</v>
      </c>
      <c r="E42" s="17" t="n">
        <v>7286</v>
      </c>
      <c r="F42" s="17" t="n">
        <v>5718</v>
      </c>
    </row>
    <row r="43">
      <c r="A43" s="16" t="inlineStr">
        <is>
          <t>Prepaids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14111</v>
      </c>
      <c r="C44" s="17" t="n">
        <v>21223</v>
      </c>
      <c r="D44" s="17" t="n">
        <v>14695</v>
      </c>
      <c r="E44" s="17" t="n">
        <v>14287</v>
      </c>
      <c r="F44" s="17" t="n">
        <v>14585</v>
      </c>
    </row>
    <row r="45">
      <c r="A45" s="25" t="inlineStr">
        <is>
          <t>Total Current Assets</t>
        </is>
      </c>
      <c r="B45" s="26" t="n">
        <v>134836</v>
      </c>
      <c r="C45" s="26" t="n">
        <v>135405</v>
      </c>
      <c r="D45" s="26" t="n">
        <v>143566</v>
      </c>
      <c r="E45" s="26" t="n">
        <v>152987</v>
      </c>
      <c r="F45" s="26" t="n">
        <v>147957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49527</v>
      </c>
      <c r="C47" s="17" t="n">
        <v>52534</v>
      </c>
      <c r="D47" s="17" t="n">
        <v>54376</v>
      </c>
      <c r="E47" s="17" t="n">
        <v>45680</v>
      </c>
      <c r="F47" s="17" t="n">
        <v>49834</v>
      </c>
    </row>
    <row r="48">
      <c r="A48" s="16" t="inlineStr">
        <is>
          <t>Goodwill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Intangible Assets</t>
        </is>
      </c>
      <c r="B49" s="17" t="n">
        <v>0</v>
      </c>
      <c r="C49" s="17" t="n">
        <v>0</v>
      </c>
      <c r="D49" s="17" t="n">
        <v>0</v>
      </c>
      <c r="E49" s="17" t="n">
        <v>0</v>
      </c>
      <c r="F49" s="17" t="n">
        <v>0</v>
      </c>
    </row>
    <row r="50">
      <c r="A50" s="16" t="inlineStr">
        <is>
          <t>Long-Term Investments</t>
        </is>
      </c>
      <c r="B50" s="17" t="n">
        <v>127877</v>
      </c>
      <c r="C50" s="17" t="n">
        <v>120805</v>
      </c>
      <c r="D50" s="17" t="n">
        <v>100544</v>
      </c>
      <c r="E50" s="17" t="n">
        <v>91479</v>
      </c>
      <c r="F50" s="17" t="n">
        <v>77723</v>
      </c>
    </row>
    <row r="51">
      <c r="A51" s="16" t="inlineStr">
        <is>
          <t>Tax Assets (Deferred)</t>
        </is>
      </c>
      <c r="B51" s="17" t="n">
        <v>0</v>
      </c>
      <c r="C51" s="17" t="n">
        <v>15375</v>
      </c>
      <c r="D51" s="17" t="n">
        <v>17852</v>
      </c>
      <c r="E51" s="17" t="n">
        <v>19499</v>
      </c>
      <c r="F51" s="17" t="n">
        <v>20777</v>
      </c>
    </row>
    <row r="52">
      <c r="A52" s="16" t="inlineStr">
        <is>
          <t>Total Investments</t>
        </is>
      </c>
      <c r="B52" s="17" t="n">
        <v>155576</v>
      </c>
      <c r="C52" s="17" t="n">
        <v>145463</v>
      </c>
      <c r="D52" s="17" t="n">
        <v>132134</v>
      </c>
      <c r="E52" s="17" t="n">
        <v>126707</v>
      </c>
      <c r="F52" s="17" t="n">
        <v>96486</v>
      </c>
    </row>
    <row r="53">
      <c r="A53" s="16" t="inlineStr">
        <is>
          <t>Other Non-Current Assets</t>
        </is>
      </c>
      <c r="B53" s="17" t="n">
        <v>38762</v>
      </c>
      <c r="C53" s="17" t="n">
        <v>28636</v>
      </c>
      <c r="D53" s="17" t="n">
        <v>36245</v>
      </c>
      <c r="E53" s="17" t="n">
        <v>55335</v>
      </c>
      <c r="F53" s="17" t="n">
        <v>62950</v>
      </c>
    </row>
    <row r="54">
      <c r="A54" s="25" t="inlineStr">
        <is>
          <t>Total Non-Current Assets</t>
        </is>
      </c>
      <c r="B54" s="26" t="n">
        <v>216166</v>
      </c>
      <c r="C54" s="26" t="n">
        <v>217350</v>
      </c>
      <c r="D54" s="26" t="n">
        <v>209017</v>
      </c>
      <c r="E54" s="26" t="n">
        <v>211993</v>
      </c>
      <c r="F54" s="26" t="n">
        <v>211284</v>
      </c>
    </row>
    <row r="55">
      <c r="A55" s="12" t="inlineStr">
        <is>
          <t>TOTAL ASSETS</t>
        </is>
      </c>
      <c r="B55" s="29" t="n">
        <v>351002</v>
      </c>
      <c r="C55" s="29" t="n">
        <v>352755</v>
      </c>
      <c r="D55" s="29" t="n">
        <v>352583</v>
      </c>
      <c r="E55" s="29" t="n">
        <v>364980</v>
      </c>
      <c r="F55" s="29" t="n">
        <v>359241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54763</v>
      </c>
      <c r="C57" s="17" t="n">
        <v>64115</v>
      </c>
      <c r="D57" s="17" t="n">
        <v>62611</v>
      </c>
      <c r="E57" s="17" t="n">
        <v>68960</v>
      </c>
      <c r="F57" s="17" t="n">
        <v>69860</v>
      </c>
    </row>
    <row r="58">
      <c r="A58" s="16" t="inlineStr">
        <is>
          <t>Short-Term Debt</t>
        </is>
      </c>
      <c r="B58" s="17" t="n">
        <v>15613</v>
      </c>
      <c r="C58" s="17" t="n">
        <v>21110</v>
      </c>
      <c r="D58" s="17" t="n">
        <v>15807</v>
      </c>
      <c r="E58" s="17" t="n">
        <v>20879</v>
      </c>
      <c r="F58" s="17" t="n">
        <v>20329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7612</v>
      </c>
      <c r="C60" s="17" t="n">
        <v>7912</v>
      </c>
      <c r="D60" s="17" t="n">
        <v>8061</v>
      </c>
      <c r="E60" s="17" t="n">
        <v>8249</v>
      </c>
      <c r="F60" s="17" t="n">
        <v>9055</v>
      </c>
    </row>
    <row r="61">
      <c r="A61" s="16" t="inlineStr">
        <is>
          <t>Accrued &amp; Other Current Liabilities</t>
        </is>
      </c>
      <c r="B61" s="17" t="n">
        <v>45965</v>
      </c>
      <c r="C61" s="17" t="n">
        <v>52630</v>
      </c>
      <c r="D61" s="17" t="n">
        <v>48435</v>
      </c>
      <c r="E61" s="17" t="n">
        <v>50071</v>
      </c>
      <c r="F61" s="17" t="n">
        <v>42335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125481</v>
      </c>
      <c r="C63" s="26" t="n">
        <v>153982</v>
      </c>
      <c r="D63" s="26" t="n">
        <v>145308</v>
      </c>
      <c r="E63" s="26" t="n">
        <v>176392</v>
      </c>
      <c r="F63" s="26" t="n">
        <v>165631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109106</v>
      </c>
      <c r="C65" s="17" t="n">
        <v>98959</v>
      </c>
      <c r="D65" s="17" t="n">
        <v>95281</v>
      </c>
      <c r="E65" s="17" t="n">
        <v>85750</v>
      </c>
      <c r="F65" s="17" t="n">
        <v>78328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0</v>
      </c>
      <c r="C68" s="17" t="n">
        <v>0</v>
      </c>
      <c r="D68" s="17" t="n">
        <v>0</v>
      </c>
      <c r="E68" s="17" t="n">
        <v>0</v>
      </c>
      <c r="F68" s="17" t="n">
        <v>0</v>
      </c>
    </row>
    <row r="69">
      <c r="A69" s="16" t="inlineStr">
        <is>
          <t>Other Non-Current Liabilities</t>
        </is>
      </c>
      <c r="B69" s="17" t="n">
        <v>43050</v>
      </c>
      <c r="C69" s="17" t="n">
        <v>38394</v>
      </c>
      <c r="D69" s="17" t="n">
        <v>38581</v>
      </c>
      <c r="E69" s="17" t="n">
        <v>35090</v>
      </c>
      <c r="F69" s="17" t="n">
        <v>29946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287912</v>
      </c>
      <c r="C71" s="29" t="n">
        <v>302083</v>
      </c>
      <c r="D71" s="29" t="n">
        <v>290437</v>
      </c>
      <c r="E71" s="29" t="n">
        <v>308030</v>
      </c>
      <c r="F71" s="29" t="n">
        <v>285508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57365</v>
      </c>
      <c r="C73" s="17" t="n">
        <v>64849</v>
      </c>
      <c r="D73" s="17" t="n">
        <v>73812</v>
      </c>
      <c r="E73" s="17" t="n">
        <v>83276</v>
      </c>
      <c r="F73" s="17" t="n">
        <v>93568</v>
      </c>
    </row>
    <row r="74">
      <c r="A74" s="16" t="inlineStr">
        <is>
          <t>Retained Earnings</t>
        </is>
      </c>
      <c r="B74" s="17" t="n">
        <v>5562</v>
      </c>
      <c r="C74" s="17" t="n">
        <v>-3068</v>
      </c>
      <c r="D74" s="17" t="n">
        <v>-214</v>
      </c>
      <c r="E74" s="17" t="n">
        <v>-19154</v>
      </c>
      <c r="F74" s="17" t="n">
        <v>-14264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63090</v>
      </c>
      <c r="C78" s="26" t="n">
        <v>50672</v>
      </c>
      <c r="D78" s="26" t="n">
        <v>62146</v>
      </c>
      <c r="E78" s="26" t="n">
        <v>56950</v>
      </c>
      <c r="F78" s="26" t="n">
        <v>73733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136522</v>
      </c>
      <c r="C80" s="15" t="n">
        <v>132480</v>
      </c>
      <c r="D80" s="15" t="n">
        <v>123930</v>
      </c>
      <c r="E80" s="15" t="n">
        <v>119059</v>
      </c>
      <c r="F80" s="15" t="n">
        <v>112377</v>
      </c>
    </row>
    <row r="81">
      <c r="A81" s="14" t="inlineStr">
        <is>
          <t>Net Debt</t>
        </is>
      </c>
      <c r="B81" s="15" t="n">
        <v>101582</v>
      </c>
      <c r="C81" s="15" t="n">
        <v>108834</v>
      </c>
      <c r="D81" s="15" t="n">
        <v>93965</v>
      </c>
      <c r="E81" s="15" t="n">
        <v>89116</v>
      </c>
      <c r="F81" s="15" t="n">
        <v>76443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104038</v>
      </c>
      <c r="C5" s="23" t="n">
        <v>122151</v>
      </c>
      <c r="D5" s="23" t="n">
        <v>110543</v>
      </c>
      <c r="E5" s="23" t="n">
        <v>118254</v>
      </c>
      <c r="F5" s="23" t="n">
        <v>111482</v>
      </c>
    </row>
    <row r="6">
      <c r="A6" s="16" t="inlineStr">
        <is>
          <t>(2)  Capital Expenditures</t>
        </is>
      </c>
      <c r="B6" s="17" t="n">
        <v>-11085</v>
      </c>
      <c r="C6" s="17" t="n">
        <v>-10708</v>
      </c>
      <c r="D6" s="17" t="n">
        <v>-10959</v>
      </c>
      <c r="E6" s="17" t="n">
        <v>-9447</v>
      </c>
      <c r="F6" s="17" t="n">
        <v>-12715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12665</v>
      </c>
      <c r="C9" s="17" t="n">
        <v>-123</v>
      </c>
      <c r="D9" s="17" t="n">
        <v>-9901</v>
      </c>
      <c r="E9" s="17" t="n">
        <v>-5998</v>
      </c>
      <c r="F9" s="17" t="n">
        <v>-8483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1105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(7)  Dividends Paid</t>
        </is>
      </c>
      <c r="B12" s="17" t="n">
        <v>-14467</v>
      </c>
      <c r="C12" s="17" t="n">
        <v>-14841</v>
      </c>
      <c r="D12" s="17" t="n">
        <v>-15025</v>
      </c>
      <c r="E12" s="17" t="n">
        <v>-15234</v>
      </c>
      <c r="F12" s="17" t="n">
        <v>-15421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92953</v>
      </c>
      <c r="C15" s="23" t="n">
        <v>111443</v>
      </c>
      <c r="D15" s="23" t="n">
        <v>99584</v>
      </c>
      <c r="E15" s="23" t="n">
        <v>108807</v>
      </c>
      <c r="F15" s="23" t="n">
        <v>98767</v>
      </c>
    </row>
    <row r="16">
      <c r="A16" s="14" t="inlineStr">
        <is>
          <t xml:space="preserve">     Net Change in Cash</t>
        </is>
      </c>
      <c r="B16" s="15" t="n">
        <v>-3860</v>
      </c>
      <c r="C16" s="15" t="n">
        <v>-10952</v>
      </c>
      <c r="D16" s="15" t="n">
        <v>5760</v>
      </c>
      <c r="E16" s="15" t="n">
        <v>-794</v>
      </c>
      <c r="F16" s="15" t="n">
        <v>5991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94680</v>
      </c>
      <c r="C21" s="17" t="n">
        <v>99803</v>
      </c>
      <c r="D21" s="17" t="n">
        <v>96995</v>
      </c>
      <c r="E21" s="17" t="n">
        <v>93736</v>
      </c>
      <c r="F21" s="17" t="n">
        <v>112010</v>
      </c>
    </row>
    <row r="22">
      <c r="A22" s="16" t="inlineStr">
        <is>
          <t>Depreciation &amp; Amortisation</t>
        </is>
      </c>
      <c r="B22" s="17" t="n">
        <v>11284</v>
      </c>
      <c r="C22" s="17" t="n">
        <v>11104</v>
      </c>
      <c r="D22" s="17" t="n">
        <v>11519</v>
      </c>
      <c r="E22" s="17" t="n">
        <v>11445</v>
      </c>
      <c r="F22" s="17" t="n">
        <v>11698</v>
      </c>
    </row>
    <row r="23">
      <c r="A23" s="16" t="inlineStr">
        <is>
          <t>Deferred Income Tax</t>
        </is>
      </c>
      <c r="B23" s="17" t="n">
        <v>-4774</v>
      </c>
      <c r="C23" s="17" t="n">
        <v>895</v>
      </c>
      <c r="D23" s="17" t="n">
        <v>0</v>
      </c>
      <c r="E23" s="17" t="n">
        <v>0</v>
      </c>
      <c r="F23" s="17" t="n">
        <v>0</v>
      </c>
    </row>
    <row r="24">
      <c r="A24" s="16" t="inlineStr">
        <is>
          <t>Stock-Based Compensation</t>
        </is>
      </c>
      <c r="B24" s="17" t="n">
        <v>7906</v>
      </c>
      <c r="C24" s="17" t="n">
        <v>9038</v>
      </c>
      <c r="D24" s="17" t="n">
        <v>10833</v>
      </c>
      <c r="E24" s="17" t="n">
        <v>11688</v>
      </c>
      <c r="F24" s="17" t="n">
        <v>12863</v>
      </c>
    </row>
    <row r="25">
      <c r="A25" s="16" t="inlineStr">
        <is>
          <t>Change in Working Capital</t>
        </is>
      </c>
      <c r="B25" s="17" t="n">
        <v>-4911</v>
      </c>
      <c r="C25" s="17" t="n">
        <v>1200</v>
      </c>
      <c r="D25" s="17" t="n">
        <v>-6577</v>
      </c>
      <c r="E25" s="17" t="n">
        <v>3651</v>
      </c>
      <c r="F25" s="17" t="n">
        <v>-25000</v>
      </c>
    </row>
    <row r="26">
      <c r="A26" s="20" t="inlineStr">
        <is>
          <t xml:space="preserve">  — Accounts Receivable</t>
        </is>
      </c>
      <c r="B26" s="17" t="n">
        <v>-14028</v>
      </c>
      <c r="C26" s="17" t="n">
        <v>-9343</v>
      </c>
      <c r="D26" s="17" t="n">
        <v>-417</v>
      </c>
      <c r="E26" s="17" t="n">
        <v>-5144</v>
      </c>
      <c r="F26" s="17" t="n">
        <v>-6682</v>
      </c>
    </row>
    <row r="27">
      <c r="A27" s="20" t="inlineStr">
        <is>
          <t xml:space="preserve">  — Inventory</t>
        </is>
      </c>
      <c r="B27" s="17" t="n">
        <v>-2642</v>
      </c>
      <c r="C27" s="17" t="n">
        <v>1484</v>
      </c>
      <c r="D27" s="17" t="n">
        <v>-1618</v>
      </c>
      <c r="E27" s="17" t="n">
        <v>-1046</v>
      </c>
      <c r="F27" s="17" t="n">
        <v>1400</v>
      </c>
    </row>
    <row r="28">
      <c r="A28" s="20" t="inlineStr">
        <is>
          <t xml:space="preserve">  — Accounts Payable</t>
        </is>
      </c>
      <c r="B28" s="17" t="n">
        <v>12326</v>
      </c>
      <c r="C28" s="17" t="n">
        <v>9448</v>
      </c>
      <c r="D28" s="17" t="n">
        <v>-1889</v>
      </c>
      <c r="E28" s="17" t="n">
        <v>6020</v>
      </c>
      <c r="F28" s="17" t="n">
        <v>902</v>
      </c>
    </row>
    <row r="29">
      <c r="A29" s="20" t="inlineStr">
        <is>
          <t xml:space="preserve">  — Other Working Capital</t>
        </is>
      </c>
      <c r="B29" s="17" t="n">
        <v>-567</v>
      </c>
      <c r="C29" s="17" t="n">
        <v>-389</v>
      </c>
      <c r="D29" s="17" t="n">
        <v>-2653</v>
      </c>
      <c r="E29" s="17" t="n">
        <v>3821</v>
      </c>
      <c r="F29" s="17" t="n">
        <v>-20620</v>
      </c>
    </row>
    <row r="30">
      <c r="A30" s="16" t="inlineStr">
        <is>
          <t>Other Non-Cash Items</t>
        </is>
      </c>
      <c r="B30" s="17" t="n">
        <v>-147</v>
      </c>
      <c r="C30" s="17" t="n">
        <v>111</v>
      </c>
      <c r="D30" s="17" t="n">
        <v>-2227</v>
      </c>
      <c r="E30" s="17" t="n">
        <v>-2266</v>
      </c>
      <c r="F30" s="17" t="n">
        <v>-89</v>
      </c>
    </row>
    <row r="31">
      <c r="A31" s="25" t="inlineStr">
        <is>
          <t>Net Cash from Operations (CFO)</t>
        </is>
      </c>
      <c r="B31" s="26" t="n">
        <v>104038</v>
      </c>
      <c r="C31" s="26" t="n">
        <v>122151</v>
      </c>
      <c r="D31" s="26" t="n">
        <v>110543</v>
      </c>
      <c r="E31" s="26" t="n">
        <v>118254</v>
      </c>
      <c r="F31" s="26" t="n">
        <v>111482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-11085</v>
      </c>
      <c r="C33" s="17" t="n">
        <v>-10708</v>
      </c>
      <c r="D33" s="17" t="n">
        <v>-10959</v>
      </c>
      <c r="E33" s="17" t="n">
        <v>-9447</v>
      </c>
      <c r="F33" s="17" t="n">
        <v>-12715</v>
      </c>
    </row>
    <row r="34">
      <c r="A34" s="20" t="inlineStr">
        <is>
          <t xml:space="preserve">  (Alt: Invest. in PP&amp;E)</t>
        </is>
      </c>
      <c r="B34" s="17" t="n">
        <v>-11085</v>
      </c>
      <c r="C34" s="17" t="n">
        <v>-10708</v>
      </c>
      <c r="D34" s="17" t="n">
        <v>-10959</v>
      </c>
      <c r="E34" s="17" t="n">
        <v>-9447</v>
      </c>
      <c r="F34" s="17" t="n">
        <v>-12715</v>
      </c>
    </row>
    <row r="35">
      <c r="A35" s="16" t="inlineStr">
        <is>
          <t>Acquisitions (Net)</t>
        </is>
      </c>
      <c r="B35" s="17" t="n">
        <v>-33</v>
      </c>
      <c r="C35" s="17" t="n">
        <v>-306</v>
      </c>
      <c r="D35" s="17" t="n">
        <v>0</v>
      </c>
      <c r="E35" s="17" t="n">
        <v>0</v>
      </c>
      <c r="F35" s="17" t="n">
        <v>0</v>
      </c>
    </row>
    <row r="36">
      <c r="A36" s="16" t="inlineStr">
        <is>
          <t>Purchases of Investments</t>
        </is>
      </c>
      <c r="B36" s="17" t="n">
        <v>-109558</v>
      </c>
      <c r="C36" s="17" t="n">
        <v>-76923</v>
      </c>
      <c r="D36" s="17" t="n">
        <v>-29513</v>
      </c>
      <c r="E36" s="17" t="n">
        <v>-48656</v>
      </c>
      <c r="F36" s="17" t="n">
        <v>-24407</v>
      </c>
    </row>
    <row r="37">
      <c r="A37" s="16" t="inlineStr">
        <is>
          <t>Sales / Maturities of Investments</t>
        </is>
      </c>
      <c r="B37" s="17" t="n">
        <v>106483</v>
      </c>
      <c r="C37" s="17" t="n">
        <v>67363</v>
      </c>
      <c r="D37" s="17" t="n">
        <v>45514</v>
      </c>
      <c r="E37" s="17" t="n">
        <v>62346</v>
      </c>
      <c r="F37" s="17" t="n">
        <v>53797</v>
      </c>
    </row>
    <row r="38">
      <c r="A38" s="16" t="inlineStr">
        <is>
          <t>Other Investing Activities</t>
        </is>
      </c>
      <c r="B38" s="17" t="n">
        <v>-352</v>
      </c>
      <c r="C38" s="17" t="n">
        <v>-1780</v>
      </c>
      <c r="D38" s="17" t="n">
        <v>-1337</v>
      </c>
      <c r="E38" s="17" t="n">
        <v>-1308</v>
      </c>
      <c r="F38" s="17" t="n">
        <v>-1480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12665</v>
      </c>
      <c r="C41" s="17" t="n">
        <v>-123</v>
      </c>
      <c r="D41" s="17" t="n">
        <v>-9901</v>
      </c>
      <c r="E41" s="17" t="n">
        <v>-5998</v>
      </c>
      <c r="F41" s="17" t="n">
        <v>-8483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1105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Common Stock Repurchased (Buybacks)</t>
        </is>
      </c>
      <c r="B44" s="17" t="n">
        <v>-85971</v>
      </c>
      <c r="C44" s="17" t="n">
        <v>-89402</v>
      </c>
      <c r="D44" s="17" t="n">
        <v>-77550</v>
      </c>
      <c r="E44" s="17" t="n">
        <v>-94949</v>
      </c>
      <c r="F44" s="17" t="n">
        <v>-90711</v>
      </c>
    </row>
    <row r="45">
      <c r="A45" s="16" t="inlineStr">
        <is>
          <t>Dividends Paid</t>
        </is>
      </c>
      <c r="B45" s="17" t="n">
        <v>-14467</v>
      </c>
      <c r="C45" s="17" t="n">
        <v>-14841</v>
      </c>
      <c r="D45" s="17" t="n">
        <v>-15025</v>
      </c>
      <c r="E45" s="17" t="n">
        <v>-15234</v>
      </c>
      <c r="F45" s="17" t="n">
        <v>-15421</v>
      </c>
    </row>
    <row r="46">
      <c r="A46" s="16" t="inlineStr">
        <is>
          <t>Other Financing Activities</t>
        </is>
      </c>
      <c r="B46" s="17" t="n">
        <v>-6685</v>
      </c>
      <c r="C46" s="17" t="n">
        <v>-6383</v>
      </c>
      <c r="D46" s="17" t="n">
        <v>-6012</v>
      </c>
      <c r="E46" s="17" t="n">
        <v>-5802</v>
      </c>
      <c r="F46" s="17" t="n">
        <v>-6071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0</v>
      </c>
      <c r="C49" s="17" t="n">
        <v>0</v>
      </c>
      <c r="D49" s="17" t="n">
        <v>0</v>
      </c>
      <c r="E49" s="17" t="n">
        <v>0</v>
      </c>
      <c r="F49" s="17" t="n">
        <v>0</v>
      </c>
    </row>
    <row r="50">
      <c r="A50" s="14" t="inlineStr">
        <is>
          <t>Net Change in Cash</t>
        </is>
      </c>
      <c r="B50" s="15" t="n">
        <v>-3860</v>
      </c>
      <c r="C50" s="15" t="n">
        <v>-10952</v>
      </c>
      <c r="D50" s="15" t="n">
        <v>5760</v>
      </c>
      <c r="E50" s="15" t="n">
        <v>-794</v>
      </c>
      <c r="F50" s="15" t="n">
        <v>5991</v>
      </c>
    </row>
    <row r="51">
      <c r="A51" s="16" t="inlineStr">
        <is>
          <t>Cash at Beginning of Period</t>
        </is>
      </c>
      <c r="B51" s="17" t="n">
        <v>39789</v>
      </c>
      <c r="C51" s="17" t="n">
        <v>35929</v>
      </c>
      <c r="D51" s="17" t="n">
        <v>24977</v>
      </c>
      <c r="E51" s="17" t="n">
        <v>30737</v>
      </c>
      <c r="F51" s="17" t="n">
        <v>29943</v>
      </c>
    </row>
    <row r="52">
      <c r="A52" s="25" t="inlineStr">
        <is>
          <t>Cash at End of Period</t>
        </is>
      </c>
      <c r="B52" s="26" t="n">
        <v>35929</v>
      </c>
      <c r="C52" s="26" t="n">
        <v>24977</v>
      </c>
      <c r="D52" s="26" t="n">
        <v>30737</v>
      </c>
      <c r="E52" s="26" t="n">
        <v>29943</v>
      </c>
      <c r="F52" s="26" t="n">
        <v>35934</v>
      </c>
    </row>
    <row r="53">
      <c r="A53" s="25" t="inlineStr">
        <is>
          <t>Free Cash Flow</t>
        </is>
      </c>
      <c r="B53" s="26" t="n">
        <v>92953</v>
      </c>
      <c r="C53" s="26" t="n">
        <v>111443</v>
      </c>
      <c r="D53" s="26" t="n">
        <v>99584</v>
      </c>
      <c r="E53" s="26" t="n">
        <v>108807</v>
      </c>
      <c r="F53" s="26" t="n">
        <v>98767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16864.92</v>
      </c>
      <c r="C61" s="17" t="n">
        <v>16325.82</v>
      </c>
      <c r="D61" s="17" t="n">
        <v>15812.55</v>
      </c>
      <c r="E61" s="17" t="n">
        <v>15408.09</v>
      </c>
      <c r="F61" s="17" t="n">
        <v>15004.7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AAPL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33708</v>
      </c>
      <c r="C5" s="17" t="n">
        <v>29984</v>
      </c>
      <c r="D5" s="17" t="n">
        <v>29357</v>
      </c>
      <c r="E5" s="17" t="n">
        <v>40177</v>
      </c>
      <c r="F5" s="17" t="n">
        <v>35190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AAPL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3971820.706468999</v>
      </c>
      <c r="C5" s="43" t="inlineStr">
        <is>
          <t>FMP marketCap  |  price $270.23</t>
        </is>
      </c>
    </row>
    <row r="6">
      <c r="A6" s="16" t="inlineStr">
        <is>
          <t>Debt  (gross book value, $mm)</t>
        </is>
      </c>
      <c r="B6" s="42" t="n">
        <v>98657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1.109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1.073</v>
      </c>
      <c r="C17" s="43" t="inlineStr">
        <is>
          <t>Mean-reversion toward market beta of 1.0</t>
        </is>
      </c>
    </row>
    <row r="18">
      <c r="A18" s="16" t="inlineStr">
        <is>
          <t>Damodaran industry unlevered  (Consumer Electronics)</t>
        </is>
      </c>
      <c r="B18" s="49" t="n">
        <v>1.05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0.02x,  t = 15.6%)</t>
        </is>
      </c>
      <c r="B19" s="49" t="n">
        <v>1.072</v>
      </c>
      <c r="C19" s="43">
        <f> unlevered × (1 + (1 − t) × D/E)</f>
        <v/>
      </c>
    </row>
    <row r="20">
      <c r="A20" s="16" t="inlineStr">
        <is>
          <t>Peer median beta</t>
        </is>
      </c>
      <c r="B20" s="49" t="n">
        <v>1.085</v>
      </c>
      <c r="C20" s="43" t="inlineStr">
        <is>
          <t>AMZN: 1.383  |  HD: 1.085  |  MCD: 0.532  |  NKE: 1.</t>
        </is>
      </c>
    </row>
    <row r="21">
      <c r="A21" s="46" t="inlineStr">
        <is>
          <t>► Selected beta  (user override)</t>
        </is>
      </c>
      <c r="B21" s="50" t="n">
        <v>1.085</v>
      </c>
      <c r="C21" s="48" t="inlineStr">
        <is>
          <t>Default = average of 4 source(s) above — override freely</t>
        </is>
      </c>
    </row>
    <row r="22">
      <c r="A22" s="41" t="n"/>
      <c r="B22" s="41" t="n"/>
      <c r="C22" s="41" t="n"/>
    </row>
    <row r="23" ht="18" customHeight="1">
      <c r="A23" s="24" t="inlineStr">
        <is>
          <t>STEP 3 — EQUITY RISK PREMIUM  (ERP)</t>
        </is>
      </c>
    </row>
    <row r="24">
      <c r="A24" s="16" t="inlineStr">
        <is>
          <t>Damodaran implied ERP — US market (current)</t>
        </is>
      </c>
      <c r="B24" s="45" t="n">
        <v>0.0472</v>
      </c>
      <c r="C24" s="43" t="inlineStr">
        <is>
          <t>Damodaran.com implied ERP — Jan 2026</t>
        </is>
      </c>
    </row>
    <row r="25">
      <c r="A25" s="16" t="inlineStr">
        <is>
          <t>Damodaran historical avg — US 1928–2025</t>
        </is>
      </c>
      <c r="B25" s="45" t="n">
        <v>0.042</v>
      </c>
      <c r="C25" s="43" t="inlineStr">
        <is>
          <t>Arithmetic average excess return over T-bill</t>
        </is>
      </c>
    </row>
    <row r="26">
      <c r="A26" s="46" t="inlineStr">
        <is>
          <t>► Selected ERP  (user override)</t>
        </is>
      </c>
      <c r="B26" s="47" t="n">
        <v>0.0446</v>
      </c>
      <c r="C26" s="48" t="inlineStr">
        <is>
          <t>Default = average of Damodaran implied &amp; historical avg — override freely</t>
        </is>
      </c>
    </row>
    <row r="27">
      <c r="A27" s="41" t="n"/>
      <c r="B27" s="41" t="n"/>
      <c r="C27" s="41" t="n"/>
    </row>
    <row r="28" ht="18" customHeight="1">
      <c r="A28" s="24" t="inlineStr">
        <is>
          <t>STEP 4 — COST OF EQUITY  (CAPM:  Re = Rf + β × ERP)</t>
        </is>
      </c>
    </row>
    <row r="29">
      <c r="A29" s="18" t="inlineStr">
        <is>
          <t>Cost of equity  (Re)</t>
        </is>
      </c>
      <c r="B29" s="51">
        <f>B13+B21*B26</f>
        <v/>
      </c>
      <c r="C29" s="44" t="inlineStr">
        <is>
          <t>CAPM formula — references selected inputs above</t>
        </is>
      </c>
    </row>
    <row r="30">
      <c r="A30" s="41" t="n"/>
      <c r="B30" s="41" t="n"/>
      <c r="C30" s="41" t="n"/>
    </row>
    <row r="31" ht="18" customHeight="1">
      <c r="A31" s="24" t="inlineStr">
        <is>
          <t>STEP 5 — COST OF DEBT  (Pre-tax Rd)</t>
        </is>
      </c>
    </row>
    <row r="32">
      <c r="A32" s="16" t="inlineStr">
        <is>
          <t>Credit rating  (S&amp;P / Moody's)</t>
        </is>
      </c>
      <c r="B32" s="52" t="inlineStr">
        <is>
          <t>AA+</t>
        </is>
      </c>
      <c r="C32" s="43" t="inlineStr">
        <is>
          <t>User input</t>
        </is>
      </c>
    </row>
    <row r="33">
      <c r="A33" s="16" t="inlineStr">
        <is>
          <t>FRED matched yield  (rating-tier index)</t>
        </is>
      </c>
      <c r="B33" s="45" t="n">
        <v>0.04769999999999999</v>
      </c>
      <c r="C33" s="43" t="inlineStr">
        <is>
          <t>FRED BAMLC0A2CAAEY — AA</t>
        </is>
      </c>
    </row>
    <row r="34">
      <c r="A34" s="16" t="inlineStr">
        <is>
          <t>Interest Coverage Ratio  (EBIT / Gross Int Exp)</t>
        </is>
      </c>
      <c r="B34" s="52" t="n"/>
      <c r="C34" s="43" t="inlineStr">
        <is>
          <t>EBIT $133050mm  /  Int Exp $0mm</t>
        </is>
      </c>
    </row>
    <row r="35">
      <c r="A35" s="16" t="inlineStr">
        <is>
          <t>Synthetic rating  (Damodaran ICR table)</t>
        </is>
      </c>
      <c r="B35" s="52" t="inlineStr">
        <is>
          <t>AAA</t>
        </is>
      </c>
      <c r="C35" s="43" t="inlineStr">
        <is>
          <t>ICR 999.0x  →  AAA</t>
        </is>
      </c>
    </row>
    <row r="36">
      <c r="A36" s="16" t="inlineStr">
        <is>
          <t>Synthetic Rd  (Rf + Damodaran default spread)</t>
        </is>
      </c>
      <c r="B36" s="45" t="n">
        <v>0.0486</v>
      </c>
      <c r="C36" s="43" t="inlineStr">
        <is>
          <t>Rf 4.32% + spread 0.54%</t>
        </is>
      </c>
    </row>
    <row r="37">
      <c r="A37" s="16" t="inlineStr">
        <is>
          <t>Accounting Rd  (Gross int exp / Avg gross debt)</t>
        </is>
      </c>
      <c r="B37" s="45" t="n">
        <v>0</v>
      </c>
      <c r="C37" s="43" t="inlineStr">
        <is>
          <t>Cross-check only — backward-looking</t>
        </is>
      </c>
    </row>
    <row r="38">
      <c r="A38" s="46" t="inlineStr">
        <is>
          <t>► Selected pre-tax Rd  (user override)</t>
        </is>
      </c>
      <c r="B38" s="47" t="n">
        <v>0.0321</v>
      </c>
      <c r="C38" s="48" t="inlineStr">
        <is>
          <t>Default = average of 3 source(s) above — override freely</t>
        </is>
      </c>
    </row>
    <row r="39">
      <c r="A39" s="41" t="n"/>
      <c r="B39" s="41" t="n"/>
      <c r="C39" s="41" t="n"/>
    </row>
    <row r="40" ht="18" customHeight="1">
      <c r="A40" s="24" t="inlineStr">
        <is>
          <t>STEP 6 — TAX RATE</t>
        </is>
      </c>
    </row>
    <row r="41">
      <c r="A41" s="16" t="inlineStr">
        <is>
          <t>Effective tax rate  (tax expense / pre-tax income)</t>
        </is>
      </c>
      <c r="B41" s="45" t="n">
        <v>0.1561</v>
      </c>
      <c r="C41" s="43" t="inlineStr">
        <is>
          <t>FMP: $20719mm  /  $132729mm</t>
        </is>
      </c>
    </row>
    <row r="42">
      <c r="A42" s="46" t="inlineStr">
        <is>
          <t>► Selected tax rate  (user override)</t>
        </is>
      </c>
      <c r="B42" s="47" t="n">
        <v>0.1561</v>
      </c>
      <c r="C42" s="48" t="inlineStr">
        <is>
          <t>Adjust to normalised / marginal rate if preferred</t>
        </is>
      </c>
    </row>
    <row r="43">
      <c r="A43" s="41" t="n"/>
      <c r="B43" s="41" t="n"/>
      <c r="C43" s="41" t="n"/>
    </row>
    <row r="44" ht="18" customHeight="1">
      <c r="A44" s="3" t="inlineStr">
        <is>
          <t>WACC OUTPUT</t>
        </is>
      </c>
    </row>
    <row r="45" ht="22" customHeight="1">
      <c r="A45" s="53" t="inlineStr">
        <is>
          <t>WACC  =  (E/V × Re)  +  (D/V × Rd × (1 − t))</t>
        </is>
      </c>
      <c r="B45" s="54">
        <f>B8*B29+B9*B38*(1-B42)</f>
        <v/>
      </c>
      <c r="C45" s="55" t="inlineStr">
        <is>
          <t>Used as discount rate in DCF tab</t>
        </is>
      </c>
    </row>
    <row r="46">
      <c r="A46" s="41" t="n"/>
      <c r="B46" s="41" t="n"/>
      <c r="C46" s="41" t="n"/>
    </row>
    <row r="47" ht="18" customHeight="1">
      <c r="A47" s="9" t="inlineStr">
        <is>
          <t>SENSITIVITY — WACC (%)  by Beta offset × ERP offset</t>
        </is>
      </c>
    </row>
    <row r="48">
      <c r="A48" s="56" t="inlineStr">
        <is>
          <t>Beta offset  \  ERP offset →</t>
        </is>
      </c>
      <c r="B48" s="56" t="inlineStr">
        <is>
          <t>-1.0%</t>
        </is>
      </c>
      <c r="C48" s="56" t="inlineStr">
        <is>
          <t>-0.5%</t>
        </is>
      </c>
      <c r="D48" s="56" t="inlineStr">
        <is>
          <t>Base ERP</t>
        </is>
      </c>
      <c r="E48" s="56" t="inlineStr">
        <is>
          <t>+0.5%</t>
        </is>
      </c>
      <c r="F48" s="56" t="inlineStr">
        <is>
          <t>+1.0%</t>
        </is>
      </c>
    </row>
    <row r="49">
      <c r="A49" s="57" t="inlineStr">
        <is>
          <t>-1.0</t>
        </is>
      </c>
      <c r="B49" s="58">
        <f>B8*(B13+(B21+(-1.0))*(B26+(-0.01)))+B9*B38*(1-B42)</f>
        <v/>
      </c>
      <c r="C49" s="58">
        <f>B8*(B13+(B21+(-1.0))*(B26+(-0.005)))+B9*B38*(1-B42)</f>
        <v/>
      </c>
      <c r="D49" s="58">
        <f>B8*(B13+(B21+(-1.0))*(B26+(0.0)))+B9*B38*(1-B42)</f>
        <v/>
      </c>
      <c r="E49" s="58">
        <f>B8*(B13+(B21+(-1.0))*(B26+(0.005)))+B9*B38*(1-B42)</f>
        <v/>
      </c>
      <c r="F49" s="58">
        <f>B8*(B13+(B21+(-1.0))*(B26+(0.01)))+B9*B38*(1-B42)</f>
        <v/>
      </c>
    </row>
    <row r="50">
      <c r="A50" s="57" t="inlineStr">
        <is>
          <t>-0.5</t>
        </is>
      </c>
      <c r="B50" s="58">
        <f>B8*(B13+(B21+(-0.5))*(B26+(-0.01)))+B9*B38*(1-B42)</f>
        <v/>
      </c>
      <c r="C50" s="58">
        <f>B8*(B13+(B21+(-0.5))*(B26+(-0.005)))+B9*B38*(1-B42)</f>
        <v/>
      </c>
      <c r="D50" s="58">
        <f>B8*(B13+(B21+(-0.5))*(B26+(0.0)))+B9*B38*(1-B42)</f>
        <v/>
      </c>
      <c r="E50" s="58">
        <f>B8*(B13+(B21+(-0.5))*(B26+(0.005)))+B9*B38*(1-B42)</f>
        <v/>
      </c>
      <c r="F50" s="58">
        <f>B8*(B13+(B21+(-0.5))*(B26+(0.01)))+B9*B38*(1-B42)</f>
        <v/>
      </c>
    </row>
    <row r="51">
      <c r="A51" s="59" t="inlineStr">
        <is>
          <t>Base β</t>
        </is>
      </c>
      <c r="B51" s="60">
        <f>B8*(B13+(B21+(0.0))*(B26+(-0.01)))+B9*B38*(1-B42)</f>
        <v/>
      </c>
      <c r="C51" s="60">
        <f>B8*(B13+(B21+(0.0))*(B26+(-0.005)))+B9*B38*(1-B42)</f>
        <v/>
      </c>
      <c r="D51" s="61">
        <f>B8*(B13+(B21+(0.0))*(B26+(0.0)))+B9*B38*(1-B42)</f>
        <v/>
      </c>
      <c r="E51" s="60">
        <f>B8*(B13+(B21+(0.0))*(B26+(0.005)))+B9*B38*(1-B42)</f>
        <v/>
      </c>
      <c r="F51" s="60">
        <f>B8*(B13+(B21+(0.0))*(B26+(0.01)))+B9*B38*(1-B42)</f>
        <v/>
      </c>
    </row>
    <row r="52">
      <c r="A52" s="57" t="inlineStr">
        <is>
          <t>+0.5</t>
        </is>
      </c>
      <c r="B52" s="58">
        <f>B8*(B13+(B21+(0.5))*(B26+(-0.01)))+B9*B38*(1-B42)</f>
        <v/>
      </c>
      <c r="C52" s="58">
        <f>B8*(B13+(B21+(0.5))*(B26+(-0.005)))+B9*B38*(1-B42)</f>
        <v/>
      </c>
      <c r="D52" s="58">
        <f>B8*(B13+(B21+(0.5))*(B26+(0.0)))+B9*B38*(1-B42)</f>
        <v/>
      </c>
      <c r="E52" s="58">
        <f>B8*(B13+(B21+(0.5))*(B26+(0.005)))+B9*B38*(1-B42)</f>
        <v/>
      </c>
      <c r="F52" s="58">
        <f>B8*(B13+(B21+(0.5))*(B26+(0.01)))+B9*B38*(1-B42)</f>
        <v/>
      </c>
    </row>
    <row r="53">
      <c r="A53" s="57" t="inlineStr">
        <is>
          <t>+1.0</t>
        </is>
      </c>
      <c r="B53" s="58">
        <f>B8*(B13+(B21+(1.0))*(B26+(-0.01)))+B9*B38*(1-B42)</f>
        <v/>
      </c>
      <c r="C53" s="58">
        <f>B8*(B13+(B21+(1.0))*(B26+(-0.005)))+B9*B38*(1-B42)</f>
        <v/>
      </c>
      <c r="D53" s="58">
        <f>B8*(B13+(B21+(1.0))*(B26+(0.0)))+B9*B38*(1-B42)</f>
        <v/>
      </c>
      <c r="E53" s="58">
        <f>B8*(B13+(B21+(1.0))*(B26+(0.005)))+B9*B38*(1-B42)</f>
        <v/>
      </c>
      <c r="F53" s="58">
        <f>B8*(B13+(B21+(1.0))*(B26+(0.01)))+B9*B38*(1-B42)</f>
        <v/>
      </c>
    </row>
  </sheetData>
  <mergeCells count="11">
    <mergeCell ref="A28:C28"/>
    <mergeCell ref="A11:C11"/>
    <mergeCell ref="A44:C44"/>
    <mergeCell ref="A47:C47"/>
    <mergeCell ref="A1:C1"/>
    <mergeCell ref="A23:C23"/>
    <mergeCell ref="A31:C31"/>
    <mergeCell ref="A40:C4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AAPL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0.0779</v>
      </c>
      <c r="D7" s="69" t="n">
        <v>-0.028</v>
      </c>
      <c r="E7" s="69" t="n">
        <v>0.0202</v>
      </c>
      <c r="F7" s="69" t="n">
        <v>0.0643</v>
      </c>
      <c r="G7" s="70" t="n">
        <v>0.1159</v>
      </c>
      <c r="H7" s="70" t="n">
        <v>0.0677</v>
      </c>
      <c r="I7" s="70" t="n">
        <v>0.0618</v>
      </c>
      <c r="J7" s="70" t="n">
        <v>-0.0824</v>
      </c>
      <c r="K7" s="70" t="n">
        <v>0.2996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0.3366</v>
      </c>
      <c r="C8" s="69" t="n">
        <v>0.3376</v>
      </c>
      <c r="D8" s="69" t="n">
        <v>0.3371</v>
      </c>
      <c r="E8" s="69" t="n">
        <v>0.3451</v>
      </c>
      <c r="F8" s="69" t="n">
        <v>0.347</v>
      </c>
      <c r="G8" s="70" t="n">
        <v>0.3609</v>
      </c>
      <c r="H8" s="70" t="n">
        <v>0.3609</v>
      </c>
      <c r="I8" s="70" t="n">
        <v>0.3609</v>
      </c>
      <c r="J8" s="70" t="n">
        <v>0.3609</v>
      </c>
      <c r="K8" s="70" t="n">
        <v>0.3609</v>
      </c>
      <c r="L8" s="71" t="n">
        <v>0.347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0.0308</v>
      </c>
      <c r="C9" s="69" t="n">
        <v>0.0282</v>
      </c>
      <c r="D9" s="69" t="n">
        <v>0.0301</v>
      </c>
      <c r="E9" s="69" t="n">
        <v>0.0293</v>
      </c>
      <c r="F9" s="69" t="n">
        <v>0.0281</v>
      </c>
      <c r="G9" s="73" t="n">
        <v>0.0281</v>
      </c>
      <c r="H9" s="73" t="n">
        <v>0.0281</v>
      </c>
      <c r="I9" s="73" t="n">
        <v>0.0281</v>
      </c>
      <c r="J9" s="73" t="n">
        <v>0.0281</v>
      </c>
      <c r="K9" s="73" t="n">
        <v>0.0281</v>
      </c>
      <c r="L9" s="71" t="n">
        <v>0.0281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0.0303</v>
      </c>
      <c r="C10" s="69" t="n">
        <v>0.0272</v>
      </c>
      <c r="D10" s="69" t="n">
        <v>0.0286</v>
      </c>
      <c r="E10" s="69" t="n">
        <v>0.0242</v>
      </c>
      <c r="F10" s="69" t="n">
        <v>0.0306</v>
      </c>
      <c r="G10" s="73" t="n">
        <v>0.0306</v>
      </c>
      <c r="H10" s="73" t="n">
        <v>0.0306</v>
      </c>
      <c r="I10" s="73" t="n">
        <v>0.0306</v>
      </c>
      <c r="J10" s="73" t="n">
        <v>0.0306</v>
      </c>
      <c r="K10" s="73" t="n">
        <v>0.0306</v>
      </c>
      <c r="L10" s="71" t="n">
        <v>0.0306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0.133</v>
      </c>
      <c r="C12" s="69" t="n">
        <v>0.162</v>
      </c>
      <c r="D12" s="69" t="n">
        <v>0.1472</v>
      </c>
      <c r="E12" s="69" t="n">
        <v>0.2409</v>
      </c>
      <c r="F12" s="69" t="n">
        <v>0.1561</v>
      </c>
      <c r="G12" s="73" t="n">
        <v>0.1561</v>
      </c>
      <c r="H12" s="73" t="n">
        <v>0.1561</v>
      </c>
      <c r="I12" s="73" t="n">
        <v>0.1561</v>
      </c>
      <c r="J12" s="73" t="n">
        <v>0.1561</v>
      </c>
      <c r="K12" s="73" t="n">
        <v>0.1561</v>
      </c>
      <c r="L12" s="71" t="n">
        <v>0.1561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365817</v>
      </c>
      <c r="C15" s="75" t="n">
        <v>394328</v>
      </c>
      <c r="D15" s="75" t="n">
        <v>383285</v>
      </c>
      <c r="E15" s="75" t="n">
        <v>391035</v>
      </c>
      <c r="F15" s="75" t="n">
        <v>416161</v>
      </c>
      <c r="G15" s="76" t="n">
        <v>464391.2</v>
      </c>
      <c r="H15" s="76" t="n">
        <v>495841.7</v>
      </c>
      <c r="I15" s="76" t="n">
        <v>526461.5</v>
      </c>
      <c r="J15" s="76" t="n">
        <v>483092</v>
      </c>
      <c r="K15" s="76" t="n">
        <v>627849.3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439,858 — 481,139</t>
        </is>
      </c>
      <c r="H16" s="80" t="inlineStr">
        <is>
          <t>481,838 — 530,134</t>
        </is>
      </c>
      <c r="I16" s="80" t="inlineStr">
        <is>
          <t>524,243 — 528,680</t>
        </is>
      </c>
      <c r="J16" s="80" t="inlineStr">
        <is>
          <t>463,250 — 507,248</t>
        </is>
      </c>
      <c r="K16" s="80" t="inlineStr">
        <is>
          <t>602,061 — 659,243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32</v>
      </c>
      <c r="H17" s="82" t="n">
        <v>31</v>
      </c>
      <c r="I17" s="82" t="n">
        <v>19</v>
      </c>
      <c r="J17" s="82" t="n">
        <v>10</v>
      </c>
      <c r="K17" s="82" t="n">
        <v>16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3" t="inlineStr">
        <is>
          <t>—</t>
        </is>
      </c>
      <c r="C18" s="84">
        <f>IFERROR(C15/B15-1,"")</f>
        <v/>
      </c>
      <c r="D18" s="84">
        <f>IFERROR(D15/C15-1,"")</f>
        <v/>
      </c>
      <c r="E18" s="84">
        <f>IFERROR(E15/D15-1,"")</f>
        <v/>
      </c>
      <c r="F18" s="84">
        <f>IFERROR(F15/E15-1,"")</f>
        <v/>
      </c>
      <c r="G18" s="85">
        <f>IFERROR(G15/F15-1,"")</f>
        <v/>
      </c>
      <c r="H18" s="85">
        <f>IFERROR(H15/G15-1,"")</f>
        <v/>
      </c>
      <c r="I18" s="85">
        <f>IFERROR(I15/H15-1,"")</f>
        <v/>
      </c>
      <c r="J18" s="85">
        <f>IFERROR(J15/I15-1,"")</f>
        <v/>
      </c>
      <c r="K18" s="85">
        <f>IFERROR(K15/J15-1,"")</f>
        <v/>
      </c>
      <c r="L18" s="86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123136</v>
      </c>
      <c r="C20" s="75" t="n">
        <v>133138</v>
      </c>
      <c r="D20" s="75" t="n">
        <v>129188</v>
      </c>
      <c r="E20" s="75" t="n">
        <v>134930</v>
      </c>
      <c r="F20" s="75" t="n">
        <v>144427</v>
      </c>
      <c r="G20" s="76" t="n">
        <v>167615</v>
      </c>
      <c r="H20" s="76" t="n">
        <v>178966.6</v>
      </c>
      <c r="I20" s="76" t="n">
        <v>190018.4</v>
      </c>
      <c r="J20" s="76" t="n">
        <v>174364.8</v>
      </c>
      <c r="K20" s="76" t="n">
        <v>226612.8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158,760 — 173,660</t>
        </is>
      </c>
      <c r="H21" s="80" t="inlineStr">
        <is>
          <t>173,912 — 191,344</t>
        </is>
      </c>
      <c r="I21" s="80" t="inlineStr">
        <is>
          <t>189,217 — 190,819</t>
        </is>
      </c>
      <c r="J21" s="80" t="inlineStr">
        <is>
          <t>167,203 — 183,083</t>
        </is>
      </c>
      <c r="K21" s="80" t="inlineStr">
        <is>
          <t>217,305 — 237,944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4">
        <f>IFERROR(B20/B15,"")</f>
        <v/>
      </c>
      <c r="C22" s="84">
        <f>IFERROR(C20/C15,"")</f>
        <v/>
      </c>
      <c r="D22" s="84">
        <f>IFERROR(D20/D15,"")</f>
        <v/>
      </c>
      <c r="E22" s="84">
        <f>IFERROR(E20/E15,"")</f>
        <v/>
      </c>
      <c r="F22" s="84">
        <f>IFERROR(F20/F15,"")</f>
        <v/>
      </c>
      <c r="G22" s="85">
        <f>IFERROR(G20/G15,"")</f>
        <v/>
      </c>
      <c r="H22" s="85">
        <f>IFERROR(H20/H15,"")</f>
        <v/>
      </c>
      <c r="I22" s="85">
        <f>IFERROR(I20/I15,"")</f>
        <v/>
      </c>
      <c r="J22" s="85">
        <f>IFERROR(J20/J15,"")</f>
        <v/>
      </c>
      <c r="K22" s="85">
        <f>IFERROR(K20/K15,"")</f>
        <v/>
      </c>
      <c r="L22" s="86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7" t="inlineStr">
        <is>
          <t xml:space="preserve">  Less: D&amp;A</t>
        </is>
      </c>
      <c r="B25" s="75" t="n">
        <v>-11284</v>
      </c>
      <c r="C25" s="75" t="n">
        <v>-11104</v>
      </c>
      <c r="D25" s="75" t="n">
        <v>-11519</v>
      </c>
      <c r="E25" s="75" t="n">
        <v>-11445</v>
      </c>
      <c r="F25" s="75" t="n">
        <v>-11698</v>
      </c>
      <c r="G25" s="88">
        <f>-G15*G9</f>
        <v/>
      </c>
      <c r="H25" s="88">
        <f>-H15*H9</f>
        <v/>
      </c>
      <c r="I25" s="88">
        <f>-I15*I9</f>
        <v/>
      </c>
      <c r="J25" s="88">
        <f>-J15*J9</f>
        <v/>
      </c>
      <c r="K25" s="88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89" t="n">
        <v>111852</v>
      </c>
      <c r="C26" s="89" t="n">
        <v>122034</v>
      </c>
      <c r="D26" s="89" t="n">
        <v>117669</v>
      </c>
      <c r="E26" s="89" t="n">
        <v>123485</v>
      </c>
      <c r="F26" s="89" t="n">
        <v>132729</v>
      </c>
      <c r="G26" s="90">
        <f>G20+G25</f>
        <v/>
      </c>
      <c r="H26" s="90">
        <f>H20+H25</f>
        <v/>
      </c>
      <c r="I26" s="90">
        <f>I20+I25</f>
        <v/>
      </c>
      <c r="J26" s="90">
        <f>J20+J25</f>
        <v/>
      </c>
      <c r="K26" s="90">
        <f>K20+K25</f>
        <v/>
      </c>
      <c r="L26" s="90">
        <f>L20+L25</f>
        <v/>
      </c>
      <c r="M26" s="78">
        <f> EBITDA + D&amp;A  (GAAP operating income, EBIT)</f>
        <v/>
      </c>
    </row>
    <row r="27" ht="20" customHeight="1">
      <c r="A27" s="87" t="inlineStr">
        <is>
          <t xml:space="preserve">  Less: Tax on EBIT  (unlevered)</t>
        </is>
      </c>
      <c r="B27" s="91" t="n">
        <v>-14878.8</v>
      </c>
      <c r="C27" s="91" t="n">
        <v>-19775</v>
      </c>
      <c r="D27" s="91" t="n">
        <v>-17319.9</v>
      </c>
      <c r="E27" s="91" t="n">
        <v>-29749</v>
      </c>
      <c r="F27" s="91" t="n">
        <v>-20719</v>
      </c>
      <c r="G27" s="92">
        <f>-G26*G12</f>
        <v/>
      </c>
      <c r="H27" s="92">
        <f>-H26*H12</f>
        <v/>
      </c>
      <c r="I27" s="92">
        <f>-I26*I12</f>
        <v/>
      </c>
      <c r="J27" s="92">
        <f>-J26*J12</f>
        <v/>
      </c>
      <c r="K27" s="92">
        <f>-K26*K12</f>
        <v/>
      </c>
      <c r="L27" s="92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89" t="n">
        <v>96973.2</v>
      </c>
      <c r="C28" s="89" t="n">
        <v>102259</v>
      </c>
      <c r="D28" s="89" t="n">
        <v>100349.1</v>
      </c>
      <c r="E28" s="89" t="n">
        <v>93736</v>
      </c>
      <c r="F28" s="89" t="n">
        <v>112010</v>
      </c>
      <c r="G28" s="93">
        <f>G26+G27</f>
        <v/>
      </c>
      <c r="H28" s="93">
        <f>H26+H27</f>
        <v/>
      </c>
      <c r="I28" s="93">
        <f>I26+I27</f>
        <v/>
      </c>
      <c r="J28" s="93">
        <f>J26+J27</f>
        <v/>
      </c>
      <c r="K28" s="93">
        <f>K26+K27</f>
        <v/>
      </c>
      <c r="L28" s="93">
        <f>L26+L27</f>
        <v/>
      </c>
      <c r="M28" s="78">
        <f> EBIT × (1 − tax rate)</f>
        <v/>
      </c>
    </row>
    <row r="29" ht="20" customHeight="1">
      <c r="A29" s="87" t="inlineStr">
        <is>
          <t xml:space="preserve">  (+) D&amp;A add-back  (non-cash)</t>
        </is>
      </c>
      <c r="B29" s="91" t="n">
        <v>11284</v>
      </c>
      <c r="C29" s="91" t="n">
        <v>11104</v>
      </c>
      <c r="D29" s="91" t="n">
        <v>11519</v>
      </c>
      <c r="E29" s="91" t="n">
        <v>11445</v>
      </c>
      <c r="F29" s="91" t="n">
        <v>11698</v>
      </c>
      <c r="G29" s="92">
        <f>-G25</f>
        <v/>
      </c>
      <c r="H29" s="92">
        <f>-H25</f>
        <v/>
      </c>
      <c r="I29" s="92">
        <f>-I25</f>
        <v/>
      </c>
      <c r="J29" s="92">
        <f>-J25</f>
        <v/>
      </c>
      <c r="K29" s="92">
        <f>-K25</f>
        <v/>
      </c>
      <c r="L29" s="92">
        <f>-L25</f>
        <v/>
      </c>
      <c r="M29" s="78">
        <f> D&amp;A added back (non-cash charge — converts NOPAT to cash basis)</f>
        <v/>
      </c>
    </row>
    <row r="30" ht="20" customHeight="1">
      <c r="A30" s="87" t="inlineStr">
        <is>
          <t xml:space="preserve">  (−) Capital Expenditures</t>
        </is>
      </c>
      <c r="B30" s="75" t="n">
        <v>-11085</v>
      </c>
      <c r="C30" s="75" t="n">
        <v>-10708</v>
      </c>
      <c r="D30" s="75" t="n">
        <v>-10959</v>
      </c>
      <c r="E30" s="75" t="n">
        <v>-9447</v>
      </c>
      <c r="F30" s="75" t="n">
        <v>-12715</v>
      </c>
      <c r="G30" s="92">
        <f>-G15*G10</f>
        <v/>
      </c>
      <c r="H30" s="92">
        <f>-H15*H10</f>
        <v/>
      </c>
      <c r="I30" s="92">
        <f>-I15*I10</f>
        <v/>
      </c>
      <c r="J30" s="92">
        <f>-J15*J10</f>
        <v/>
      </c>
      <c r="K30" s="92">
        <f>-K15*K10</f>
        <v/>
      </c>
      <c r="L30" s="92">
        <f>-L15*L10</f>
        <v/>
      </c>
      <c r="M30" s="78">
        <f> Revenue × CapEx % assumption  (negative = cash outflow)</f>
        <v/>
      </c>
    </row>
    <row r="31" ht="20" customHeight="1">
      <c r="A31" s="87" t="inlineStr">
        <is>
          <t xml:space="preserve">  (−) Increase in Net Working Capital</t>
        </is>
      </c>
      <c r="B31" s="91" t="n"/>
      <c r="C31" s="91" t="n"/>
      <c r="D31" s="91" t="n"/>
      <c r="E31" s="91" t="n"/>
      <c r="F31" s="91" t="n"/>
      <c r="G31" s="92">
        <f>-G15*G11</f>
        <v/>
      </c>
      <c r="H31" s="92">
        <f>-H15*H11</f>
        <v/>
      </c>
      <c r="I31" s="92">
        <f>-I15*I11</f>
        <v/>
      </c>
      <c r="J31" s="92">
        <f>-J15*J11</f>
        <v/>
      </c>
      <c r="K31" s="92">
        <f>-K15*K11</f>
        <v/>
      </c>
      <c r="L31" s="92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89" t="n">
        <v>97172.2</v>
      </c>
      <c r="C32" s="89" t="n">
        <v>102655</v>
      </c>
      <c r="D32" s="89" t="n">
        <v>100909.1</v>
      </c>
      <c r="E32" s="89" t="n">
        <v>95734</v>
      </c>
      <c r="F32" s="89" t="n">
        <v>110993</v>
      </c>
      <c r="G32" s="93">
        <f>G28+G29+G30+G31</f>
        <v/>
      </c>
      <c r="H32" s="93">
        <f>H28+H29+H30+H31</f>
        <v/>
      </c>
      <c r="I32" s="93">
        <f>I28+I29+I30+I31</f>
        <v/>
      </c>
      <c r="J32" s="93">
        <f>J28+J29+J30+J31</f>
        <v/>
      </c>
      <c r="K32" s="93">
        <f>K28+K29+K30+K31</f>
        <v/>
      </c>
      <c r="L32" s="93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4" t="n">
        <v>0.2656</v>
      </c>
      <c r="C33" s="84" t="n">
        <v>0.2603</v>
      </c>
      <c r="D33" s="84" t="n">
        <v>0.2633</v>
      </c>
      <c r="E33" s="84" t="n">
        <v>0.2448</v>
      </c>
      <c r="F33" s="84" t="n">
        <v>0.2667</v>
      </c>
      <c r="G33" s="94">
        <f>IFERROR(G32/G15,"")</f>
        <v/>
      </c>
      <c r="H33" s="94">
        <f>IFERROR(H32/H15,"")</f>
        <v/>
      </c>
      <c r="I33" s="94">
        <f>IFERROR(I32/I15,"")</f>
        <v/>
      </c>
      <c r="J33" s="94">
        <f>IFERROR(J32/J15,"")</f>
        <v/>
      </c>
      <c r="K33" s="94">
        <f>IFERROR(K32/K15,"")</f>
        <v/>
      </c>
      <c r="L33" s="94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5">
        <f>WACC!B45</f>
        <v/>
      </c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7" t="n">
        <v>0.03</v>
      </c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98" t="n">
        <v>20</v>
      </c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99" t="inlineStr">
        <is>
          <t>Terminal Year UFCF  (grown by g)</t>
        </is>
      </c>
      <c r="B40" s="100">
        <f>L32</f>
        <v/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3">
        <f>B40/(B36-B37)</f>
        <v/>
      </c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3">
        <f>L20*B38</f>
        <v/>
      </c>
      <c r="C42" s="102" t="n"/>
      <c r="D42" s="102" t="n"/>
      <c r="E42" s="102" t="n"/>
      <c r="F42" s="102" t="n"/>
      <c r="G42" s="102" t="n"/>
      <c r="H42" s="102" t="n"/>
      <c r="I42" s="102" t="n"/>
      <c r="J42" s="102" t="n"/>
      <c r="K42" s="102" t="n"/>
      <c r="L42" s="102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99" t="inlineStr">
        <is>
          <t>Discount Period  (mid-year convention)</t>
        </is>
      </c>
      <c r="G45" s="103" t="n">
        <v>0.5</v>
      </c>
      <c r="H45" s="103" t="n">
        <v>1.5</v>
      </c>
      <c r="I45" s="103" t="n">
        <v>2.5</v>
      </c>
      <c r="J45" s="103" t="n">
        <v>3.5</v>
      </c>
      <c r="K45" s="103" t="n">
        <v>4.5</v>
      </c>
      <c r="L45" s="104" t="n">
        <v>5</v>
      </c>
      <c r="M45" s="78" t="inlineStr">
        <is>
          <t>Mid-year: 0.5, 1.5, 2.5...  assumes FCF received evenly through each year</t>
        </is>
      </c>
    </row>
    <row r="46" ht="20" customHeight="1">
      <c r="A46" s="99" t="inlineStr">
        <is>
          <t>Discount Factor  =  1 / (1 + WACC) ^ period</t>
        </is>
      </c>
      <c r="G46" s="105">
        <f>1/(1+B36)^G45</f>
        <v/>
      </c>
      <c r="H46" s="105">
        <f>1/(1+B36)^H45</f>
        <v/>
      </c>
      <c r="I46" s="105">
        <f>1/(1+B36)^I45</f>
        <v/>
      </c>
      <c r="J46" s="105">
        <f>1/(1+B36)^J45</f>
        <v/>
      </c>
      <c r="K46" s="105">
        <f>1/(1+B36)^K45</f>
        <v/>
      </c>
      <c r="L46" s="106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3">
        <f>G32*G46</f>
        <v/>
      </c>
      <c r="H47" s="93">
        <f>H32*H46</f>
        <v/>
      </c>
      <c r="I47" s="93">
        <f>I32*I46</f>
        <v/>
      </c>
      <c r="J47" s="93">
        <f>J32*J46</f>
        <v/>
      </c>
      <c r="K47" s="93">
        <f>K32*K46</f>
        <v/>
      </c>
      <c r="L47" s="102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0">
        <f>G47+H47+I47+J47+K47</f>
        <v/>
      </c>
      <c r="C48" s="107" t="n"/>
      <c r="D48" s="107" t="n"/>
      <c r="E48" s="107" t="n"/>
      <c r="F48" s="107" t="n"/>
      <c r="G48" s="107" t="n"/>
      <c r="H48" s="107" t="n"/>
      <c r="I48" s="107" t="n"/>
      <c r="J48" s="107" t="n"/>
      <c r="K48" s="107" t="n"/>
      <c r="L48" s="107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0">
        <f>B41*L46</f>
        <v/>
      </c>
      <c r="C49" s="107" t="n"/>
      <c r="D49" s="107" t="n"/>
      <c r="E49" s="107" t="n"/>
      <c r="F49" s="107" t="n"/>
      <c r="G49" s="107" t="n"/>
      <c r="H49" s="107" t="n"/>
      <c r="I49" s="107" t="n"/>
      <c r="J49" s="107" t="n"/>
      <c r="K49" s="107" t="n"/>
      <c r="L49" s="107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0">
        <f>B42*L46</f>
        <v/>
      </c>
      <c r="C50" s="107" t="n"/>
      <c r="D50" s="107" t="n"/>
      <c r="E50" s="107" t="n"/>
      <c r="F50" s="107" t="n"/>
      <c r="G50" s="107" t="n"/>
      <c r="H50" s="107" t="n"/>
      <c r="I50" s="107" t="n"/>
      <c r="J50" s="107" t="n"/>
      <c r="K50" s="107" t="n"/>
      <c r="L50" s="107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3">
        <f>B48+B49</f>
        <v/>
      </c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</row>
    <row r="54">
      <c r="A54" s="74" t="inlineStr">
        <is>
          <t>Enterprise Value  [Exit Multiple]</t>
        </is>
      </c>
      <c r="B54" s="93">
        <f>B48+B50</f>
        <v/>
      </c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</row>
    <row r="55" ht="20" customHeight="1">
      <c r="A55" s="87" t="inlineStr">
        <is>
          <t xml:space="preserve">  Less: Net Debt  (Debt − Cash)</t>
        </is>
      </c>
      <c r="B55" s="100" t="n">
        <v>62723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78" t="inlineStr">
        <is>
          <t>Auto-linked from Balance Sheet: Debt $98,657mm − Cash $35,934mm = $62,723mm  (negative = net cash)</t>
        </is>
      </c>
    </row>
    <row r="56" ht="20" customHeight="1">
      <c r="A56" s="87" t="inlineStr">
        <is>
          <t xml:space="preserve">  Less: Minority Interest</t>
        </is>
      </c>
      <c r="B56" s="100" t="n">
        <v>0</v>
      </c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78" t="inlineStr">
        <is>
          <t>Auto-linked from Balance Sheet: minorityInterest</t>
        </is>
      </c>
    </row>
    <row r="57" ht="20" customHeight="1">
      <c r="A57" s="87" t="inlineStr">
        <is>
          <t xml:space="preserve">  Shares Outstanding — Diluted  (mm)</t>
        </is>
      </c>
      <c r="B57" s="100" t="n">
        <v>15004.7</v>
      </c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08">
        <f>IFERROR((B53-B55-B56)/B57,"")</f>
        <v/>
      </c>
      <c r="C59" s="102" t="n"/>
      <c r="D59" s="102" t="n"/>
      <c r="E59" s="102" t="n"/>
      <c r="F59" s="102" t="n"/>
      <c r="G59" s="102" t="n"/>
      <c r="H59" s="102" t="n"/>
      <c r="I59" s="102" t="n"/>
      <c r="J59" s="102" t="n"/>
      <c r="K59" s="102" t="n"/>
      <c r="L59" s="102" t="n"/>
      <c r="M59" s="102" t="n"/>
    </row>
    <row r="60">
      <c r="A60" s="74" t="inlineStr">
        <is>
          <t>Implied Share Price  [Exit Multiple]  ($)</t>
        </is>
      </c>
      <c r="B60" s="108">
        <f>IFERROR((B54-B55-B56)/B57,"")</f>
        <v/>
      </c>
      <c r="C60" s="102" t="n"/>
      <c r="D60" s="102" t="n"/>
      <c r="E60" s="102" t="n"/>
      <c r="F60" s="102" t="n"/>
      <c r="G60" s="102" t="n"/>
      <c r="H60" s="102" t="n"/>
      <c r="I60" s="102" t="n"/>
      <c r="J60" s="102" t="n"/>
      <c r="K60" s="102" t="n"/>
      <c r="L60" s="102" t="n"/>
      <c r="M60" s="102" t="n"/>
    </row>
    <row r="61" ht="20" customHeight="1">
      <c r="A61" s="99" t="inlineStr">
        <is>
          <t>Current Market Price  ($)</t>
        </is>
      </c>
      <c r="B61" s="109" t="n">
        <v>270.23</v>
      </c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0">
        <f>IFERROR(B59/B61-1,"")</f>
        <v/>
      </c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</row>
    <row r="63">
      <c r="A63" s="62" t="inlineStr">
        <is>
          <t>Upside / (Downside)  [Exit Multiple]</t>
        </is>
      </c>
      <c r="B63" s="110">
        <f>IFERROR(B60/B61-1,"")</f>
        <v/>
      </c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1" t="inlineStr">
        <is>
          <t>JS SCORECARD — AAPL  |  Master Prompt v2  |  18 Apr 2026</t>
        </is>
      </c>
    </row>
    <row r="2" ht="18" customHeight="1">
      <c r="A2" s="112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3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4" t="inlineStr">
        <is>
          <t>CRITERION</t>
        </is>
      </c>
      <c r="B6" s="115" t="inlineStr">
        <is>
          <t>PART</t>
        </is>
      </c>
      <c r="C6" s="115" t="inlineStr">
        <is>
          <t>WEIGHT %</t>
        </is>
      </c>
      <c r="D6" s="115" t="inlineStr">
        <is>
          <t>CALCULATED VALUE</t>
        </is>
      </c>
      <c r="E6" s="115" t="inlineStr">
        <is>
          <t>TIER  ▼</t>
        </is>
      </c>
      <c r="F6" s="115" t="inlineStr">
        <is>
          <t>SCORE</t>
        </is>
      </c>
      <c r="G6" s="115" t="inlineStr">
        <is>
          <t>WTD SCORE</t>
        </is>
      </c>
      <c r="H6" s="114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6" t="inlineStr">
        <is>
          <t xml:space="preserve">  Business Clarity</t>
        </is>
      </c>
      <c r="B8" s="117" t="inlineStr">
        <is>
          <t>P1</t>
        </is>
      </c>
      <c r="C8" s="118" t="n">
        <v>0.025</v>
      </c>
      <c r="D8" s="119" t="inlineStr">
        <is>
          <t>— user input required</t>
        </is>
      </c>
      <c r="E8" s="120" t="n"/>
      <c r="F8" s="121">
        <f>IF(E8="HIGH",10,IF(E8="MOD-HIGH",7,IF(E8="MOD-LOW",3,IF(E8="LOW",0,""))))</f>
        <v/>
      </c>
      <c r="G8" s="122">
        <f>IF(F8="","",C8*F8)</f>
        <v/>
      </c>
      <c r="H8" s="123" t="inlineStr"/>
    </row>
    <row r="9" ht="18" customHeight="1">
      <c r="A9" s="124" t="inlineStr">
        <is>
          <t xml:space="preserve">  Moat Profile</t>
        </is>
      </c>
      <c r="B9" s="125" t="inlineStr">
        <is>
          <t>P1</t>
        </is>
      </c>
      <c r="C9" s="126" t="n">
        <v>0.1</v>
      </c>
      <c r="D9" s="127" t="inlineStr">
        <is>
          <t>GM 46.9% ✓ (&gt;40%)  |  GM trend +3.6% ✓ (&gt;+1pp)  |  ROIC-WACC +73.3% ✓ (&gt;+5pp)  |  Rev consistency σ=4.1% ✓ (&lt;8%)  [4/4 indicators positive — proxy score]</t>
        </is>
      </c>
      <c r="E9" s="128" t="inlineStr">
        <is>
          <t>HIGH</t>
        </is>
      </c>
      <c r="F9" s="129">
        <f>IF(E9="HIGH",10,IF(E9="MOD-HIGH",7,IF(E9="MOD-LOW",3,IF(E9="LOW",0,""))))</f>
        <v/>
      </c>
      <c r="G9" s="130">
        <f>IF(F9="","",C9*F9)</f>
        <v/>
      </c>
      <c r="H9" s="131" t="inlineStr">
        <is>
          <t>GM 46.9% ✓ (&gt;40%)  |  GM trend +3.6% ✓ (&gt;+1pp)  |  ROIC-WACC +73.3% ✓ (&gt;+5pp)  |  Rev consistency σ=4.1% ✓ (&lt;8%)  [4/4 indicators positive — proxy score]</t>
        </is>
      </c>
    </row>
    <row r="10" ht="18" customHeight="1">
      <c r="A10" s="116" t="inlineStr">
        <is>
          <t xml:space="preserve">  Long-Term Potential</t>
        </is>
      </c>
      <c r="B10" s="117" t="inlineStr">
        <is>
          <t>P1</t>
        </is>
      </c>
      <c r="C10" s="118" t="n">
        <v>0.1</v>
      </c>
      <c r="D10" s="119" t="inlineStr">
        <is>
          <t>— user input required</t>
        </is>
      </c>
      <c r="E10" s="120" t="n"/>
      <c r="F10" s="121">
        <f>IF(E10="HIGH",10,IF(E10="MOD-HIGH",7,IF(E10="MOD-LOW",3,IF(E10="LOW",0,""))))</f>
        <v/>
      </c>
      <c r="G10" s="122">
        <f>IF(F10="","",C10*F10)</f>
        <v/>
      </c>
      <c r="H10" s="123" t="inlineStr"/>
    </row>
    <row r="11" ht="18" customHeight="1">
      <c r="A11" s="124" t="inlineStr">
        <is>
          <t xml:space="preserve">  Management</t>
        </is>
      </c>
      <c r="B11" s="125" t="inlineStr">
        <is>
          <t>P1</t>
        </is>
      </c>
      <c r="C11" s="126" t="n">
        <v>0.075</v>
      </c>
      <c r="D11" s="127" t="inlineStr">
        <is>
          <t>ROIC trend +14.2% ✓ (≥-2pp)  |  GM maintained +3.6% ✓  |  Op margin +1.7% ✓ (≥-2pp)  |  Capital returns HIGH ✓  [4/4 indicators positive — proxy score]</t>
        </is>
      </c>
      <c r="E11" s="128" t="inlineStr">
        <is>
          <t>HIGH</t>
        </is>
      </c>
      <c r="F11" s="129">
        <f>IF(E11="HIGH",10,IF(E11="MOD-HIGH",7,IF(E11="MOD-LOW",3,IF(E11="LOW",0,""))))</f>
        <v/>
      </c>
      <c r="G11" s="130">
        <f>IF(F11="","",C11*F11)</f>
        <v/>
      </c>
      <c r="H11" s="131" t="inlineStr">
        <is>
          <t>ROIC trend +14.2% ✓ (≥-2pp)  |  GM maintained +3.6% ✓  |  Op margin +1.7% ✓ (≥-2pp)  |  Capital returns HIGH ✓  [4/4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4" t="inlineStr">
        <is>
          <t xml:space="preserve">  Revenue 3yr CAGR</t>
        </is>
      </c>
      <c r="B13" s="125" t="inlineStr">
        <is>
          <t>P2</t>
        </is>
      </c>
      <c r="C13" s="126" t="n">
        <v>0.1</v>
      </c>
      <c r="D13" s="127" t="inlineStr">
        <is>
          <t>1.8%</t>
        </is>
      </c>
      <c r="E13" s="132" t="inlineStr">
        <is>
          <t>LOW</t>
        </is>
      </c>
      <c r="F13" s="129">
        <f>IF(E13="HIGH",10,IF(E13="MOD-HIGH",7,IF(E13="MOD-LOW",3,IF(E13="LOW",0,""))))</f>
        <v/>
      </c>
      <c r="G13" s="130">
        <f>IF(F13="","",C13*F13)</f>
        <v/>
      </c>
      <c r="H13" s="131" t="inlineStr">
        <is>
          <t>1.8%</t>
        </is>
      </c>
    </row>
    <row r="14" ht="18" customHeight="1">
      <c r="A14" s="124" t="inlineStr">
        <is>
          <t xml:space="preserve">  Cash Quality  (FCF / Net Income)</t>
        </is>
      </c>
      <c r="B14" s="125" t="inlineStr">
        <is>
          <t>P2</t>
        </is>
      </c>
      <c r="C14" s="126" t="n">
        <v>0.1</v>
      </c>
      <c r="D14" s="127" t="inlineStr">
        <is>
          <t>88%  [trend penalty: declined &gt;15pp vs 3yr ago]</t>
        </is>
      </c>
      <c r="E14" s="133" t="inlineStr">
        <is>
          <t>MOD-HIGH</t>
        </is>
      </c>
      <c r="F14" s="129">
        <f>IF(E14="HIGH",10,IF(E14="MOD-HIGH",7,IF(E14="MOD-LOW",3,IF(E14="LOW",0,""))))</f>
        <v/>
      </c>
      <c r="G14" s="130">
        <f>IF(F14="","",C14*F14)</f>
        <v/>
      </c>
      <c r="H14" s="131" t="inlineStr">
        <is>
          <t>88%  [trend penalty: declined &gt;15pp vs 3yr ago]</t>
        </is>
      </c>
    </row>
    <row r="15" ht="18" customHeight="1">
      <c r="A15" s="124" t="inlineStr">
        <is>
          <t xml:space="preserve">  Capital Returns</t>
        </is>
      </c>
      <c r="B15" s="125" t="inlineStr">
        <is>
          <t>P2</t>
        </is>
      </c>
      <c r="C15" s="126" t="n">
        <v>0.05</v>
      </c>
      <c r="D15" s="127" t="inlineStr">
        <is>
          <t>$90,711mm latest FY — 5yr+ consistent equity-funded</t>
        </is>
      </c>
      <c r="E15" s="128" t="inlineStr">
        <is>
          <t>HIGH</t>
        </is>
      </c>
      <c r="F15" s="129">
        <f>IF(E15="HIGH",10,IF(E15="MOD-HIGH",7,IF(E15="MOD-LOW",3,IF(E15="LOW",0,""))))</f>
        <v/>
      </c>
      <c r="G15" s="130">
        <f>IF(F15="","",C15*F15)</f>
        <v/>
      </c>
      <c r="H15" s="131" t="inlineStr">
        <is>
          <t>$90,711mm latest FY — 5yr+ consistent equity-funded</t>
        </is>
      </c>
    </row>
    <row r="16" ht="18" customHeight="1">
      <c r="A16" s="124" t="inlineStr">
        <is>
          <t xml:space="preserve">  ROIC</t>
        </is>
      </c>
      <c r="B16" s="125" t="inlineStr">
        <is>
          <t>P2</t>
        </is>
      </c>
      <c r="C16" s="126" t="n">
        <v>0.075</v>
      </c>
      <c r="D16" s="127" t="inlineStr">
        <is>
          <t>82.3%</t>
        </is>
      </c>
      <c r="E16" s="128" t="inlineStr">
        <is>
          <t>HIGH</t>
        </is>
      </c>
      <c r="F16" s="129">
        <f>IF(E16="HIGH",10,IF(E16="MOD-HIGH",7,IF(E16="MOD-LOW",3,IF(E16="LOW",0,""))))</f>
        <v/>
      </c>
      <c r="G16" s="130">
        <f>IF(F16="","",C16*F16)</f>
        <v/>
      </c>
      <c r="H16" s="131" t="inlineStr">
        <is>
          <t>82.3%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4" t="inlineStr">
        <is>
          <t xml:space="preserve">  Credit Risk  (D / EBITDA)</t>
        </is>
      </c>
      <c r="B18" s="125" t="inlineStr">
        <is>
          <t>P3</t>
        </is>
      </c>
      <c r="C18" s="126" t="n">
        <v>0.05</v>
      </c>
      <c r="D18" s="127" t="inlineStr">
        <is>
          <t>0.7x</t>
        </is>
      </c>
      <c r="E18" s="128" t="inlineStr">
        <is>
          <t>HIGH</t>
        </is>
      </c>
      <c r="F18" s="129">
        <f>IF(E18="HIGH",10,IF(E18="MOD-HIGH",7,IF(E18="MOD-LOW",3,IF(E18="LOW",0,""))))</f>
        <v/>
      </c>
      <c r="G18" s="130">
        <f>IF(F18="","",C18*F18)</f>
        <v/>
      </c>
      <c r="H18" s="131" t="inlineStr">
        <is>
          <t>0.7x</t>
        </is>
      </c>
    </row>
    <row r="19" ht="18" customHeight="1">
      <c r="A19" s="124" t="inlineStr">
        <is>
          <t xml:space="preserve">  Interest Cover  (EBIT / Interest)</t>
        </is>
      </c>
      <c r="B19" s="125" t="inlineStr">
        <is>
          <t>P3</t>
        </is>
      </c>
      <c r="C19" s="126" t="n">
        <v>0.075</v>
      </c>
      <c r="D19" s="127" t="inlineStr">
        <is>
          <t>No interest expense — debt-free</t>
        </is>
      </c>
      <c r="E19" s="128" t="inlineStr">
        <is>
          <t>HIGH</t>
        </is>
      </c>
      <c r="F19" s="129">
        <f>IF(E19="HIGH",10,IF(E19="MOD-HIGH",7,IF(E19="MOD-LOW",3,IF(E19="LOW",0,""))))</f>
        <v/>
      </c>
      <c r="G19" s="130">
        <f>IF(F19="","",C19*F19)</f>
        <v/>
      </c>
      <c r="H19" s="131" t="inlineStr">
        <is>
          <t>No interest expense — debt-free</t>
        </is>
      </c>
    </row>
    <row r="20" ht="18" customHeight="1">
      <c r="A20" s="124" t="inlineStr">
        <is>
          <t xml:space="preserve">  Execution Risk</t>
        </is>
      </c>
      <c r="B20" s="125" t="inlineStr">
        <is>
          <t>P3</t>
        </is>
      </c>
      <c r="C20" s="126" t="n">
        <v>0.05</v>
      </c>
      <c r="D20" s="127" t="inlineStr">
        <is>
          <t>Rev growth σ=4.1%  |  Op margin σ=0.9%  [proxy — lower σ = lower risk = higher score]</t>
        </is>
      </c>
      <c r="E20" s="128" t="inlineStr">
        <is>
          <t>HIGH</t>
        </is>
      </c>
      <c r="F20" s="129">
        <f>IF(E20="HIGH",10,IF(E20="MOD-HIGH",7,IF(E20="MOD-LOW",3,IF(E20="LOW",0,""))))</f>
        <v/>
      </c>
      <c r="G20" s="130">
        <f>IF(F20="","",C20*F20)</f>
        <v/>
      </c>
      <c r="H20" s="131" t="inlineStr">
        <is>
          <t>Rev growth σ=4.1%  |  Op margin σ=0.9%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4" t="inlineStr">
        <is>
          <t xml:space="preserve">  Valuation vs Median  (P/E)</t>
        </is>
      </c>
      <c r="B22" s="125" t="inlineStr">
        <is>
          <t>P4</t>
        </is>
      </c>
      <c r="C22" s="126" t="n">
        <v>0.1</v>
      </c>
      <c r="D22" s="127" t="inlineStr">
        <is>
          <t>Current 34.1x  |  5yr avg 29.9x  |  Sector median 31.7x  [+14% vs benchmark]</t>
        </is>
      </c>
      <c r="E22" s="134" t="inlineStr">
        <is>
          <t>MOD-LOW</t>
        </is>
      </c>
      <c r="F22" s="129">
        <f>IF(E22="HIGH",10,IF(E22="MOD-HIGH",7,IF(E22="MOD-LOW",3,IF(E22="LOW",0,""))))</f>
        <v/>
      </c>
      <c r="G22" s="130">
        <f>IF(F22="","",C22*F22)</f>
        <v/>
      </c>
      <c r="H22" s="131" t="inlineStr">
        <is>
          <t>Current 34.1x  |  5yr avg 29.9x  |  Sector median 31.7x  [+14% vs benchmark]</t>
        </is>
      </c>
    </row>
    <row r="23" ht="18" customHeight="1">
      <c r="A23" s="124" t="inlineStr">
        <is>
          <t xml:space="preserve">  Valuation vs Median  (P/FCF)</t>
        </is>
      </c>
      <c r="B23" s="125" t="inlineStr">
        <is>
          <t>P4</t>
        </is>
      </c>
      <c r="C23" s="126" t="n">
        <v>0.1</v>
      </c>
      <c r="D23" s="127" t="inlineStr">
        <is>
          <t>Current 38.7x  |  5yr avg 29.2x  |  Sector median 27.5x  [+33% vs benchmark]</t>
        </is>
      </c>
      <c r="E23" s="132" t="inlineStr">
        <is>
          <t>LOW</t>
        </is>
      </c>
      <c r="F23" s="129">
        <f>IF(E23="HIGH",10,IF(E23="MOD-HIGH",7,IF(E23="MOD-LOW",3,IF(E23="LOW",0,""))))</f>
        <v/>
      </c>
      <c r="G23" s="130">
        <f>IF(F23="","",C23*F23)</f>
        <v/>
      </c>
      <c r="H23" s="131" t="inlineStr">
        <is>
          <t>Current 38.7x  |  5yr avg 29.2x  |  Sector median 27.5x  [+33%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5" t="inlineStr">
        <is>
          <t>TOTAL SCORE  (max = 100.0)</t>
        </is>
      </c>
      <c r="B25" s="136" t="n"/>
      <c r="C25" s="136" t="n"/>
      <c r="D25" s="136" t="n"/>
      <c r="E25" s="136" t="n"/>
      <c r="F25" s="136" t="n"/>
      <c r="G25" s="137">
        <f>G8+G9+G10+G11+G13+G14+G15+G16+G18+G19+G20+G22+G23</f>
        <v/>
      </c>
      <c r="H25" s="138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39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40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2026-04-18T07:56:27Z</dcterms:created>
  <dcterms:modified xsi:type="dcterms:W3CDTF">2026-04-18T07:56:33Z</dcterms:modified>
</cp:coreProperties>
</file>