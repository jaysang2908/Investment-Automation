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MSFT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281724</v>
      </c>
    </row>
    <row r="8">
      <c r="A8" s="3" t="inlineStr">
        <is>
          <t>Gross Profit ($mm)</t>
        </is>
      </c>
      <c r="B8" s="7" t="n">
        <v>193893</v>
      </c>
    </row>
    <row r="9">
      <c r="A9" s="3" t="inlineStr">
        <is>
          <t>EBITDA ($mm)</t>
        </is>
      </c>
      <c r="B9" s="7" t="n">
        <v>160165</v>
      </c>
    </row>
    <row r="10">
      <c r="A10" s="3" t="inlineStr">
        <is>
          <t>EBIT ($mm)</t>
        </is>
      </c>
      <c r="B10" s="7" t="n">
        <v>128528</v>
      </c>
    </row>
    <row r="11">
      <c r="A11" s="3" t="inlineStr">
        <is>
          <t>Net Income ($mm)</t>
        </is>
      </c>
      <c r="B11" s="7" t="n">
        <v>101832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168088</v>
      </c>
      <c r="C5" s="16" t="n">
        <v>198270</v>
      </c>
      <c r="D5" s="16" t="n">
        <v>211915</v>
      </c>
      <c r="E5" s="16" t="n">
        <v>245122</v>
      </c>
      <c r="F5" s="16" t="n">
        <v>281724</v>
      </c>
    </row>
    <row r="6">
      <c r="A6" s="17" t="inlineStr">
        <is>
          <t>(2)  Cost of Revenue (COGS)</t>
        </is>
      </c>
      <c r="B6" s="18" t="n">
        <v>52232</v>
      </c>
      <c r="C6" s="18" t="n">
        <v>62650</v>
      </c>
      <c r="D6" s="18" t="n">
        <v>65863</v>
      </c>
      <c r="E6" s="18" t="n">
        <v>74114</v>
      </c>
      <c r="F6" s="18" t="n">
        <v>87831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25224</v>
      </c>
      <c r="C9" s="18" t="n">
        <v>27725</v>
      </c>
      <c r="D9" s="18" t="n">
        <v>30334</v>
      </c>
      <c r="E9" s="18" t="n">
        <v>32065</v>
      </c>
      <c r="F9" s="18" t="n">
        <v>32877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45940</v>
      </c>
      <c r="C11" s="18" t="n">
        <v>52237</v>
      </c>
      <c r="D11" s="18" t="n">
        <v>57529</v>
      </c>
      <c r="E11" s="18" t="n">
        <v>61575</v>
      </c>
      <c r="F11" s="18" t="n">
        <v>65365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11686</v>
      </c>
      <c r="C14" s="18" t="n">
        <v>14460</v>
      </c>
      <c r="D14" s="18" t="n">
        <v>13861</v>
      </c>
      <c r="E14" s="18" t="n">
        <v>22287</v>
      </c>
      <c r="F14" s="18" t="n">
        <v>34153</v>
      </c>
    </row>
    <row r="15">
      <c r="A15" s="19" t="inlineStr">
        <is>
          <t>(8)  EBIT (Operating Income)</t>
        </is>
      </c>
      <c r="B15" s="24" t="n">
        <v>69916</v>
      </c>
      <c r="C15" s="24" t="n">
        <v>83383</v>
      </c>
      <c r="D15" s="24" t="n">
        <v>88523</v>
      </c>
      <c r="E15" s="24" t="n">
        <v>109433</v>
      </c>
      <c r="F15" s="24" t="n">
        <v>128528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2346</v>
      </c>
      <c r="C17" s="18" t="n">
        <v>2063</v>
      </c>
      <c r="D17" s="18" t="n">
        <v>1968</v>
      </c>
      <c r="E17" s="18" t="n">
        <v>2935</v>
      </c>
      <c r="F17" s="18" t="n">
        <v>2385</v>
      </c>
    </row>
    <row r="18">
      <c r="A18" s="21" t="inlineStr">
        <is>
          <t xml:space="preserve">     Interest Income</t>
        </is>
      </c>
      <c r="B18" s="18" t="n">
        <v>2131</v>
      </c>
      <c r="C18" s="18" t="n">
        <v>2094</v>
      </c>
      <c r="D18" s="18" t="n">
        <v>2994</v>
      </c>
      <c r="E18" s="18" t="n">
        <v>3157</v>
      </c>
      <c r="F18" s="18" t="n">
        <v>2647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71102</v>
      </c>
      <c r="C21" s="24" t="n">
        <v>83716</v>
      </c>
      <c r="D21" s="24" t="n">
        <v>89311</v>
      </c>
      <c r="E21" s="24" t="n">
        <v>107787</v>
      </c>
      <c r="F21" s="24" t="n">
        <v>123627</v>
      </c>
    </row>
    <row r="22">
      <c r="A22" s="17" t="inlineStr">
        <is>
          <t>(11) Income Tax Expense</t>
        </is>
      </c>
      <c r="B22" s="18" t="n">
        <v>9831</v>
      </c>
      <c r="C22" s="18" t="n">
        <v>10978</v>
      </c>
      <c r="D22" s="18" t="n">
        <v>16950</v>
      </c>
      <c r="E22" s="18" t="n">
        <v>19651</v>
      </c>
      <c r="F22" s="18" t="n">
        <v>21795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61271</v>
      </c>
      <c r="C24" s="24" t="n">
        <v>72738</v>
      </c>
      <c r="D24" s="24" t="n">
        <v>72361</v>
      </c>
      <c r="E24" s="24" t="n">
        <v>88136</v>
      </c>
      <c r="F24" s="24" t="n">
        <v>101832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168088</v>
      </c>
      <c r="C30" s="16" t="n">
        <v>198270</v>
      </c>
      <c r="D30" s="16" t="n">
        <v>211915</v>
      </c>
      <c r="E30" s="16" t="n">
        <v>245122</v>
      </c>
      <c r="F30" s="16" t="n">
        <v>281724</v>
      </c>
    </row>
    <row r="31">
      <c r="A31" s="17" t="inlineStr">
        <is>
          <t>Cost of Revenue</t>
        </is>
      </c>
      <c r="B31" s="18" t="n">
        <v>52232</v>
      </c>
      <c r="C31" s="18" t="n">
        <v>62650</v>
      </c>
      <c r="D31" s="18" t="n">
        <v>65863</v>
      </c>
      <c r="E31" s="18" t="n">
        <v>74114</v>
      </c>
      <c r="F31" s="18" t="n">
        <v>87831</v>
      </c>
    </row>
    <row r="32">
      <c r="A32" s="26" t="inlineStr">
        <is>
          <t>Gross Profit</t>
        </is>
      </c>
      <c r="B32" s="27" t="n">
        <v>115856</v>
      </c>
      <c r="C32" s="27" t="n">
        <v>135620</v>
      </c>
      <c r="D32" s="27" t="n">
        <v>146052</v>
      </c>
      <c r="E32" s="27" t="n">
        <v>171008</v>
      </c>
      <c r="F32" s="27" t="n">
        <v>193893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20716</v>
      </c>
      <c r="C34" s="18" t="n">
        <v>24512</v>
      </c>
      <c r="D34" s="18" t="n">
        <v>27195</v>
      </c>
      <c r="E34" s="18" t="n">
        <v>29510</v>
      </c>
      <c r="F34" s="18" t="n">
        <v>32488</v>
      </c>
    </row>
    <row r="35">
      <c r="A35" s="17" t="inlineStr">
        <is>
          <t>General &amp; Administrative</t>
        </is>
      </c>
      <c r="B35" s="18" t="n">
        <v>5107</v>
      </c>
      <c r="C35" s="18" t="n">
        <v>5900</v>
      </c>
      <c r="D35" s="18" t="n">
        <v>7575</v>
      </c>
      <c r="E35" s="18" t="n">
        <v>7609</v>
      </c>
      <c r="F35" s="18" t="n">
        <v>7223</v>
      </c>
    </row>
    <row r="36">
      <c r="A36" s="17" t="inlineStr">
        <is>
          <t>Selling &amp; Marketing</t>
        </is>
      </c>
      <c r="B36" s="18" t="n">
        <v>20117</v>
      </c>
      <c r="C36" s="18" t="n">
        <v>21825</v>
      </c>
      <c r="D36" s="18" t="n">
        <v>22759</v>
      </c>
      <c r="E36" s="18" t="n">
        <v>24456</v>
      </c>
      <c r="F36" s="18" t="n">
        <v>25654</v>
      </c>
    </row>
    <row r="37">
      <c r="A37" s="17" t="inlineStr">
        <is>
          <t>SG&amp;A (Combined)</t>
        </is>
      </c>
      <c r="B37" s="18" t="n">
        <v>25224</v>
      </c>
      <c r="C37" s="18" t="n">
        <v>27725</v>
      </c>
      <c r="D37" s="18" t="n">
        <v>30334</v>
      </c>
      <c r="E37" s="18" t="n">
        <v>32065</v>
      </c>
      <c r="F37" s="18" t="n">
        <v>32877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45940</v>
      </c>
      <c r="C39" s="27" t="n">
        <v>52237</v>
      </c>
      <c r="D39" s="27" t="n">
        <v>57529</v>
      </c>
      <c r="E39" s="27" t="n">
        <v>61575</v>
      </c>
      <c r="F39" s="27" t="n">
        <v>65365</v>
      </c>
    </row>
    <row r="40">
      <c r="A40" s="17" t="inlineStr">
        <is>
          <t>Cost &amp; Expenses (COGS + Opex)</t>
        </is>
      </c>
      <c r="B40" s="18" t="n">
        <v>98172</v>
      </c>
      <c r="C40" s="18" t="n">
        <v>114887</v>
      </c>
      <c r="D40" s="18" t="n">
        <v>123392</v>
      </c>
      <c r="E40" s="18" t="n">
        <v>135689</v>
      </c>
      <c r="F40" s="18" t="n">
        <v>153196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69916</v>
      </c>
      <c r="C42" s="16" t="n">
        <v>83383</v>
      </c>
      <c r="D42" s="16" t="n">
        <v>88523</v>
      </c>
      <c r="E42" s="16" t="n">
        <v>109433</v>
      </c>
      <c r="F42" s="16" t="n">
        <v>128528</v>
      </c>
    </row>
    <row r="43">
      <c r="A43" s="17" t="inlineStr">
        <is>
          <t>EBIT (FMP field)</t>
        </is>
      </c>
      <c r="B43" s="18" t="n">
        <v>73448</v>
      </c>
      <c r="C43" s="18" t="n">
        <v>85779</v>
      </c>
      <c r="D43" s="18" t="n">
        <v>91279</v>
      </c>
      <c r="E43" s="18" t="n">
        <v>110722</v>
      </c>
      <c r="F43" s="18" t="n">
        <v>126012</v>
      </c>
    </row>
    <row r="44">
      <c r="A44" s="26" t="inlineStr">
        <is>
          <t>EBITDA</t>
        </is>
      </c>
      <c r="B44" s="27" t="n">
        <v>85134</v>
      </c>
      <c r="C44" s="27" t="n">
        <v>100239</v>
      </c>
      <c r="D44" s="27" t="n">
        <v>105140</v>
      </c>
      <c r="E44" s="27" t="n">
        <v>133009</v>
      </c>
      <c r="F44" s="27" t="n">
        <v>160165</v>
      </c>
    </row>
    <row r="45">
      <c r="A45" s="17" t="inlineStr">
        <is>
          <t>Depreciation &amp; Amortisation</t>
        </is>
      </c>
      <c r="B45" s="18" t="n">
        <v>11686</v>
      </c>
      <c r="C45" s="18" t="n">
        <v>14460</v>
      </c>
      <c r="D45" s="18" t="n">
        <v>13861</v>
      </c>
      <c r="E45" s="18" t="n">
        <v>22287</v>
      </c>
      <c r="F45" s="18" t="n">
        <v>34153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2131</v>
      </c>
      <c r="C47" s="18" t="n">
        <v>2094</v>
      </c>
      <c r="D47" s="18" t="n">
        <v>2994</v>
      </c>
      <c r="E47" s="18" t="n">
        <v>3157</v>
      </c>
      <c r="F47" s="18" t="n">
        <v>2647</v>
      </c>
    </row>
    <row r="48">
      <c r="A48" s="17" t="inlineStr">
        <is>
          <t>Interest Expense</t>
        </is>
      </c>
      <c r="B48" s="18" t="n">
        <v>2346</v>
      </c>
      <c r="C48" s="18" t="n">
        <v>2063</v>
      </c>
      <c r="D48" s="18" t="n">
        <v>1968</v>
      </c>
      <c r="E48" s="18" t="n">
        <v>2935</v>
      </c>
      <c r="F48" s="18" t="n">
        <v>2385</v>
      </c>
    </row>
    <row r="49">
      <c r="A49" s="17" t="inlineStr">
        <is>
          <t>Net Interest Income</t>
        </is>
      </c>
      <c r="B49" s="18" t="n">
        <v>-215</v>
      </c>
      <c r="C49" s="18" t="n">
        <v>31</v>
      </c>
      <c r="D49" s="18" t="n">
        <v>1026</v>
      </c>
      <c r="E49" s="18" t="n">
        <v>222</v>
      </c>
      <c r="F49" s="18" t="n">
        <v>262</v>
      </c>
    </row>
    <row r="50">
      <c r="A50" s="17" t="inlineStr">
        <is>
          <t>Non-Operating Income (ex-interest)</t>
        </is>
      </c>
      <c r="B50" s="18" t="n">
        <v>-3532</v>
      </c>
      <c r="C50" s="18" t="n">
        <v>-2396</v>
      </c>
      <c r="D50" s="18" t="n">
        <v>-2756</v>
      </c>
      <c r="E50" s="18" t="n">
        <v>-1289</v>
      </c>
      <c r="F50" s="18" t="n">
        <v>2516</v>
      </c>
    </row>
    <row r="51">
      <c r="A51" s="17" t="inlineStr">
        <is>
          <t>Total Other Income / (Expenses)</t>
        </is>
      </c>
      <c r="B51" s="18" t="n">
        <v>1186</v>
      </c>
      <c r="C51" s="18" t="n">
        <v>333</v>
      </c>
      <c r="D51" s="18" t="n">
        <v>788</v>
      </c>
      <c r="E51" s="18" t="n">
        <v>-1646</v>
      </c>
      <c r="F51" s="18" t="n">
        <v>-4901</v>
      </c>
    </row>
    <row r="52">
      <c r="A52" s="26" t="inlineStr">
        <is>
          <t>EBT / Income Before Tax</t>
        </is>
      </c>
      <c r="B52" s="27" t="n">
        <v>71102</v>
      </c>
      <c r="C52" s="27" t="n">
        <v>83716</v>
      </c>
      <c r="D52" s="27" t="n">
        <v>89311</v>
      </c>
      <c r="E52" s="27" t="n">
        <v>107787</v>
      </c>
      <c r="F52" s="27" t="n">
        <v>123627</v>
      </c>
    </row>
    <row r="53">
      <c r="A53" s="17" t="inlineStr">
        <is>
          <t>Income Tax Expense</t>
        </is>
      </c>
      <c r="B53" s="18" t="n">
        <v>9831</v>
      </c>
      <c r="C53" s="18" t="n">
        <v>10978</v>
      </c>
      <c r="D53" s="18" t="n">
        <v>16950</v>
      </c>
      <c r="E53" s="18" t="n">
        <v>19651</v>
      </c>
      <c r="F53" s="18" t="n">
        <v>21795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61271</v>
      </c>
      <c r="C55" s="18" t="n">
        <v>72738</v>
      </c>
      <c r="D55" s="18" t="n">
        <v>72361</v>
      </c>
      <c r="E55" s="18" t="n">
        <v>88136</v>
      </c>
      <c r="F55" s="18" t="n">
        <v>101832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61271</v>
      </c>
      <c r="C59" s="27" t="n">
        <v>72738</v>
      </c>
      <c r="D59" s="27" t="n">
        <v>72361</v>
      </c>
      <c r="E59" s="27" t="n">
        <v>88136</v>
      </c>
      <c r="F59" s="27" t="n">
        <v>101832</v>
      </c>
    </row>
    <row r="60">
      <c r="A60" s="15" t="inlineStr">
        <is>
          <t>Bottom Line Net Income</t>
        </is>
      </c>
      <c r="B60" s="16" t="n">
        <v>61271</v>
      </c>
      <c r="C60" s="16" t="n">
        <v>72738</v>
      </c>
      <c r="D60" s="16" t="n">
        <v>72361</v>
      </c>
      <c r="E60" s="16" t="n">
        <v>88136</v>
      </c>
      <c r="F60" s="16" t="n">
        <v>101832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8.119999999999999</v>
      </c>
      <c r="C62" s="18" t="n">
        <v>9.699999999999999</v>
      </c>
      <c r="D62" s="18" t="n">
        <v>9.720000000000001</v>
      </c>
      <c r="E62" s="18" t="n">
        <v>11.86</v>
      </c>
      <c r="F62" s="18" t="n">
        <v>13.7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7547</v>
      </c>
      <c r="C64" s="18" t="n">
        <v>7496</v>
      </c>
      <c r="D64" s="18" t="n">
        <v>7446</v>
      </c>
      <c r="E64" s="18" t="n">
        <v>7431</v>
      </c>
      <c r="F64" s="18" t="n">
        <v>7433</v>
      </c>
    </row>
    <row r="65">
      <c r="A65" s="17" t="inlineStr">
        <is>
          <t>Shares Outstanding — Diluted (mm)</t>
        </is>
      </c>
      <c r="B65" s="18" t="n">
        <v>7608</v>
      </c>
      <c r="C65" s="18" t="n">
        <v>7540</v>
      </c>
      <c r="D65" s="18" t="n">
        <v>7472</v>
      </c>
      <c r="E65" s="18" t="n">
        <v>7469</v>
      </c>
      <c r="F65" s="18" t="n">
        <v>7465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14224</v>
      </c>
      <c r="C5" s="18" t="n">
        <v>13931</v>
      </c>
      <c r="D5" s="18" t="n">
        <v>34704</v>
      </c>
      <c r="E5" s="18" t="n">
        <v>18315</v>
      </c>
      <c r="F5" s="18" t="n">
        <v>30242</v>
      </c>
    </row>
    <row r="6">
      <c r="A6" s="17" t="inlineStr">
        <is>
          <t>(2)  Receivables</t>
        </is>
      </c>
      <c r="B6" s="18" t="n">
        <v>38043</v>
      </c>
      <c r="C6" s="18" t="n">
        <v>44261</v>
      </c>
      <c r="D6" s="18" t="n">
        <v>48688</v>
      </c>
      <c r="E6" s="18" t="n">
        <v>56924</v>
      </c>
      <c r="F6" s="18" t="n">
        <v>69905</v>
      </c>
    </row>
    <row r="7">
      <c r="A7" s="17" t="inlineStr">
        <is>
          <t>(3)  Inventory</t>
        </is>
      </c>
      <c r="B7" s="18" t="n">
        <v>2636</v>
      </c>
      <c r="C7" s="18" t="n">
        <v>3742</v>
      </c>
      <c r="D7" s="18" t="n">
        <v>2500</v>
      </c>
      <c r="E7" s="18" t="n">
        <v>1246</v>
      </c>
      <c r="F7" s="18" t="n">
        <v>938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184406</v>
      </c>
      <c r="C9" s="24" t="n">
        <v>169684</v>
      </c>
      <c r="D9" s="24" t="n">
        <v>184257</v>
      </c>
      <c r="E9" s="24" t="n">
        <v>159734</v>
      </c>
      <c r="F9" s="24" t="n">
        <v>191131</v>
      </c>
    </row>
    <row r="10">
      <c r="A10" s="17" t="inlineStr">
        <is>
          <t>(6)  PP&amp;E (Net)</t>
        </is>
      </c>
      <c r="B10" s="18" t="n">
        <v>70803</v>
      </c>
      <c r="C10" s="18" t="n">
        <v>87546</v>
      </c>
      <c r="D10" s="18" t="n">
        <v>109987</v>
      </c>
      <c r="E10" s="18" t="n">
        <v>154552</v>
      </c>
      <c r="F10" s="18" t="n">
        <v>229789</v>
      </c>
    </row>
    <row r="11">
      <c r="A11" s="17" t="inlineStr">
        <is>
          <t>(7)  Goodwill</t>
        </is>
      </c>
      <c r="B11" s="18" t="n">
        <v>49711</v>
      </c>
      <c r="C11" s="18" t="n">
        <v>67524</v>
      </c>
      <c r="D11" s="18" t="n">
        <v>67886</v>
      </c>
      <c r="E11" s="18" t="n">
        <v>119220</v>
      </c>
      <c r="F11" s="18" t="n">
        <v>119509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149373</v>
      </c>
      <c r="C14" s="24" t="n">
        <v>195156</v>
      </c>
      <c r="D14" s="24" t="n">
        <v>227719</v>
      </c>
      <c r="E14" s="24" t="n">
        <v>352429</v>
      </c>
      <c r="F14" s="24" t="n">
        <v>427872</v>
      </c>
    </row>
    <row r="15">
      <c r="A15" s="19" t="inlineStr">
        <is>
          <t>(11) Total Assets</t>
        </is>
      </c>
      <c r="B15" s="24" t="n">
        <v>333779</v>
      </c>
      <c r="C15" s="24" t="n">
        <v>364840</v>
      </c>
      <c r="D15" s="24" t="n">
        <v>411976</v>
      </c>
      <c r="E15" s="24" t="n">
        <v>512163</v>
      </c>
      <c r="F15" s="24" t="n">
        <v>619003</v>
      </c>
    </row>
    <row r="16" ht="6" customHeight="1"/>
    <row r="17">
      <c r="A17" s="17" t="inlineStr">
        <is>
          <t>(12) Accounts Payable</t>
        </is>
      </c>
      <c r="B17" s="18" t="n">
        <v>15163</v>
      </c>
      <c r="C17" s="18" t="n">
        <v>19000</v>
      </c>
      <c r="D17" s="18" t="n">
        <v>18095</v>
      </c>
      <c r="E17" s="18" t="n">
        <v>21996</v>
      </c>
      <c r="F17" s="18" t="n">
        <v>27724</v>
      </c>
    </row>
    <row r="18">
      <c r="A18" s="17" t="inlineStr">
        <is>
          <t>(13) Short-Term Borrowings</t>
        </is>
      </c>
      <c r="B18" s="18" t="n">
        <v>8072</v>
      </c>
      <c r="C18" s="18" t="n">
        <v>2749</v>
      </c>
      <c r="D18" s="18" t="n">
        <v>5247</v>
      </c>
      <c r="E18" s="18" t="n">
        <v>8942</v>
      </c>
      <c r="F18" s="18" t="n">
        <v>2999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88657</v>
      </c>
      <c r="C21" s="24" t="n">
        <v>95082</v>
      </c>
      <c r="D21" s="24" t="n">
        <v>104149</v>
      </c>
      <c r="E21" s="24" t="n">
        <v>125286</v>
      </c>
      <c r="F21" s="24" t="n">
        <v>141218</v>
      </c>
    </row>
    <row r="22">
      <c r="A22" s="17" t="inlineStr">
        <is>
          <t>(17) Long-Term Debt</t>
        </is>
      </c>
      <c r="B22" s="18" t="n">
        <v>50074</v>
      </c>
      <c r="C22" s="18" t="n">
        <v>47032</v>
      </c>
      <c r="D22" s="18" t="n">
        <v>41990</v>
      </c>
      <c r="E22" s="18" t="n">
        <v>42688</v>
      </c>
      <c r="F22" s="18" t="n">
        <v>40152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191791</v>
      </c>
      <c r="C25" s="24" t="n">
        <v>198298</v>
      </c>
      <c r="D25" s="24" t="n">
        <v>205753</v>
      </c>
      <c r="E25" s="24" t="n">
        <v>243686</v>
      </c>
      <c r="F25" s="24" t="n">
        <v>275524</v>
      </c>
    </row>
    <row r="26" ht="6" customHeight="1"/>
    <row r="27">
      <c r="A27" s="17" t="inlineStr">
        <is>
          <t>(21) Common Stock &amp; APIC</t>
        </is>
      </c>
      <c r="B27" s="18" t="n">
        <v>83111</v>
      </c>
      <c r="C27" s="18" t="n">
        <v>86939</v>
      </c>
      <c r="D27" s="18" t="n">
        <v>93718</v>
      </c>
      <c r="E27" s="18" t="n">
        <v>100923</v>
      </c>
      <c r="F27" s="18" t="n">
        <v>109095</v>
      </c>
    </row>
    <row r="28">
      <c r="A28" s="17" t="inlineStr">
        <is>
          <t>(22) Retained Earnings</t>
        </is>
      </c>
      <c r="B28" s="18" t="n">
        <v>57055</v>
      </c>
      <c r="C28" s="18" t="n">
        <v>84281</v>
      </c>
      <c r="D28" s="18" t="n">
        <v>118848</v>
      </c>
      <c r="E28" s="18" t="n">
        <v>173144</v>
      </c>
      <c r="F28" s="18" t="n">
        <v>237731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141988</v>
      </c>
      <c r="C30" s="24" t="n">
        <v>166542</v>
      </c>
      <c r="D30" s="24" t="n">
        <v>206223</v>
      </c>
      <c r="E30" s="24" t="n">
        <v>268477</v>
      </c>
      <c r="F30" s="24" t="n">
        <v>343479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14224</v>
      </c>
      <c r="C36" s="18" t="n">
        <v>13931</v>
      </c>
      <c r="D36" s="18" t="n">
        <v>34704</v>
      </c>
      <c r="E36" s="18" t="n">
        <v>18315</v>
      </c>
      <c r="F36" s="18" t="n">
        <v>30242</v>
      </c>
    </row>
    <row r="37">
      <c r="A37" s="17" t="inlineStr">
        <is>
          <t>Short-Term Investments</t>
        </is>
      </c>
      <c r="B37" s="18" t="n">
        <v>116032</v>
      </c>
      <c r="C37" s="18" t="n">
        <v>90818</v>
      </c>
      <c r="D37" s="18" t="n">
        <v>76552</v>
      </c>
      <c r="E37" s="18" t="n">
        <v>57216</v>
      </c>
      <c r="F37" s="18" t="n">
        <v>64313</v>
      </c>
    </row>
    <row r="38">
      <c r="A38" s="28" t="inlineStr">
        <is>
          <t>Cash &amp; Short-Term Investments</t>
        </is>
      </c>
      <c r="B38" s="29" t="n">
        <v>130256</v>
      </c>
      <c r="C38" s="29" t="n">
        <v>104749</v>
      </c>
      <c r="D38" s="29" t="n">
        <v>111256</v>
      </c>
      <c r="E38" s="29" t="n">
        <v>75531</v>
      </c>
      <c r="F38" s="29" t="n">
        <v>94555</v>
      </c>
    </row>
    <row r="39">
      <c r="A39" s="17" t="inlineStr">
        <is>
          <t>Accounts Receivable (Trade)</t>
        </is>
      </c>
      <c r="B39" s="18" t="n">
        <v>38043</v>
      </c>
      <c r="C39" s="18" t="n">
        <v>44261</v>
      </c>
      <c r="D39" s="18" t="n">
        <v>48688</v>
      </c>
      <c r="E39" s="18" t="n">
        <v>56924</v>
      </c>
      <c r="F39" s="18" t="n">
        <v>69905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38043</v>
      </c>
      <c r="C41" s="29" t="n">
        <v>44261</v>
      </c>
      <c r="D41" s="29" t="n">
        <v>48688</v>
      </c>
      <c r="E41" s="29" t="n">
        <v>56924</v>
      </c>
      <c r="F41" s="29" t="n">
        <v>69905</v>
      </c>
    </row>
    <row r="42">
      <c r="A42" s="17" t="inlineStr">
        <is>
          <t>Inventory</t>
        </is>
      </c>
      <c r="B42" s="18" t="n">
        <v>2636</v>
      </c>
      <c r="C42" s="18" t="n">
        <v>3742</v>
      </c>
      <c r="D42" s="18" t="n">
        <v>2500</v>
      </c>
      <c r="E42" s="18" t="n">
        <v>1246</v>
      </c>
      <c r="F42" s="18" t="n">
        <v>938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13471</v>
      </c>
      <c r="C44" s="18" t="n">
        <v>16932</v>
      </c>
      <c r="D44" s="18" t="n">
        <v>21813</v>
      </c>
      <c r="E44" s="18" t="n">
        <v>26033</v>
      </c>
      <c r="F44" s="18" t="n">
        <v>25733</v>
      </c>
    </row>
    <row r="45">
      <c r="A45" s="26" t="inlineStr">
        <is>
          <t>Total Current Assets</t>
        </is>
      </c>
      <c r="B45" s="27" t="n">
        <v>184406</v>
      </c>
      <c r="C45" s="27" t="n">
        <v>169684</v>
      </c>
      <c r="D45" s="27" t="n">
        <v>184257</v>
      </c>
      <c r="E45" s="27" t="n">
        <v>159734</v>
      </c>
      <c r="F45" s="27" t="n">
        <v>191131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70803</v>
      </c>
      <c r="C47" s="18" t="n">
        <v>87546</v>
      </c>
      <c r="D47" s="18" t="n">
        <v>109987</v>
      </c>
      <c r="E47" s="18" t="n">
        <v>154552</v>
      </c>
      <c r="F47" s="18" t="n">
        <v>229789</v>
      </c>
    </row>
    <row r="48">
      <c r="A48" s="17" t="inlineStr">
        <is>
          <t>Goodwill</t>
        </is>
      </c>
      <c r="B48" s="18" t="n">
        <v>49711</v>
      </c>
      <c r="C48" s="18" t="n">
        <v>67524</v>
      </c>
      <c r="D48" s="18" t="n">
        <v>67886</v>
      </c>
      <c r="E48" s="18" t="n">
        <v>119220</v>
      </c>
      <c r="F48" s="18" t="n">
        <v>119509</v>
      </c>
    </row>
    <row r="49">
      <c r="A49" s="17" t="inlineStr">
        <is>
          <t>Intangible Assets</t>
        </is>
      </c>
      <c r="B49" s="18" t="n">
        <v>7800</v>
      </c>
      <c r="C49" s="18" t="n">
        <v>11298</v>
      </c>
      <c r="D49" s="18" t="n">
        <v>9366</v>
      </c>
      <c r="E49" s="18" t="n">
        <v>27597</v>
      </c>
      <c r="F49" s="18" t="n">
        <v>22604</v>
      </c>
    </row>
    <row r="50">
      <c r="A50" s="17" t="inlineStr">
        <is>
          <t>Long-Term Investments</t>
        </is>
      </c>
      <c r="B50" s="18" t="n">
        <v>5984</v>
      </c>
      <c r="C50" s="18" t="n">
        <v>6891</v>
      </c>
      <c r="D50" s="18" t="n">
        <v>9879</v>
      </c>
      <c r="E50" s="18" t="n">
        <v>14600</v>
      </c>
      <c r="F50" s="18" t="n">
        <v>15133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122016</v>
      </c>
      <c r="C52" s="18" t="n">
        <v>97709</v>
      </c>
      <c r="D52" s="18" t="n">
        <v>86431</v>
      </c>
      <c r="E52" s="18" t="n">
        <v>71816</v>
      </c>
      <c r="F52" s="18" t="n">
        <v>79446</v>
      </c>
    </row>
    <row r="53">
      <c r="A53" s="17" t="inlineStr">
        <is>
          <t>Other Non-Current Assets</t>
        </is>
      </c>
      <c r="B53" s="18" t="n">
        <v>15075</v>
      </c>
      <c r="C53" s="18" t="n">
        <v>21897</v>
      </c>
      <c r="D53" s="18" t="n">
        <v>30601</v>
      </c>
      <c r="E53" s="18" t="n">
        <v>36460</v>
      </c>
      <c r="F53" s="18" t="n">
        <v>40837</v>
      </c>
    </row>
    <row r="54">
      <c r="A54" s="26" t="inlineStr">
        <is>
          <t>Total Non-Current Assets</t>
        </is>
      </c>
      <c r="B54" s="27" t="n">
        <v>149373</v>
      </c>
      <c r="C54" s="27" t="n">
        <v>195156</v>
      </c>
      <c r="D54" s="27" t="n">
        <v>227719</v>
      </c>
      <c r="E54" s="27" t="n">
        <v>352429</v>
      </c>
      <c r="F54" s="27" t="n">
        <v>427872</v>
      </c>
    </row>
    <row r="55">
      <c r="A55" s="13" t="inlineStr">
        <is>
          <t>TOTAL ASSETS</t>
        </is>
      </c>
      <c r="B55" s="30" t="n">
        <v>333779</v>
      </c>
      <c r="C55" s="30" t="n">
        <v>364840</v>
      </c>
      <c r="D55" s="30" t="n">
        <v>411976</v>
      </c>
      <c r="E55" s="30" t="n">
        <v>512163</v>
      </c>
      <c r="F55" s="30" t="n">
        <v>619003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15163</v>
      </c>
      <c r="C57" s="18" t="n">
        <v>19000</v>
      </c>
      <c r="D57" s="18" t="n">
        <v>18095</v>
      </c>
      <c r="E57" s="18" t="n">
        <v>21996</v>
      </c>
      <c r="F57" s="18" t="n">
        <v>27724</v>
      </c>
    </row>
    <row r="58">
      <c r="A58" s="17" t="inlineStr">
        <is>
          <t>Short-Term Debt</t>
        </is>
      </c>
      <c r="B58" s="18" t="n">
        <v>8072</v>
      </c>
      <c r="C58" s="18" t="n">
        <v>2749</v>
      </c>
      <c r="D58" s="18" t="n">
        <v>5247</v>
      </c>
      <c r="E58" s="18" t="n">
        <v>8942</v>
      </c>
      <c r="F58" s="18" t="n">
        <v>2999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41525</v>
      </c>
      <c r="C60" s="18" t="n">
        <v>45538</v>
      </c>
      <c r="D60" s="18" t="n">
        <v>50901</v>
      </c>
      <c r="E60" s="18" t="n">
        <v>57582</v>
      </c>
      <c r="F60" s="18" t="n">
        <v>64555</v>
      </c>
    </row>
    <row r="61">
      <c r="A61" s="17" t="inlineStr">
        <is>
          <t>Accrued &amp; Other Current Liabilities</t>
        </is>
      </c>
      <c r="B61" s="18" t="n">
        <v>18970</v>
      </c>
      <c r="C61" s="18" t="n">
        <v>20440</v>
      </c>
      <c r="D61" s="18" t="n">
        <v>22148</v>
      </c>
      <c r="E61" s="18" t="n">
        <v>25820</v>
      </c>
      <c r="F61" s="18" t="n">
        <v>30133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88657</v>
      </c>
      <c r="C63" s="27" t="n">
        <v>95082</v>
      </c>
      <c r="D63" s="27" t="n">
        <v>104149</v>
      </c>
      <c r="E63" s="27" t="n">
        <v>125286</v>
      </c>
      <c r="F63" s="27" t="n">
        <v>141218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50074</v>
      </c>
      <c r="C65" s="18" t="n">
        <v>47032</v>
      </c>
      <c r="D65" s="18" t="n">
        <v>41990</v>
      </c>
      <c r="E65" s="18" t="n">
        <v>42688</v>
      </c>
      <c r="F65" s="18" t="n">
        <v>40152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2616</v>
      </c>
      <c r="C67" s="18" t="n">
        <v>2870</v>
      </c>
      <c r="D67" s="18" t="n">
        <v>2912</v>
      </c>
      <c r="E67" s="18" t="n">
        <v>2602</v>
      </c>
      <c r="F67" s="18" t="n">
        <v>2710</v>
      </c>
    </row>
    <row r="68">
      <c r="A68" s="17" t="inlineStr">
        <is>
          <t>Deferred Tax Liabilities</t>
        </is>
      </c>
      <c r="B68" s="18" t="n">
        <v>198</v>
      </c>
      <c r="C68" s="18" t="n">
        <v>230</v>
      </c>
      <c r="D68" s="18" t="n">
        <v>433</v>
      </c>
      <c r="E68" s="18" t="n">
        <v>2618</v>
      </c>
      <c r="F68" s="18" t="n">
        <v>2835</v>
      </c>
    </row>
    <row r="69">
      <c r="A69" s="17" t="inlineStr">
        <is>
          <t>Other Non-Current Liabilities</t>
        </is>
      </c>
      <c r="B69" s="18" t="n">
        <v>28867</v>
      </c>
      <c r="C69" s="18" t="n">
        <v>27753</v>
      </c>
      <c r="D69" s="18" t="n">
        <v>27671</v>
      </c>
      <c r="E69" s="18" t="n">
        <v>30199</v>
      </c>
      <c r="F69" s="18" t="n">
        <v>28172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191791</v>
      </c>
      <c r="C71" s="30" t="n">
        <v>198298</v>
      </c>
      <c r="D71" s="30" t="n">
        <v>205753</v>
      </c>
      <c r="E71" s="30" t="n">
        <v>243686</v>
      </c>
      <c r="F71" s="30" t="n">
        <v>275524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83111</v>
      </c>
      <c r="C73" s="18" t="n">
        <v>86939</v>
      </c>
      <c r="D73" s="18" t="n">
        <v>93718</v>
      </c>
      <c r="E73" s="18" t="n">
        <v>100923</v>
      </c>
      <c r="F73" s="18" t="n">
        <v>109095</v>
      </c>
    </row>
    <row r="74">
      <c r="A74" s="17" t="inlineStr">
        <is>
          <t>Retained Earnings</t>
        </is>
      </c>
      <c r="B74" s="18" t="n">
        <v>57055</v>
      </c>
      <c r="C74" s="18" t="n">
        <v>84281</v>
      </c>
      <c r="D74" s="18" t="n">
        <v>118848</v>
      </c>
      <c r="E74" s="18" t="n">
        <v>173144</v>
      </c>
      <c r="F74" s="18" t="n">
        <v>237731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141988</v>
      </c>
      <c r="C78" s="27" t="n">
        <v>166542</v>
      </c>
      <c r="D78" s="27" t="n">
        <v>206223</v>
      </c>
      <c r="E78" s="27" t="n">
        <v>268477</v>
      </c>
      <c r="F78" s="27" t="n">
        <v>343479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76740</v>
      </c>
      <c r="C5" s="24" t="n">
        <v>89035</v>
      </c>
      <c r="D5" s="24" t="n">
        <v>87582</v>
      </c>
      <c r="E5" s="24" t="n">
        <v>118548</v>
      </c>
      <c r="F5" s="24" t="n">
        <v>136162</v>
      </c>
    </row>
    <row r="6">
      <c r="A6" s="17" t="inlineStr">
        <is>
          <t>(2)  Capital Expenditures</t>
        </is>
      </c>
      <c r="B6" s="18" t="n">
        <v>-20622</v>
      </c>
      <c r="C6" s="18" t="n">
        <v>-23886</v>
      </c>
      <c r="D6" s="18" t="n">
        <v>-28107</v>
      </c>
      <c r="E6" s="18" t="n">
        <v>-44477</v>
      </c>
      <c r="F6" s="18" t="n">
        <v>-64551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-3750</v>
      </c>
      <c r="C9" s="18" t="n">
        <v>-9023</v>
      </c>
      <c r="D9" s="18" t="n">
        <v>-2750</v>
      </c>
      <c r="E9" s="18" t="n">
        <v>575</v>
      </c>
      <c r="F9" s="18" t="n">
        <v>-8962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1693</v>
      </c>
      <c r="C11" s="18" t="n">
        <v>1841</v>
      </c>
      <c r="D11" s="18" t="n">
        <v>1866</v>
      </c>
      <c r="E11" s="18" t="n">
        <v>2002</v>
      </c>
      <c r="F11" s="18" t="n">
        <v>2056</v>
      </c>
    </row>
    <row r="12">
      <c r="A12" s="17" t="inlineStr">
        <is>
          <t>(7)  Dividends Paid</t>
        </is>
      </c>
      <c r="B12" s="18" t="n">
        <v>-16521</v>
      </c>
      <c r="C12" s="18" t="n">
        <v>-18135</v>
      </c>
      <c r="D12" s="18" t="n">
        <v>-19800</v>
      </c>
      <c r="E12" s="18" t="n">
        <v>-21771</v>
      </c>
      <c r="F12" s="18" t="n">
        <v>-24082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56118</v>
      </c>
      <c r="C15" s="24" t="n">
        <v>65149</v>
      </c>
      <c r="D15" s="24" t="n">
        <v>59475</v>
      </c>
      <c r="E15" s="24" t="n">
        <v>74071</v>
      </c>
      <c r="F15" s="24" t="n">
        <v>71611</v>
      </c>
    </row>
    <row r="16">
      <c r="A16" s="15" t="inlineStr">
        <is>
          <t xml:space="preserve">     Net Change in Cash</t>
        </is>
      </c>
      <c r="B16" s="16" t="n">
        <v>648</v>
      </c>
      <c r="C16" s="16" t="n">
        <v>-293</v>
      </c>
      <c r="D16" s="16" t="n">
        <v>20773</v>
      </c>
      <c r="E16" s="16" t="n">
        <v>-16389</v>
      </c>
      <c r="F16" s="16" t="n">
        <v>11927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61271</v>
      </c>
      <c r="C21" s="18" t="n">
        <v>72738</v>
      </c>
      <c r="D21" s="18" t="n">
        <v>72361</v>
      </c>
      <c r="E21" s="18" t="n">
        <v>88136</v>
      </c>
      <c r="F21" s="18" t="n">
        <v>101832</v>
      </c>
    </row>
    <row r="22">
      <c r="A22" s="17" t="inlineStr">
        <is>
          <t>Depreciation &amp; Amortisation</t>
        </is>
      </c>
      <c r="B22" s="18" t="n">
        <v>11686</v>
      </c>
      <c r="C22" s="18" t="n">
        <v>14460</v>
      </c>
      <c r="D22" s="18" t="n">
        <v>13861</v>
      </c>
      <c r="E22" s="18" t="n">
        <v>22287</v>
      </c>
      <c r="F22" s="18" t="n">
        <v>34153</v>
      </c>
    </row>
    <row r="23">
      <c r="A23" s="17" t="inlineStr">
        <is>
          <t>Deferred Income Tax</t>
        </is>
      </c>
      <c r="B23" s="18" t="n">
        <v>-150</v>
      </c>
      <c r="C23" s="18" t="n">
        <v>-5702</v>
      </c>
      <c r="D23" s="18" t="n">
        <v>-6059</v>
      </c>
      <c r="E23" s="18" t="n">
        <v>-4738</v>
      </c>
      <c r="F23" s="18" t="n">
        <v>-7056</v>
      </c>
    </row>
    <row r="24">
      <c r="A24" s="17" t="inlineStr">
        <is>
          <t>Stock-Based Compensation</t>
        </is>
      </c>
      <c r="B24" s="18" t="n">
        <v>6118</v>
      </c>
      <c r="C24" s="18" t="n">
        <v>7502</v>
      </c>
      <c r="D24" s="18" t="n">
        <v>9611</v>
      </c>
      <c r="E24" s="18" t="n">
        <v>10734</v>
      </c>
      <c r="F24" s="18" t="n">
        <v>11974</v>
      </c>
    </row>
    <row r="25">
      <c r="A25" s="17" t="inlineStr">
        <is>
          <t>Change in Working Capital</t>
        </is>
      </c>
      <c r="B25" s="18" t="n">
        <v>-936</v>
      </c>
      <c r="C25" s="18" t="n">
        <v>446</v>
      </c>
      <c r="D25" s="18" t="n">
        <v>-2388</v>
      </c>
      <c r="E25" s="18" t="n">
        <v>1824</v>
      </c>
      <c r="F25" s="18" t="n">
        <v>-5350</v>
      </c>
    </row>
    <row r="26">
      <c r="A26" s="21" t="inlineStr">
        <is>
          <t xml:space="preserve">  — Accounts Receivable</t>
        </is>
      </c>
      <c r="B26" s="18" t="n">
        <v>-6481</v>
      </c>
      <c r="C26" s="18" t="n">
        <v>-6834</v>
      </c>
      <c r="D26" s="18" t="n">
        <v>-4087</v>
      </c>
      <c r="E26" s="18" t="n">
        <v>-7191</v>
      </c>
      <c r="F26" s="18" t="n">
        <v>-10581</v>
      </c>
    </row>
    <row r="27">
      <c r="A27" s="21" t="inlineStr">
        <is>
          <t xml:space="preserve">  — Inventory</t>
        </is>
      </c>
      <c r="B27" s="18" t="n">
        <v>-737</v>
      </c>
      <c r="C27" s="18" t="n">
        <v>-1123</v>
      </c>
      <c r="D27" s="18" t="n">
        <v>1242</v>
      </c>
      <c r="E27" s="18" t="n">
        <v>1284</v>
      </c>
      <c r="F27" s="18" t="n">
        <v>309</v>
      </c>
    </row>
    <row r="28">
      <c r="A28" s="21" t="inlineStr">
        <is>
          <t xml:space="preserve">  — Accounts Payable</t>
        </is>
      </c>
      <c r="B28" s="18" t="n">
        <v>2798</v>
      </c>
      <c r="C28" s="18" t="n">
        <v>2943</v>
      </c>
      <c r="D28" s="18" t="n">
        <v>-2721</v>
      </c>
      <c r="E28" s="18" t="n">
        <v>3545</v>
      </c>
      <c r="F28" s="18" t="n">
        <v>569</v>
      </c>
    </row>
    <row r="29">
      <c r="A29" s="21" t="inlineStr">
        <is>
          <t xml:space="preserve">  — Other Working Capital</t>
        </is>
      </c>
      <c r="B29" s="18" t="n">
        <v>3484</v>
      </c>
      <c r="C29" s="18" t="n">
        <v>5460</v>
      </c>
      <c r="D29" s="18" t="n">
        <v>3178</v>
      </c>
      <c r="E29" s="18" t="n">
        <v>4186</v>
      </c>
      <c r="F29" s="18" t="n">
        <v>4353</v>
      </c>
    </row>
    <row r="30">
      <c r="A30" s="17" t="inlineStr">
        <is>
          <t>Other Non-Cash Items</t>
        </is>
      </c>
      <c r="B30" s="18" t="n">
        <v>-1249</v>
      </c>
      <c r="C30" s="18" t="n">
        <v>-409</v>
      </c>
      <c r="D30" s="18" t="n">
        <v>196</v>
      </c>
      <c r="E30" s="18" t="n">
        <v>305</v>
      </c>
      <c r="F30" s="18" t="n">
        <v>609</v>
      </c>
    </row>
    <row r="31">
      <c r="A31" s="26" t="inlineStr">
        <is>
          <t>Net Cash from Operations (CFO)</t>
        </is>
      </c>
      <c r="B31" s="27" t="n">
        <v>76740</v>
      </c>
      <c r="C31" s="27" t="n">
        <v>89035</v>
      </c>
      <c r="D31" s="27" t="n">
        <v>87582</v>
      </c>
      <c r="E31" s="27" t="n">
        <v>118548</v>
      </c>
      <c r="F31" s="27" t="n">
        <v>136162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-20622</v>
      </c>
      <c r="C33" s="18" t="n">
        <v>-23886</v>
      </c>
      <c r="D33" s="18" t="n">
        <v>-28107</v>
      </c>
      <c r="E33" s="18" t="n">
        <v>-44477</v>
      </c>
      <c r="F33" s="18" t="n">
        <v>-64551</v>
      </c>
    </row>
    <row r="34">
      <c r="A34" s="21" t="inlineStr">
        <is>
          <t xml:space="preserve">  (Alt: Invest. in PP&amp;E)</t>
        </is>
      </c>
      <c r="B34" s="18" t="n">
        <v>-20622</v>
      </c>
      <c r="C34" s="18" t="n">
        <v>-23886</v>
      </c>
      <c r="D34" s="18" t="n">
        <v>-28107</v>
      </c>
      <c r="E34" s="18" t="n">
        <v>-44477</v>
      </c>
      <c r="F34" s="18" t="n">
        <v>-64551</v>
      </c>
    </row>
    <row r="35">
      <c r="A35" s="17" t="inlineStr">
        <is>
          <t>Acquisitions (Net)</t>
        </is>
      </c>
      <c r="B35" s="18" t="n">
        <v>-8909</v>
      </c>
      <c r="C35" s="18" t="n">
        <v>-22038</v>
      </c>
      <c r="D35" s="18" t="n">
        <v>-1670</v>
      </c>
      <c r="E35" s="18" t="n">
        <v>-69132</v>
      </c>
      <c r="F35" s="18" t="n">
        <v>-5978</v>
      </c>
    </row>
    <row r="36">
      <c r="A36" s="17" t="inlineStr">
        <is>
          <t>Purchases of Investments</t>
        </is>
      </c>
      <c r="B36" s="18" t="n">
        <v>-62924</v>
      </c>
      <c r="C36" s="18" t="n">
        <v>-26456</v>
      </c>
      <c r="D36" s="18" t="n">
        <v>-37651</v>
      </c>
      <c r="E36" s="18" t="n">
        <v>-17732</v>
      </c>
      <c r="F36" s="18" t="n">
        <v>-29775</v>
      </c>
    </row>
    <row r="37">
      <c r="A37" s="17" t="inlineStr">
        <is>
          <t>Sales / Maturities of Investments</t>
        </is>
      </c>
      <c r="B37" s="18" t="n">
        <v>65800</v>
      </c>
      <c r="C37" s="18" t="n">
        <v>44894</v>
      </c>
      <c r="D37" s="18" t="n">
        <v>47864</v>
      </c>
      <c r="E37" s="18" t="n">
        <v>35669</v>
      </c>
      <c r="F37" s="18" t="n">
        <v>25388</v>
      </c>
    </row>
    <row r="38">
      <c r="A38" s="17" t="inlineStr">
        <is>
          <t>Other Investing Activities</t>
        </is>
      </c>
      <c r="B38" s="18" t="n">
        <v>-922</v>
      </c>
      <c r="C38" s="18" t="n">
        <v>-2825</v>
      </c>
      <c r="D38" s="18" t="n">
        <v>-3116</v>
      </c>
      <c r="E38" s="18" t="n">
        <v>-1298</v>
      </c>
      <c r="F38" s="18" t="n">
        <v>2317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-3750</v>
      </c>
      <c r="C41" s="18" t="n">
        <v>-9023</v>
      </c>
      <c r="D41" s="18" t="n">
        <v>-2750</v>
      </c>
      <c r="E41" s="18" t="n">
        <v>575</v>
      </c>
      <c r="F41" s="18" t="n">
        <v>-8962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1693</v>
      </c>
      <c r="C43" s="18" t="n">
        <v>1841</v>
      </c>
      <c r="D43" s="18" t="n">
        <v>1866</v>
      </c>
      <c r="E43" s="18" t="n">
        <v>2002</v>
      </c>
      <c r="F43" s="18" t="n">
        <v>2056</v>
      </c>
    </row>
    <row r="44">
      <c r="A44" s="17" t="inlineStr">
        <is>
          <t>Common Stock Repurchased (Buybacks)</t>
        </is>
      </c>
      <c r="B44" s="18" t="n">
        <v>-27385</v>
      </c>
      <c r="C44" s="18" t="n">
        <v>-32696</v>
      </c>
      <c r="D44" s="18" t="n">
        <v>-22245</v>
      </c>
      <c r="E44" s="18" t="n">
        <v>-17254</v>
      </c>
      <c r="F44" s="18" t="n">
        <v>-18420</v>
      </c>
    </row>
    <row r="45">
      <c r="A45" s="17" t="inlineStr">
        <is>
          <t>Dividends Paid</t>
        </is>
      </c>
      <c r="B45" s="18" t="n">
        <v>-16521</v>
      </c>
      <c r="C45" s="18" t="n">
        <v>-18135</v>
      </c>
      <c r="D45" s="18" t="n">
        <v>-19800</v>
      </c>
      <c r="E45" s="18" t="n">
        <v>-21771</v>
      </c>
      <c r="F45" s="18" t="n">
        <v>-24082</v>
      </c>
    </row>
    <row r="46">
      <c r="A46" s="17" t="inlineStr">
        <is>
          <t>Other Financing Activities</t>
        </is>
      </c>
      <c r="B46" s="18" t="n">
        <v>-2523</v>
      </c>
      <c r="C46" s="18" t="n">
        <v>-863</v>
      </c>
      <c r="D46" s="18" t="n">
        <v>-1006</v>
      </c>
      <c r="E46" s="18" t="n">
        <v>-1309</v>
      </c>
      <c r="F46" s="18" t="n">
        <v>-2291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-29</v>
      </c>
      <c r="C49" s="18" t="n">
        <v>-141</v>
      </c>
      <c r="D49" s="18" t="n">
        <v>-194</v>
      </c>
      <c r="E49" s="18" t="n">
        <v>-210</v>
      </c>
      <c r="F49" s="18" t="n">
        <v>63</v>
      </c>
    </row>
    <row r="50">
      <c r="A50" s="15" t="inlineStr">
        <is>
          <t>Net Change in Cash</t>
        </is>
      </c>
      <c r="B50" s="16" t="n">
        <v>648</v>
      </c>
      <c r="C50" s="16" t="n">
        <v>-293</v>
      </c>
      <c r="D50" s="16" t="n">
        <v>20773</v>
      </c>
      <c r="E50" s="16" t="n">
        <v>-16389</v>
      </c>
      <c r="F50" s="16" t="n">
        <v>11927</v>
      </c>
    </row>
    <row r="51">
      <c r="A51" s="17" t="inlineStr">
        <is>
          <t>Cash at Beginning of Period</t>
        </is>
      </c>
      <c r="B51" s="18" t="n">
        <v>13576</v>
      </c>
      <c r="C51" s="18" t="n">
        <v>14224</v>
      </c>
      <c r="D51" s="18" t="n">
        <v>13931</v>
      </c>
      <c r="E51" s="18" t="n">
        <v>34704</v>
      </c>
      <c r="F51" s="18" t="n">
        <v>18315</v>
      </c>
    </row>
    <row r="52">
      <c r="A52" s="26" t="inlineStr">
        <is>
          <t>Cash at End of Period</t>
        </is>
      </c>
      <c r="B52" s="27" t="n">
        <v>14224</v>
      </c>
      <c r="C52" s="27" t="n">
        <v>13931</v>
      </c>
      <c r="D52" s="27" t="n">
        <v>34704</v>
      </c>
      <c r="E52" s="27" t="n">
        <v>18315</v>
      </c>
      <c r="F52" s="27" t="n">
        <v>30242</v>
      </c>
    </row>
    <row r="53">
      <c r="A53" s="26" t="inlineStr">
        <is>
          <t>Free Cash Flow</t>
        </is>
      </c>
      <c r="B53" s="27" t="n">
        <v>56118</v>
      </c>
      <c r="C53" s="27" t="n">
        <v>65149</v>
      </c>
      <c r="D53" s="27" t="n">
        <v>59475</v>
      </c>
      <c r="E53" s="27" t="n">
        <v>74071</v>
      </c>
      <c r="F53" s="27" t="n">
        <v>71611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7608</v>
      </c>
      <c r="C61" s="18" t="n">
        <v>7540</v>
      </c>
      <c r="D61" s="18" t="n">
        <v>7472</v>
      </c>
      <c r="E61" s="18" t="n">
        <v>7469</v>
      </c>
      <c r="F61" s="18" t="n">
        <v>7465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7827</v>
      </c>
      <c r="C5" s="18" t="n">
        <v>4706</v>
      </c>
      <c r="D5" s="18" t="n">
        <v>5521</v>
      </c>
      <c r="E5" s="18" t="n">
        <v>6991</v>
      </c>
      <c r="F5" s="18" t="n">
        <v>6791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MSFT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3089558.3213</v>
      </c>
      <c r="C5" s="44" t="inlineStr">
        <is>
          <t>FMP marketCap  |  price $415.91</t>
        </is>
      </c>
    </row>
    <row r="6">
      <c r="A6" s="17" t="inlineStr">
        <is>
          <t>Debt  (gross book value, $mm)</t>
        </is>
      </c>
      <c r="B6" s="43" t="n">
        <v>43151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1.093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1.062</v>
      </c>
      <c r="C17" s="44" t="inlineStr">
        <is>
          <t>Mean-reversion toward market beta of 1.0</t>
        </is>
      </c>
    </row>
    <row r="18">
      <c r="A18" s="17" t="inlineStr">
        <is>
          <t>Damodaran industry unlevered  (Software - Infrastructure)</t>
        </is>
      </c>
      <c r="B18" s="50" t="n">
        <v>1.08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17.6%)</t>
        </is>
      </c>
      <c r="B19" s="50" t="n">
        <v>1.092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1.417</v>
      </c>
      <c r="C20" s="44" t="inlineStr">
        <is>
          <t xml:space="preserve">CRM: 1.139  |  ORCL: 1.544  |  ADBE: 1.417  |  NOW: </t>
        </is>
      </c>
    </row>
    <row r="21">
      <c r="A21" s="47" t="inlineStr">
        <is>
          <t>► Selected beta  (user override)</t>
        </is>
      </c>
      <c r="B21" s="51" t="n">
        <v>1.166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AAA</t>
        </is>
      </c>
      <c r="C32" s="44" t="inlineStr">
        <is>
          <t>User input</t>
        </is>
      </c>
    </row>
    <row r="33">
      <c r="A33" s="17" t="inlineStr">
        <is>
          <t>FRED matched yield  (rating-tier index)</t>
        </is>
      </c>
      <c r="B33" s="46" t="n">
        <v>0.0507</v>
      </c>
      <c r="C33" s="44" t="inlineStr">
        <is>
          <t>FRED BAMLC0A1CAAAEY — AAA</t>
        </is>
      </c>
    </row>
    <row r="34">
      <c r="A34" s="17" t="inlineStr">
        <is>
          <t>Interest Coverage Ratio  (EBIT / Gross Int Exp)</t>
        </is>
      </c>
      <c r="B34" s="50" t="n">
        <v>53.9</v>
      </c>
      <c r="C34" s="44" t="inlineStr">
        <is>
          <t>EBIT $128528mm  /  Int Exp $2385mm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53.9x  →  AAA</t>
        </is>
      </c>
    </row>
    <row r="36">
      <c r="A36" s="17" t="inlineStr">
        <is>
          <t>Synthetic Rd  (Rf + Damodaran default spread)</t>
        </is>
      </c>
      <c r="B36" s="46" t="n">
        <v>0.05110000000000001</v>
      </c>
      <c r="C36" s="44" t="inlineStr">
        <is>
          <t>Rf 4.57% + spread 0.54%</t>
        </is>
      </c>
    </row>
    <row r="37">
      <c r="A37" s="17" t="inlineStr">
        <is>
          <t>Accounting Rd  (Gross int exp / Avg gross debt)</t>
        </is>
      </c>
      <c r="B37" s="46" t="n">
        <v>0.05032654223947838</v>
      </c>
      <c r="C37" s="44" t="inlineStr">
        <is>
          <t>Cross-check only — backward-looking</t>
        </is>
      </c>
    </row>
    <row r="38">
      <c r="A38" s="17" t="inlineStr">
        <is>
          <t xml:space="preserve">  Note: net interest INCOME of $262mm  (int inc $2647mm &gt; int exp $2385mm)</t>
        </is>
      </c>
      <c r="B38" s="53" t="n"/>
      <c r="C38" s="44" t="inlineStr">
        <is>
          <t>Gross Rd is the correct basis here — net figure is distorted</t>
        </is>
      </c>
    </row>
    <row r="39">
      <c r="A39" s="47" t="inlineStr">
        <is>
          <t>► Selected pre-tax Rd  (user override)</t>
        </is>
      </c>
      <c r="B39" s="48" t="n">
        <v>0.0507</v>
      </c>
      <c r="C39" s="49" t="inlineStr">
        <is>
          <t>Default = average of 3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0.1763</v>
      </c>
      <c r="C42" s="44" t="inlineStr">
        <is>
          <t>FMP: $21795mm  /  $123627mm</t>
        </is>
      </c>
    </row>
    <row r="43">
      <c r="A43" s="47" t="inlineStr">
        <is>
          <t>► Selected tax rate  (user override)</t>
        </is>
      </c>
      <c r="B43" s="48" t="n">
        <v>0.1763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4" t="inlineStr">
        <is>
          <t>WACC  =  MAX(8.5%, (E/V × Re) + (D/V × Rd × (1 − t)))</t>
        </is>
      </c>
      <c r="B46" s="55">
        <f>MAX(0.085, B8*B29+B9*B39*(1-B43))</f>
        <v/>
      </c>
      <c r="C46" s="56" t="inlineStr">
        <is>
          <t>Floored 8.5% (D-001); raw formula below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7" t="inlineStr">
        <is>
          <t>Beta offset  \  ERP offset →</t>
        </is>
      </c>
      <c r="B49" s="57" t="inlineStr">
        <is>
          <t>-1.0%</t>
        </is>
      </c>
      <c r="C49" s="57" t="inlineStr">
        <is>
          <t>-0.5%</t>
        </is>
      </c>
      <c r="D49" s="57" t="inlineStr">
        <is>
          <t>Base ERP</t>
        </is>
      </c>
      <c r="E49" s="57" t="inlineStr">
        <is>
          <t>+0.5%</t>
        </is>
      </c>
      <c r="F49" s="57" t="inlineStr">
        <is>
          <t>+1.0%</t>
        </is>
      </c>
    </row>
    <row r="50">
      <c r="A50" s="58" t="inlineStr">
        <is>
          <t>-1.0</t>
        </is>
      </c>
      <c r="B50" s="59">
        <f>B8*(B13+(B21+(-1.0))*(B26+(-0.01)))+B9*B39*(1-B43)</f>
        <v/>
      </c>
      <c r="C50" s="59">
        <f>B8*(B13+(B21+(-1.0))*(B26+(-0.005)))+B9*B39*(1-B43)</f>
        <v/>
      </c>
      <c r="D50" s="59">
        <f>B8*(B13+(B21+(-1.0))*(B26+(0.0)))+B9*B39*(1-B43)</f>
        <v/>
      </c>
      <c r="E50" s="59">
        <f>B8*(B13+(B21+(-1.0))*(B26+(0.005)))+B9*B39*(1-B43)</f>
        <v/>
      </c>
      <c r="F50" s="59">
        <f>B8*(B13+(B21+(-1.0))*(B26+(0.01)))+B9*B39*(1-B43)</f>
        <v/>
      </c>
    </row>
    <row r="51">
      <c r="A51" s="58" t="inlineStr">
        <is>
          <t>-0.5</t>
        </is>
      </c>
      <c r="B51" s="59">
        <f>B8*(B13+(B21+(-0.5))*(B26+(-0.01)))+B9*B39*(1-B43)</f>
        <v/>
      </c>
      <c r="C51" s="59">
        <f>B8*(B13+(B21+(-0.5))*(B26+(-0.005)))+B9*B39*(1-B43)</f>
        <v/>
      </c>
      <c r="D51" s="59">
        <f>B8*(B13+(B21+(-0.5))*(B26+(0.0)))+B9*B39*(1-B43)</f>
        <v/>
      </c>
      <c r="E51" s="59">
        <f>B8*(B13+(B21+(-0.5))*(B26+(0.005)))+B9*B39*(1-B43)</f>
        <v/>
      </c>
      <c r="F51" s="59">
        <f>B8*(B13+(B21+(-0.5))*(B26+(0.01)))+B9*B39*(1-B43)</f>
        <v/>
      </c>
    </row>
    <row r="52">
      <c r="A52" s="60" t="inlineStr">
        <is>
          <t>Base β</t>
        </is>
      </c>
      <c r="B52" s="61">
        <f>B8*(B13+(B21+(0.0))*(B26+(-0.01)))+B9*B39*(1-B43)</f>
        <v/>
      </c>
      <c r="C52" s="61">
        <f>B8*(B13+(B21+(0.0))*(B26+(-0.005)))+B9*B39*(1-B43)</f>
        <v/>
      </c>
      <c r="D52" s="62">
        <f>B8*(B13+(B21+(0.0))*(B26+(0.0)))+B9*B39*(1-B43)</f>
        <v/>
      </c>
      <c r="E52" s="61">
        <f>B8*(B13+(B21+(0.0))*(B26+(0.005)))+B9*B39*(1-B43)</f>
        <v/>
      </c>
      <c r="F52" s="61">
        <f>B8*(B13+(B21+(0.0))*(B26+(0.01)))+B9*B39*(1-B43)</f>
        <v/>
      </c>
    </row>
    <row r="53">
      <c r="A53" s="58" t="inlineStr">
        <is>
          <t>+0.5</t>
        </is>
      </c>
      <c r="B53" s="59">
        <f>B8*(B13+(B21+(0.5))*(B26+(-0.01)))+B9*B39*(1-B43)</f>
        <v/>
      </c>
      <c r="C53" s="59">
        <f>B8*(B13+(B21+(0.5))*(B26+(-0.005)))+B9*B39*(1-B43)</f>
        <v/>
      </c>
      <c r="D53" s="59">
        <f>B8*(B13+(B21+(0.5))*(B26+(0.0)))+B9*B39*(1-B43)</f>
        <v/>
      </c>
      <c r="E53" s="59">
        <f>B8*(B13+(B21+(0.5))*(B26+(0.005)))+B9*B39*(1-B43)</f>
        <v/>
      </c>
      <c r="F53" s="59">
        <f>B8*(B13+(B21+(0.5))*(B26+(0.01)))+B9*B39*(1-B43)</f>
        <v/>
      </c>
    </row>
    <row r="54">
      <c r="A54" s="58" t="inlineStr">
        <is>
          <t>+1.0</t>
        </is>
      </c>
      <c r="B54" s="59">
        <f>B8*(B13+(B21+(1.0))*(B26+(-0.01)))+B9*B39*(1-B43)</f>
        <v/>
      </c>
      <c r="C54" s="59">
        <f>B8*(B13+(B21+(1.0))*(B26+(-0.005)))+B9*B39*(1-B43)</f>
        <v/>
      </c>
      <c r="D54" s="59">
        <f>B8*(B13+(B21+(1.0))*(B26+(0.0)))+B9*B39*(1-B43)</f>
        <v/>
      </c>
      <c r="E54" s="59">
        <f>B8*(B13+(B21+(1.0))*(B26+(0.005)))+B9*B39*(1-B43)</f>
        <v/>
      </c>
      <c r="F54" s="59">
        <f>B8*(B13+(B21+(1.0))*(B26+(0.01)))+B9*B39*(1-B43)</f>
        <v/>
      </c>
    </row>
  </sheetData>
  <mergeCells count="11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MSFT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0.1692</v>
      </c>
      <c r="H7" s="71" t="n">
        <v>0.1664</v>
      </c>
      <c r="I7" s="71" t="n">
        <v>0.1825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0.5239</v>
      </c>
      <c r="H8" s="71" t="n">
        <v>0.5239</v>
      </c>
      <c r="I8" s="71" t="n">
        <v>0.5239</v>
      </c>
      <c r="J8" s="72">
        <f>I8</f>
        <v/>
      </c>
      <c r="K8" s="72">
        <f>I8</f>
        <v/>
      </c>
      <c r="L8" s="73" t="n">
        <v>0.5685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329396.2</v>
      </c>
      <c r="H15" s="77" t="n">
        <v>384214.7</v>
      </c>
      <c r="I15" s="77" t="n">
        <v>454319.4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328,886 — 330,257</t>
        </is>
      </c>
      <c r="H16" s="82" t="inlineStr">
        <is>
          <t>371,736 — 390,983</t>
        </is>
      </c>
      <c r="I16" s="82" t="inlineStr">
        <is>
          <t>453,632 — 455,007</t>
        </is>
      </c>
      <c r="J16" s="82" t="inlineStr">
        <is>
          <t>523,039 — 551,170</t>
        </is>
      </c>
      <c r="K16" s="82" t="inlineStr">
        <is>
          <t>633,858 — 667,949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37</v>
      </c>
      <c r="H17" s="84" t="n">
        <v>40</v>
      </c>
      <c r="I17" s="84" t="n">
        <v>36</v>
      </c>
      <c r="J17" s="84" t="n">
        <v>22</v>
      </c>
      <c r="K17" s="84" t="n">
        <v>18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172559.9</v>
      </c>
      <c r="H20" s="77" t="n">
        <v>201277.5</v>
      </c>
      <c r="I20" s="77" t="n">
        <v>238003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172,293 — 173,011</t>
        </is>
      </c>
      <c r="H21" s="82" t="inlineStr">
        <is>
          <t>194,740 — 204,823</t>
        </is>
      </c>
      <c r="I21" s="82" t="inlineStr">
        <is>
          <t>237,643 — 238,363</t>
        </is>
      </c>
      <c r="J21" s="82" t="inlineStr">
        <is>
          <t>274,003 — 288,740</t>
        </is>
      </c>
      <c r="K21" s="82" t="inlineStr">
        <is>
          <t>332,058 — 349,917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WACC!B46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0.04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HIGH (12.5% 3yr avg rev growth).  Bear 3.00% / Base 4.0% / Bull 5.00%.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19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HIGH (12.5% 3yr avg rev growth).  Bear 15x / Base 19x / Bull 23x.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7465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415.91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MSFT  |  Master Prompt v2  |  27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68.8% ✓ (&gt;40%)  |  GM trend +0.4% ✗ (&gt;+1pp)  |  ROIC-WACC +20.6% ✓ (&gt;+5pp)  |  Rev consistency σ=4.2% ✓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68.8% ✓ (&gt;40%)  |  GM trend +0.4% ✗ (&gt;+1pp)  |  ROIC-WACC +20.6% ✓ (&gt;+5pp)  |  Rev consistency σ=4.2% ✓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-6.1% ✗ (&gt;=-2pp)  |  GM maintained +0.4% ✓  |  Op margin +3.6% ✓ (≥-2pp)  |  Capital returns HIGH ✓  |  Share count -0.4%/yr ✓ (net buyback)  |  Goodwill/Equity 35% ✓ (&lt;40%)  [5/6 indicators positive — proxy score]</t>
        </is>
      </c>
      <c r="E11" s="130" t="inlineStr">
        <is>
          <t>MOD-HIGH</t>
        </is>
      </c>
      <c r="F11" s="131" t="n">
        <v>8.33</v>
      </c>
      <c r="G11" s="132">
        <f>IF(F11="",0,C11*F11*10)</f>
        <v/>
      </c>
      <c r="H11" s="133" t="inlineStr">
        <is>
          <t>ROIC trend -6.1% ✗ (&gt;=-2pp)  |  GM maintained +0.4% ✓  |  Op margin +3.6% ✓ (≥-2pp)  |  Capital returns HIGH ✓  |  Share count -0.4%/yr ✓ (net buyback)  |  Goodwill/Equity 35%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12.4%</t>
        </is>
      </c>
      <c r="E13" s="130" t="inlineStr">
        <is>
          <t>MOD-HIGH</t>
        </is>
      </c>
      <c r="F13" s="131" t="n">
        <v>8.449999999999999</v>
      </c>
      <c r="G13" s="132">
        <f>IF(F13="",0,C13*F13*10)</f>
        <v/>
      </c>
      <c r="H13" s="133" t="inlineStr">
        <is>
          <t>12.4%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74%  [trend penalty: declined &gt;15pp vs 3yr ago]  [through-cycle: 70/30 latest+5yr median, latest 70.3% → smoothed 74.4%]</t>
        </is>
      </c>
      <c r="E14" s="134" t="inlineStr">
        <is>
          <t>MOD-LOW</t>
        </is>
      </c>
      <c r="F14" s="131" t="n">
        <v>5.67</v>
      </c>
      <c r="G14" s="132">
        <f>IF(F14="",0,C14*F14*10)</f>
        <v/>
      </c>
      <c r="H14" s="133" t="inlineStr">
        <is>
          <t>74%  [trend penalty: declined &gt;15pp vs 3yr ago]  [through-cycle: 70/30 latest+5yr median, latest 70.3% → smoothed 74.4%]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$18,420mm latest FY — 5yr+ consistent equity-funded  [payout 26% of FCF]</t>
        </is>
      </c>
      <c r="E15" s="135" t="inlineStr">
        <is>
          <t>HIGH</t>
        </is>
      </c>
      <c r="F15" s="131" t="n">
        <v>10</v>
      </c>
      <c r="G15" s="132">
        <f>IF(F15="",0,C15*F15*10)</f>
        <v/>
      </c>
      <c r="H15" s="133" t="inlineStr">
        <is>
          <t>$18,420mm latest FY — 5yr+ consistent equity-funded  [payout 26%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30.5%  [trend penalty: declined &gt;5pp vs 3yr ago]  [through-cycle: 70/30 latest+5yr median, latest 29.7% → smoothed 30.5%]</t>
        </is>
      </c>
      <c r="E16" s="130" t="inlineStr">
        <is>
          <t>MOD-HIGH</t>
        </is>
      </c>
      <c r="F16" s="131" t="n">
        <v>6.5</v>
      </c>
      <c r="G16" s="132">
        <f>IF(F16="",0,C16*F16*10)</f>
        <v/>
      </c>
      <c r="H16" s="133" t="inlineStr">
        <is>
          <t>30.5%  [trend penalty: declined &gt;5pp vs 3yr ago]  [through-cycle: 70/30 latest+5yr median, latest 29.7% → smoothed 30.5%]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0.3x  [through-cycle: 70/30 latest+5yr median, latest 0.3x → smoothed 0.3x]</t>
        </is>
      </c>
      <c r="E18" s="135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0.3x  [through-cycle: 70/30 latest+5yr median, latest 0.3x → smoothed 0.3x]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53.9x</t>
        </is>
      </c>
      <c r="E19" s="135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53.9x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σ=4.2%  |  OM trend +4.0%, σ=1.7%  [quality = direction + stability]</t>
        </is>
      </c>
      <c r="E20" s="130" t="inlineStr">
        <is>
          <t>MOD-HIGH</t>
        </is>
      </c>
      <c r="F20" s="131" t="n">
        <v>6.67</v>
      </c>
      <c r="G20" s="132">
        <f>IF(F20="",0,C20*F20*10)</f>
        <v/>
      </c>
      <c r="H20" s="133" t="inlineStr">
        <is>
          <t>Rev growth σ=4.2%  |  OM trend +4.0%, σ=1.7%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24.8x (scoring basis)  |  5yr avg 33.9x  |  Sector median 19.1x  |  DCF-implied 29.0x [ref only — not used as benchmark]  [-27% vs benchmark]  [trail=10.00 | fwd_pe=24.8x→10.00 | abs=7.0 → blended 40/40/20=9.40]  PEG=110.32 (fwd_pe=24.8x / eps_growth=22%)  [revision:Strong upgrade cycle→+0.50]</t>
        </is>
      </c>
      <c r="E22" s="135" t="inlineStr">
        <is>
          <t>HIGH</t>
        </is>
      </c>
      <c r="F22" s="131" t="n">
        <v>9.9</v>
      </c>
      <c r="G22" s="132">
        <f>IF(F22="",0,C22*F22*10)</f>
        <v/>
      </c>
      <c r="H22" s="133" t="inlineStr">
        <is>
          <t>Fwd P/E 24.8x (scoring basis)  |  5yr avg 33.9x  |  Sector median 19.1x  |  DCF-implied 29.0x [ref only — not used as benchmark]  [-27% vs benchmark]  [trail=10.00 | fwd_pe=24.8x→10.00 | abs=7.0 → blended 40/40/20=9.40]  PEG=110.32 (fwd_pe=24.8x / eps_growth=22%)  [revision:Strong upgrade cycle→+0.50]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51.6x  |  5yr avg 41.2x  |  Sector median 13.8x  |  DCF-implied 41.3x [ref only — not used as benchmark]  [+25% vs benchmark]  [trail=2.97 | fwd_pfcf=36.9x→8.57 | abs=1.5 → blended 40/40/20=4.91]  [fcf_yield=1.9% vs rf=4.6%  spread=-2.6%→modifier=-0.50]</t>
        </is>
      </c>
      <c r="E23" s="136" t="inlineStr">
        <is>
          <t>LOW</t>
        </is>
      </c>
      <c r="F23" s="131" t="n">
        <v>4.41</v>
      </c>
      <c r="G23" s="132">
        <f>IF(F23="",0,C23*F23*10)</f>
        <v/>
      </c>
      <c r="H23" s="133" t="inlineStr">
        <is>
          <t>Current 51.6x  |  5yr avg 41.2x  |  Sector median 13.8x  |  DCF-implied 41.3x [ref only — not used as benchmark]  [+25% vs benchmark]  [trail=2.97 | fwd_pfcf=36.9x→8.57 | abs=1.5 → blended 40/40/20=4.91]  [fcf_yield=1.9% vs rf=4.6%  spread=-2.6%→modifier=-0.50]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2026-05-26T15:45:28Z</dcterms:created>
  <dcterms:modified xmlns:dcterms="http://purl.org/dc/terms/" xmlns:xsi="http://www.w3.org/2001/XMLSchema-instance" xsi:type="dcterms:W3CDTF">2026-05-26T15:46:01Z</dcterms:modified>
</cp:coreProperties>
</file>