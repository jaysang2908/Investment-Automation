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2">
    <numFmt numFmtId="164" formatCode="#,##0.0"/>
    <numFmt numFmtId="165" formatCode="$#,##0.00"/>
    <numFmt numFmtId="166" formatCode="0.0%"/>
    <numFmt numFmtId="167" formatCode="#,##0.0;(#,##0.0);&quot;-&quot;"/>
    <numFmt numFmtId="168" formatCode="0.0%;(0.0%);&quot;-&quot;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</numFmts>
  <fonts count="2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</fonts>
  <fills count="16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1A3A5C"/>
      </patternFill>
    </fill>
    <fill>
      <patternFill patternType="solid">
        <fgColor rgb="0034495E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indent="1"/>
    </xf>
    <xf numFmtId="49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3" fillId="4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indent="1"/>
    </xf>
    <xf numFmtId="0" fontId="7" fillId="0" borderId="0" pivotButton="0" quotePrefix="0" xfId="0"/>
    <xf numFmtId="0" fontId="6" fillId="5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0" fontId="6" fillId="6" borderId="1" applyAlignment="1" pivotButton="0" quotePrefix="0" xfId="0">
      <alignment horizontal="left" indent="1"/>
    </xf>
    <xf numFmtId="167" fontId="8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1"/>
    </xf>
    <xf numFmtId="167" fontId="5" fillId="6" borderId="1" applyAlignment="1" pivotButton="0" quotePrefix="0" xfId="0">
      <alignment horizontal="right"/>
    </xf>
    <xf numFmtId="0" fontId="6" fillId="7" borderId="1" applyAlignment="1" pivotButton="0" quotePrefix="0" xfId="0">
      <alignment horizontal="left" indent="1"/>
    </xf>
    <xf numFmtId="167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2"/>
    </xf>
    <xf numFmtId="168" fontId="4" fillId="6" borderId="1" applyAlignment="1" pivotButton="0" quotePrefix="0" xfId="0">
      <alignment horizontal="right"/>
    </xf>
    <xf numFmtId="167" fontId="4" fillId="6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0" fontId="3" fillId="8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1"/>
    </xf>
    <xf numFmtId="167" fontId="8" fillId="9" borderId="1" applyAlignment="1" pivotButton="0" quotePrefix="0" xfId="0">
      <alignment horizontal="right"/>
    </xf>
    <xf numFmtId="0" fontId="4" fillId="9" borderId="1" applyAlignment="1" pivotButton="0" quotePrefix="0" xfId="0">
      <alignment horizontal="left" indent="1"/>
    </xf>
    <xf numFmtId="167" fontId="5" fillId="9" borderId="1" applyAlignment="1" pivotButton="0" quotePrefix="0" xfId="0">
      <alignment horizontal="right"/>
    </xf>
    <xf numFmtId="167" fontId="8" fillId="5" borderId="1" applyAlignment="1" pivotButton="0" quotePrefix="0" xfId="0">
      <alignment horizontal="right"/>
    </xf>
    <xf numFmtId="167" fontId="6" fillId="9" borderId="1" applyAlignment="1" pivotButton="0" quotePrefix="0" xfId="0">
      <alignment horizontal="right"/>
    </xf>
    <xf numFmtId="167" fontId="6" fillId="6" borderId="1" applyAlignment="1" pivotButton="0" quotePrefix="0" xfId="0">
      <alignment horizontal="right"/>
    </xf>
    <xf numFmtId="167" fontId="6" fillId="5" borderId="1" applyAlignment="1" pivotButton="0" quotePrefix="0" xfId="0">
      <alignment horizontal="right"/>
    </xf>
    <xf numFmtId="0" fontId="3" fillId="10" borderId="0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left" indent="2"/>
    </xf>
    <xf numFmtId="167" fontId="4" fillId="9" borderId="1" applyAlignment="1" pivotButton="0" quotePrefix="0" xfId="0">
      <alignment horizontal="right"/>
    </xf>
    <xf numFmtId="169" fontId="4" fillId="6" borderId="1" applyAlignment="1" pivotButton="0" quotePrefix="0" xfId="0">
      <alignment horizontal="right"/>
    </xf>
    <xf numFmtId="0" fontId="3" fillId="11" borderId="0" applyAlignment="1" pivotButton="0" quotePrefix="0" xfId="0">
      <alignment horizontal="left" vertical="center" indent="1"/>
    </xf>
    <xf numFmtId="0" fontId="3" fillId="11" borderId="1" applyAlignment="1" pivotButton="0" quotePrefix="0" xfId="0">
      <alignment horizontal="left" indent="1"/>
    </xf>
    <xf numFmtId="167" fontId="3" fillId="11" borderId="1" applyAlignment="1" pivotButton="0" quotePrefix="0" xfId="0">
      <alignment horizontal="center"/>
    </xf>
    <xf numFmtId="0" fontId="9" fillId="0" borderId="0" pivotButton="0" quotePrefix="0" xfId="0"/>
    <xf numFmtId="0" fontId="0" fillId="6" borderId="1" pivotButton="0" quotePrefix="0" xfId="0"/>
    <xf numFmtId="170" fontId="5" fillId="6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0" fontId="10" fillId="7" borderId="1" applyAlignment="1" pivotButton="0" quotePrefix="0" xfId="0">
      <alignment horizontal="left" indent="1"/>
    </xf>
    <xf numFmtId="171" fontId="4" fillId="6" borderId="1" applyAlignment="1" pivotButton="0" quotePrefix="0" xfId="0">
      <alignment horizontal="right"/>
    </xf>
    <xf numFmtId="0" fontId="6" fillId="12" borderId="1" applyAlignment="1" pivotButton="0" quotePrefix="0" xfId="0">
      <alignment horizontal="left" indent="1"/>
    </xf>
    <xf numFmtId="171" fontId="8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4" fillId="6" borderId="1" applyAlignment="1" pivotButton="0" quotePrefix="0" xfId="0">
      <alignment horizontal="right"/>
    </xf>
    <xf numFmtId="172" fontId="8" fillId="12" borderId="1" applyAlignment="1" pivotButton="0" quotePrefix="0" xfId="0">
      <alignment horizontal="right"/>
    </xf>
    <xf numFmtId="171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right"/>
    </xf>
    <xf numFmtId="0" fontId="12" fillId="7" borderId="1" applyAlignment="1" pivotButton="0" quotePrefix="0" xfId="0">
      <alignment horizontal="left" indent="1"/>
    </xf>
    <xf numFmtId="171" fontId="12" fillId="7" borderId="1" applyAlignment="1" pivotButton="0" quotePrefix="0" xfId="0">
      <alignment horizontal="right"/>
    </xf>
    <xf numFmtId="0" fontId="13" fillId="7" borderId="1" applyAlignment="1" pivotButton="0" quotePrefix="0" xfId="0">
      <alignment horizontal="left" indent="1"/>
    </xf>
    <xf numFmtId="0" fontId="14" fillId="5" borderId="1" applyAlignment="1" pivotButton="0" quotePrefix="0" xfId="0">
      <alignment horizontal="center"/>
    </xf>
    <xf numFmtId="0" fontId="15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0" fontId="14" fillId="7" borderId="1" applyAlignment="1" pivotButton="0" quotePrefix="0" xfId="0">
      <alignment horizontal="center"/>
    </xf>
    <xf numFmtId="171" fontId="15" fillId="7" borderId="1" applyAlignment="1" pivotButton="0" quotePrefix="0" xfId="0">
      <alignment horizontal="right"/>
    </xf>
    <xf numFmtId="171" fontId="14" fillId="7" borderId="1" applyAlignment="1" pivotButton="0" quotePrefix="0" xfId="0">
      <alignment horizontal="right"/>
    </xf>
    <xf numFmtId="0" fontId="6" fillId="5" borderId="1" applyAlignment="1" pivotButton="0" quotePrefix="0" xfId="0">
      <alignment horizontal="left" vertical="center" indent="1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6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8" fontId="17" fillId="15" borderId="1" applyAlignment="1" pivotButton="0" quotePrefix="0" xfId="0">
      <alignment horizontal="right" vertical="center"/>
    </xf>
    <xf numFmtId="168" fontId="18" fillId="13" borderId="1" applyAlignment="1" pivotButton="0" quotePrefix="0" xfId="0">
      <alignment horizontal="right" vertical="center"/>
    </xf>
    <xf numFmtId="168" fontId="5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168" fontId="5" fillId="9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left" vertical="center" indent="1"/>
    </xf>
    <xf numFmtId="167" fontId="5" fillId="15" borderId="1" applyAlignment="1" pivotButton="0" quotePrefix="0" xfId="0">
      <alignment horizontal="right" vertical="center"/>
    </xf>
    <xf numFmtId="167" fontId="18" fillId="13" borderId="1" applyAlignment="1" pivotButton="0" quotePrefix="0" xfId="0">
      <alignment horizontal="right" vertical="center"/>
    </xf>
    <xf numFmtId="167" fontId="4" fillId="14" borderId="1" applyAlignment="1" pivotButton="0" quotePrefix="0" xfId="0">
      <alignment horizontal="right" vertical="center"/>
    </xf>
    <xf numFmtId="0" fontId="19" fillId="6" borderId="1" applyAlignment="1" pivotButton="0" quotePrefix="0" xfId="0">
      <alignment horizontal="left" wrapText="1" indent="1"/>
    </xf>
    <xf numFmtId="0" fontId="20" fillId="6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8" fontId="20" fillId="15" borderId="1" applyAlignment="1" pivotButton="0" quotePrefix="0" xfId="0">
      <alignment horizontal="right" vertical="center"/>
    </xf>
    <xf numFmtId="168" fontId="20" fillId="13" borderId="1" applyAlignment="1" pivotButton="0" quotePrefix="0" xfId="0">
      <alignment horizontal="right" vertical="center"/>
    </xf>
    <xf numFmtId="168" fontId="20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2"/>
    </xf>
    <xf numFmtId="167" fontId="4" fillId="13" borderId="1" applyAlignment="1" pivotButton="0" quotePrefix="0" xfId="0">
      <alignment horizontal="right" vertical="center"/>
    </xf>
    <xf numFmtId="167" fontId="6" fillId="15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167" fontId="4" fillId="15" borderId="1" applyAlignment="1" pivotButton="0" quotePrefix="0" xfId="0">
      <alignment horizontal="right" vertical="center"/>
    </xf>
    <xf numFmtId="167" fontId="4" fillId="6" borderId="1" applyAlignment="1" pivotButton="0" quotePrefix="0" xfId="0">
      <alignment horizontal="right" vertical="center"/>
    </xf>
    <xf numFmtId="167" fontId="6" fillId="13" borderId="1" applyAlignment="1" pivotButton="0" quotePrefix="0" xfId="0">
      <alignment horizontal="right" vertical="center"/>
    </xf>
    <xf numFmtId="168" fontId="20" fillId="6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4" fillId="14" borderId="1" applyAlignment="1" pivotButton="0" quotePrefix="0" xfId="0">
      <alignment horizontal="right" vertical="center"/>
    </xf>
    <xf numFmtId="171" fontId="8" fillId="14" borderId="1" applyAlignment="1" pivotButton="0" quotePrefix="0" xfId="0">
      <alignment horizontal="right" vertical="center"/>
    </xf>
    <xf numFmtId="173" fontId="8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1"/>
    </xf>
    <xf numFmtId="167" fontId="23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right" vertical="center"/>
    </xf>
    <xf numFmtId="174" fontId="4" fillId="6" borderId="1" applyAlignment="1" pivotButton="0" quotePrefix="0" xfId="0">
      <alignment horizontal="right" vertical="center"/>
    </xf>
    <xf numFmtId="174" fontId="4" fillId="14" borderId="1" applyAlignment="1" pivotButton="0" quotePrefix="0" xfId="0">
      <alignment horizontal="right" vertical="center"/>
    </xf>
    <xf numFmtId="175" fontId="4" fillId="6" borderId="1" applyAlignment="1" pivotButton="0" quotePrefix="0" xfId="0">
      <alignment horizontal="right" vertical="center"/>
    </xf>
    <xf numFmtId="175" fontId="4" fillId="1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5" fontId="6" fillId="13" borderId="1" applyAlignment="1" pivotButton="0" quotePrefix="0" xfId="0">
      <alignment horizontal="right" vertical="center"/>
    </xf>
    <xf numFmtId="165" fontId="23" fillId="6" borderId="1" applyAlignment="1" pivotButton="0" quotePrefix="0" xfId="0">
      <alignment horizontal="right"/>
    </xf>
    <xf numFmtId="168" fontId="6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MSFT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 ht="18" customHeight="1">
      <c r="A4" s="3" t="inlineStr">
        <is>
          <t>KEY METRICS — MOST RECENT YEAR</t>
        </is>
      </c>
    </row>
    <row r="5">
      <c r="A5" s="4" t="inlineStr">
        <is>
          <t>Fiscal Year</t>
        </is>
      </c>
      <c r="B5" s="5" t="inlineStr">
        <is>
          <t>2025</t>
        </is>
      </c>
    </row>
    <row r="6">
      <c r="A6" s="4" t="inlineStr">
        <is>
          <t>Revenue ($mm)</t>
        </is>
      </c>
      <c r="B6" s="6" t="n">
        <v>281724</v>
      </c>
    </row>
    <row r="7">
      <c r="A7" s="4" t="inlineStr">
        <is>
          <t>Gross Profit ($mm)</t>
        </is>
      </c>
      <c r="B7" s="6" t="n">
        <v>193893</v>
      </c>
    </row>
    <row r="8">
      <c r="A8" s="4" t="inlineStr">
        <is>
          <t>EBITDA ($mm)</t>
        </is>
      </c>
      <c r="B8" s="6" t="n">
        <v>160165</v>
      </c>
    </row>
    <row r="9">
      <c r="A9" s="4" t="inlineStr">
        <is>
          <t>EBIT ($mm)</t>
        </is>
      </c>
      <c r="B9" s="6" t="n">
        <v>128528</v>
      </c>
    </row>
    <row r="10">
      <c r="A10" s="4" t="inlineStr">
        <is>
          <t>Net Income ($mm)</t>
        </is>
      </c>
      <c r="B10" s="6" t="n">
        <v>101832</v>
      </c>
    </row>
    <row r="11">
      <c r="A11" s="4" t="inlineStr">
        <is>
          <t>Free Cash Flow ($mm)</t>
        </is>
      </c>
      <c r="B11" s="6" t="n"/>
    </row>
    <row r="12">
      <c r="A12" s="4" t="inlineStr">
        <is>
          <t>EPS Diluted</t>
        </is>
      </c>
      <c r="B12" s="7" t="n"/>
    </row>
    <row r="13">
      <c r="A13" s="4" t="inlineStr">
        <is>
          <t>Gross Margin %</t>
        </is>
      </c>
      <c r="B13" s="8" t="n"/>
    </row>
    <row r="14">
      <c r="A14" s="4" t="inlineStr">
        <is>
          <t>EBITDA Margin %</t>
        </is>
      </c>
      <c r="B14" s="8" t="n"/>
    </row>
    <row r="15">
      <c r="A15" s="4" t="inlineStr">
        <is>
          <t>Net Margin %</t>
        </is>
      </c>
      <c r="B15" s="8" t="n"/>
    </row>
    <row r="17" ht="18" customHeight="1">
      <c r="A17" s="9" t="inlineStr">
        <is>
          <t>WORKBOOK STRUCTURE</t>
        </is>
      </c>
    </row>
    <row r="18">
      <c r="A18" s="10" t="inlineStr">
        <is>
          <t>Cover</t>
        </is>
      </c>
      <c r="B18" s="4" t="inlineStr">
        <is>
          <t>This page — key metrics snapshot</t>
        </is>
      </c>
    </row>
    <row r="19">
      <c r="A19" s="10" t="inlineStr">
        <is>
          <t>P&amp;L</t>
        </is>
      </c>
      <c r="B19" s="4" t="inlineStr">
        <is>
          <t>Income statement: summary + all FMP line items</t>
        </is>
      </c>
    </row>
    <row r="20">
      <c r="A20" s="10" t="inlineStr">
        <is>
          <t>Balance Sheet</t>
        </is>
      </c>
      <c r="B20" s="4" t="inlineStr">
        <is>
          <t>Balance sheet: summary + all FMP line items</t>
        </is>
      </c>
    </row>
    <row r="21">
      <c r="A21" s="10" t="inlineStr">
        <is>
          <t>Cash Flow</t>
        </is>
      </c>
      <c r="B21" s="4" t="inlineStr">
        <is>
          <t>Cash flow: summary + all FMP line items</t>
        </is>
      </c>
    </row>
    <row r="22">
      <c r="A22" s="10" t="inlineStr">
        <is>
          <t>Ratios &amp; FCF</t>
        </is>
      </c>
      <c r="B22" s="4" t="inlineStr">
        <is>
          <t>UFCF bridge, LFCF bridge, and full ratio suite</t>
        </is>
      </c>
    </row>
    <row r="23">
      <c r="A23" s="10" t="inlineStr">
        <is>
          <t>Segments</t>
        </is>
      </c>
      <c r="B23" s="4" t="inlineStr">
        <is>
          <t>Product &amp; geographic revenue segments (plan-dependent)</t>
        </is>
      </c>
    </row>
    <row r="25">
      <c r="A25" s="11" t="inlineStr">
        <is>
          <t>Colour convention: Blue = raw API data input | Black = formula/calculated | Green = cross-sheet link</t>
        </is>
      </c>
    </row>
  </sheetData>
  <mergeCells count="5">
    <mergeCell ref="A4:B4"/>
    <mergeCell ref="A2:B2"/>
    <mergeCell ref="A25:B25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MSFT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INCOME STATEMENT</t>
        </is>
      </c>
    </row>
    <row r="5">
      <c r="A5" s="14" t="inlineStr">
        <is>
          <t>(1)  Revenue</t>
        </is>
      </c>
      <c r="B5" s="15" t="n">
        <v>168088</v>
      </c>
      <c r="C5" s="15" t="n">
        <v>198270</v>
      </c>
      <c r="D5" s="15" t="n">
        <v>211915</v>
      </c>
      <c r="E5" s="15" t="n">
        <v>245122</v>
      </c>
      <c r="F5" s="15" t="n">
        <v>281724</v>
      </c>
    </row>
    <row r="6">
      <c r="A6" s="16" t="inlineStr">
        <is>
          <t>(2)  Cost of Revenue (COGS)</t>
        </is>
      </c>
      <c r="B6" s="17" t="n">
        <v>52232</v>
      </c>
      <c r="C6" s="17" t="n">
        <v>62650</v>
      </c>
      <c r="D6" s="17" t="n">
        <v>65863</v>
      </c>
      <c r="E6" s="17" t="n">
        <v>74114</v>
      </c>
      <c r="F6" s="17" t="n">
        <v>87831</v>
      </c>
    </row>
    <row r="7">
      <c r="A7" s="18" t="inlineStr">
        <is>
          <t>(3)  Gross Profit</t>
        </is>
      </c>
      <c r="B7" s="19">
        <f>B5-B6</f>
        <v/>
      </c>
      <c r="C7" s="19">
        <f>C5-C6</f>
        <v/>
      </c>
      <c r="D7" s="19">
        <f>D5-D6</f>
        <v/>
      </c>
      <c r="E7" s="19">
        <f>E5-E6</f>
        <v/>
      </c>
      <c r="F7" s="19">
        <f>F5-F6</f>
        <v/>
      </c>
    </row>
    <row r="8">
      <c r="A8" s="20" t="inlineStr">
        <is>
          <t xml:space="preserve">     Gross Margin %</t>
        </is>
      </c>
      <c r="B8" s="21">
        <f>IFERROR(B7/B5,"")</f>
        <v/>
      </c>
      <c r="C8" s="21">
        <f>IFERROR(C7/C5,"")</f>
        <v/>
      </c>
      <c r="D8" s="21">
        <f>IFERROR(D7/D5,"")</f>
        <v/>
      </c>
      <c r="E8" s="21">
        <f>IFERROR(E7/E5,"")</f>
        <v/>
      </c>
      <c r="F8" s="21">
        <f>IFERROR(F7/F5,"")</f>
        <v/>
      </c>
    </row>
    <row r="9">
      <c r="A9" s="16" t="inlineStr">
        <is>
          <t>(4)  SG&amp;A</t>
        </is>
      </c>
      <c r="B9" s="17" t="n">
        <v>25224</v>
      </c>
      <c r="C9" s="17" t="n">
        <v>27725</v>
      </c>
      <c r="D9" s="17" t="n">
        <v>30334</v>
      </c>
      <c r="E9" s="17" t="n">
        <v>32065</v>
      </c>
      <c r="F9" s="17" t="n">
        <v>32877</v>
      </c>
    </row>
    <row r="10">
      <c r="A10" s="16" t="inlineStr">
        <is>
          <t>(5)  Other OPEX (ex-SG&amp;A)</t>
        </is>
      </c>
      <c r="B10" s="22">
        <f>IFERROR(B11-B9,"")</f>
        <v/>
      </c>
      <c r="C10" s="22">
        <f>IFERROR(C11-C9,"")</f>
        <v/>
      </c>
      <c r="D10" s="22">
        <f>IFERROR(D11-D9,"")</f>
        <v/>
      </c>
      <c r="E10" s="22">
        <f>IFERROR(E11-E9,"")</f>
        <v/>
      </c>
      <c r="F10" s="22">
        <f>IFERROR(F11-F9,"")</f>
        <v/>
      </c>
    </row>
    <row r="11">
      <c r="A11" s="20" t="inlineStr">
        <is>
          <t xml:space="preserve">     Total Operating Expenses</t>
        </is>
      </c>
      <c r="B11" s="17" t="n">
        <v>45940</v>
      </c>
      <c r="C11" s="17" t="n">
        <v>52237</v>
      </c>
      <c r="D11" s="17" t="n">
        <v>57529</v>
      </c>
      <c r="E11" s="17" t="n">
        <v>61575</v>
      </c>
      <c r="F11" s="17" t="n">
        <v>65365</v>
      </c>
    </row>
    <row r="12">
      <c r="A12" s="18" t="inlineStr">
        <is>
          <t>(6)  EBITDA</t>
        </is>
      </c>
      <c r="B12" s="19">
        <f>B15+B14</f>
        <v/>
      </c>
      <c r="C12" s="19">
        <f>C15+C14</f>
        <v/>
      </c>
      <c r="D12" s="19">
        <f>D15+D14</f>
        <v/>
      </c>
      <c r="E12" s="19">
        <f>E15+E14</f>
        <v/>
      </c>
      <c r="F12" s="19">
        <f>F15+F14</f>
        <v/>
      </c>
    </row>
    <row r="13">
      <c r="A13" s="20" t="inlineStr">
        <is>
          <t xml:space="preserve">     EBITDA Margin %</t>
        </is>
      </c>
      <c r="B13" s="21">
        <f>IFERROR(B12/B5,"")</f>
        <v/>
      </c>
      <c r="C13" s="21">
        <f>IFERROR(C12/C5,"")</f>
        <v/>
      </c>
      <c r="D13" s="21">
        <f>IFERROR(D12/D5,"")</f>
        <v/>
      </c>
      <c r="E13" s="21">
        <f>IFERROR(E12/E5,"")</f>
        <v/>
      </c>
      <c r="F13" s="21">
        <f>IFERROR(F12/F5,"")</f>
        <v/>
      </c>
    </row>
    <row r="14">
      <c r="A14" s="16" t="inlineStr">
        <is>
          <t>(7)  Depreciation &amp; Amortisation</t>
        </is>
      </c>
      <c r="B14" s="17" t="n">
        <v>11686</v>
      </c>
      <c r="C14" s="17" t="n">
        <v>14460</v>
      </c>
      <c r="D14" s="17" t="n">
        <v>13861</v>
      </c>
      <c r="E14" s="17" t="n">
        <v>22287</v>
      </c>
      <c r="F14" s="17" t="n">
        <v>34153</v>
      </c>
    </row>
    <row r="15">
      <c r="A15" s="18" t="inlineStr">
        <is>
          <t>(8)  EBIT (Operating Income)</t>
        </is>
      </c>
      <c r="B15" s="23" t="n">
        <v>69916</v>
      </c>
      <c r="C15" s="23" t="n">
        <v>83383</v>
      </c>
      <c r="D15" s="23" t="n">
        <v>88523</v>
      </c>
      <c r="E15" s="23" t="n">
        <v>109433</v>
      </c>
      <c r="F15" s="23" t="n">
        <v>128528</v>
      </c>
    </row>
    <row r="16">
      <c r="A16" s="20" t="inlineStr">
        <is>
          <t xml:space="preserve">     EBIT Margin %</t>
        </is>
      </c>
      <c r="B16" s="21">
        <f>IFERROR(B15/B5,"")</f>
        <v/>
      </c>
      <c r="C16" s="21">
        <f>IFERROR(C15/C5,"")</f>
        <v/>
      </c>
      <c r="D16" s="21">
        <f>IFERROR(D15/D5,"")</f>
        <v/>
      </c>
      <c r="E16" s="21">
        <f>IFERROR(E15/E5,"")</f>
        <v/>
      </c>
      <c r="F16" s="21">
        <f>IFERROR(F15/F5,"")</f>
        <v/>
      </c>
    </row>
    <row r="17">
      <c r="A17" s="20" t="inlineStr">
        <is>
          <t xml:space="preserve">     Interest Expense</t>
        </is>
      </c>
      <c r="B17" s="17" t="n">
        <v>2346</v>
      </c>
      <c r="C17" s="17" t="n">
        <v>2063</v>
      </c>
      <c r="D17" s="17" t="n">
        <v>1968</v>
      </c>
      <c r="E17" s="17" t="n">
        <v>2935</v>
      </c>
      <c r="F17" s="17" t="n">
        <v>2385</v>
      </c>
    </row>
    <row r="18">
      <c r="A18" s="20" t="inlineStr">
        <is>
          <t xml:space="preserve">     Interest Income</t>
        </is>
      </c>
      <c r="B18" s="17" t="n">
        <v>2131</v>
      </c>
      <c r="C18" s="17" t="n">
        <v>2094</v>
      </c>
      <c r="D18" s="17" t="n">
        <v>2994</v>
      </c>
      <c r="E18" s="17" t="n">
        <v>3157</v>
      </c>
      <c r="F18" s="17" t="n">
        <v>2647</v>
      </c>
    </row>
    <row r="19">
      <c r="A19" s="16" t="inlineStr">
        <is>
          <t>(9)  Net Interest Income / (Expense)</t>
        </is>
      </c>
      <c r="B19" s="22">
        <f>IFERROR(B18-B17,"")</f>
        <v/>
      </c>
      <c r="C19" s="22">
        <f>IFERROR(C18-C17,"")</f>
        <v/>
      </c>
      <c r="D19" s="22">
        <f>IFERROR(D18-D17,"")</f>
        <v/>
      </c>
      <c r="E19" s="22">
        <f>IFERROR(E18-E17,"")</f>
        <v/>
      </c>
      <c r="F19" s="22">
        <f>IFERROR(F18-F17,"")</f>
        <v/>
      </c>
    </row>
    <row r="20">
      <c r="A20" s="20" t="inlineStr">
        <is>
          <t xml:space="preserve">     Other Non-Operating Income / (Expenses)</t>
        </is>
      </c>
      <c r="B20" s="22">
        <f>IFERROR(B21-B15-B19,"")</f>
        <v/>
      </c>
      <c r="C20" s="22">
        <f>IFERROR(C21-C15-C19,"")</f>
        <v/>
      </c>
      <c r="D20" s="22">
        <f>IFERROR(D21-D15-D19,"")</f>
        <v/>
      </c>
      <c r="E20" s="22">
        <f>IFERROR(E21-E15-E19,"")</f>
        <v/>
      </c>
      <c r="F20" s="22">
        <f>IFERROR(F21-F15-F19,"")</f>
        <v/>
      </c>
    </row>
    <row r="21">
      <c r="A21" s="18" t="inlineStr">
        <is>
          <t>(10) EBT / NPBT</t>
        </is>
      </c>
      <c r="B21" s="23" t="n">
        <v>71102</v>
      </c>
      <c r="C21" s="23" t="n">
        <v>83716</v>
      </c>
      <c r="D21" s="23" t="n">
        <v>89311</v>
      </c>
      <c r="E21" s="23" t="n">
        <v>107787</v>
      </c>
      <c r="F21" s="23" t="n">
        <v>123627</v>
      </c>
    </row>
    <row r="22">
      <c r="A22" s="16" t="inlineStr">
        <is>
          <t>(11) Income Tax Expense</t>
        </is>
      </c>
      <c r="B22" s="17" t="n">
        <v>9831</v>
      </c>
      <c r="C22" s="17" t="n">
        <v>10978</v>
      </c>
      <c r="D22" s="17" t="n">
        <v>16950</v>
      </c>
      <c r="E22" s="17" t="n">
        <v>19651</v>
      </c>
      <c r="F22" s="17" t="n">
        <v>21795</v>
      </c>
    </row>
    <row r="23">
      <c r="A23" s="20" t="inlineStr">
        <is>
          <t xml:space="preserve">     Effective Tax Rate %</t>
        </is>
      </c>
      <c r="B23" s="21">
        <f>IFERROR(B22/B21,"")</f>
        <v/>
      </c>
      <c r="C23" s="21">
        <f>IFERROR(C22/C21,"")</f>
        <v/>
      </c>
      <c r="D23" s="21">
        <f>IFERROR(D22/D21,"")</f>
        <v/>
      </c>
      <c r="E23" s="21">
        <f>IFERROR(E22/E21,"")</f>
        <v/>
      </c>
      <c r="F23" s="21">
        <f>IFERROR(F22/F21,"")</f>
        <v/>
      </c>
    </row>
    <row r="24">
      <c r="A24" s="18" t="inlineStr">
        <is>
          <t>(12) Net Income / NPAT</t>
        </is>
      </c>
      <c r="B24" s="23" t="n">
        <v>61271</v>
      </c>
      <c r="C24" s="23" t="n">
        <v>72738</v>
      </c>
      <c r="D24" s="23" t="n">
        <v>72361</v>
      </c>
      <c r="E24" s="23" t="n">
        <v>88136</v>
      </c>
      <c r="F24" s="23" t="n">
        <v>101832</v>
      </c>
    </row>
    <row r="25">
      <c r="A25" s="20" t="inlineStr">
        <is>
          <t xml:space="preserve">     Net Margin %</t>
        </is>
      </c>
      <c r="B25" s="21">
        <f>IFERROR(B24/B5,"")</f>
        <v/>
      </c>
      <c r="C25" s="21">
        <f>IFERROR(C24/C5,"")</f>
        <v/>
      </c>
      <c r="D25" s="21">
        <f>IFERROR(D24/D5,"")</f>
        <v/>
      </c>
      <c r="E25" s="21">
        <f>IFERROR(E24/E5,"")</f>
        <v/>
      </c>
      <c r="F25" s="21">
        <f>IFERROR(F24/F5,"")</f>
        <v/>
      </c>
    </row>
    <row r="26" ht="6" customHeight="1"/>
    <row r="27" ht="18" customHeight="1">
      <c r="A27" s="9" t="inlineStr">
        <is>
          <t>DETAIL — ALL LINE ITEMS FROM FMP</t>
        </is>
      </c>
    </row>
    <row r="28" ht="18" customHeight="1">
      <c r="A28" s="12" t="inlineStr">
        <is>
          <t>Fiscal Year Ending</t>
        </is>
      </c>
      <c r="B28" s="13" t="inlineStr">
        <is>
          <t>2021</t>
        </is>
      </c>
      <c r="C28" s="13" t="inlineStr">
        <is>
          <t>2022</t>
        </is>
      </c>
      <c r="D28" s="13" t="inlineStr">
        <is>
          <t>2023</t>
        </is>
      </c>
      <c r="E28" s="13" t="inlineStr">
        <is>
          <t>2024</t>
        </is>
      </c>
      <c r="F28" s="13" t="inlineStr">
        <is>
          <t>2025</t>
        </is>
      </c>
    </row>
    <row r="29" ht="18" customHeight="1">
      <c r="A29" s="24" t="inlineStr">
        <is>
          <t>Revenue &amp; Cost</t>
        </is>
      </c>
    </row>
    <row r="30">
      <c r="A30" s="14" t="inlineStr">
        <is>
          <t>Revenue</t>
        </is>
      </c>
      <c r="B30" s="15" t="n">
        <v>168088</v>
      </c>
      <c r="C30" s="15" t="n">
        <v>198270</v>
      </c>
      <c r="D30" s="15" t="n">
        <v>211915</v>
      </c>
      <c r="E30" s="15" t="n">
        <v>245122</v>
      </c>
      <c r="F30" s="15" t="n">
        <v>281724</v>
      </c>
    </row>
    <row r="31">
      <c r="A31" s="16" t="inlineStr">
        <is>
          <t>Cost of Revenue</t>
        </is>
      </c>
      <c r="B31" s="17" t="n">
        <v>52232</v>
      </c>
      <c r="C31" s="17" t="n">
        <v>62650</v>
      </c>
      <c r="D31" s="17" t="n">
        <v>65863</v>
      </c>
      <c r="E31" s="17" t="n">
        <v>74114</v>
      </c>
      <c r="F31" s="17" t="n">
        <v>87831</v>
      </c>
    </row>
    <row r="32">
      <c r="A32" s="25" t="inlineStr">
        <is>
          <t>Gross Profit</t>
        </is>
      </c>
      <c r="B32" s="26" t="n">
        <v>115856</v>
      </c>
      <c r="C32" s="26" t="n">
        <v>135620</v>
      </c>
      <c r="D32" s="26" t="n">
        <v>146052</v>
      </c>
      <c r="E32" s="26" t="n">
        <v>171008</v>
      </c>
      <c r="F32" s="26" t="n">
        <v>193893</v>
      </c>
    </row>
    <row r="33" ht="18" customHeight="1">
      <c r="A33" s="24" t="inlineStr">
        <is>
          <t>Operating Expenses</t>
        </is>
      </c>
    </row>
    <row r="34">
      <c r="A34" s="16" t="inlineStr">
        <is>
          <t>R&amp;D Expenses</t>
        </is>
      </c>
      <c r="B34" s="17" t="n">
        <v>20716</v>
      </c>
      <c r="C34" s="17" t="n">
        <v>24512</v>
      </c>
      <c r="D34" s="17" t="n">
        <v>27195</v>
      </c>
      <c r="E34" s="17" t="n">
        <v>29510</v>
      </c>
      <c r="F34" s="17" t="n">
        <v>32488</v>
      </c>
    </row>
    <row r="35">
      <c r="A35" s="16" t="inlineStr">
        <is>
          <t>General &amp; Administrative</t>
        </is>
      </c>
      <c r="B35" s="17" t="n">
        <v>5107</v>
      </c>
      <c r="C35" s="17" t="n">
        <v>5900</v>
      </c>
      <c r="D35" s="17" t="n">
        <v>7575</v>
      </c>
      <c r="E35" s="17" t="n">
        <v>7609</v>
      </c>
      <c r="F35" s="17" t="n">
        <v>7223</v>
      </c>
    </row>
    <row r="36">
      <c r="A36" s="16" t="inlineStr">
        <is>
          <t>Selling &amp; Marketing</t>
        </is>
      </c>
      <c r="B36" s="17" t="n">
        <v>20117</v>
      </c>
      <c r="C36" s="17" t="n">
        <v>21825</v>
      </c>
      <c r="D36" s="17" t="n">
        <v>22759</v>
      </c>
      <c r="E36" s="17" t="n">
        <v>24456</v>
      </c>
      <c r="F36" s="17" t="n">
        <v>25654</v>
      </c>
    </row>
    <row r="37">
      <c r="A37" s="16" t="inlineStr">
        <is>
          <t>SG&amp;A (Combined)</t>
        </is>
      </c>
      <c r="B37" s="17" t="n">
        <v>25224</v>
      </c>
      <c r="C37" s="17" t="n">
        <v>27725</v>
      </c>
      <c r="D37" s="17" t="n">
        <v>30334</v>
      </c>
      <c r="E37" s="17" t="n">
        <v>32065</v>
      </c>
      <c r="F37" s="17" t="n">
        <v>32877</v>
      </c>
    </row>
    <row r="38">
      <c r="A38" s="16" t="inlineStr">
        <is>
          <t>Other Expenses</t>
        </is>
      </c>
      <c r="B38" s="17" t="n">
        <v>0</v>
      </c>
      <c r="C38" s="17" t="n">
        <v>0</v>
      </c>
      <c r="D38" s="17" t="n">
        <v>0</v>
      </c>
      <c r="E38" s="17" t="n">
        <v>0</v>
      </c>
      <c r="F38" s="17" t="n">
        <v>0</v>
      </c>
    </row>
    <row r="39">
      <c r="A39" s="25" t="inlineStr">
        <is>
          <t>Total Operating Expenses</t>
        </is>
      </c>
      <c r="B39" s="26" t="n">
        <v>45940</v>
      </c>
      <c r="C39" s="26" t="n">
        <v>52237</v>
      </c>
      <c r="D39" s="26" t="n">
        <v>57529</v>
      </c>
      <c r="E39" s="26" t="n">
        <v>61575</v>
      </c>
      <c r="F39" s="26" t="n">
        <v>65365</v>
      </c>
    </row>
    <row r="40">
      <c r="A40" s="16" t="inlineStr">
        <is>
          <t>Cost &amp; Expenses (COGS + Opex)</t>
        </is>
      </c>
      <c r="B40" s="17" t="n">
        <v>98172</v>
      </c>
      <c r="C40" s="17" t="n">
        <v>114887</v>
      </c>
      <c r="D40" s="17" t="n">
        <v>123392</v>
      </c>
      <c r="E40" s="17" t="n">
        <v>135689</v>
      </c>
      <c r="F40" s="17" t="n">
        <v>153196</v>
      </c>
    </row>
    <row r="41" ht="18" customHeight="1">
      <c r="A41" s="24" t="inlineStr">
        <is>
          <t>Operating &amp; EBITDA</t>
        </is>
      </c>
    </row>
    <row r="42">
      <c r="A42" s="14" t="inlineStr">
        <is>
          <t>EBIT (Operating Income)</t>
        </is>
      </c>
      <c r="B42" s="15" t="n">
        <v>69916</v>
      </c>
      <c r="C42" s="15" t="n">
        <v>83383</v>
      </c>
      <c r="D42" s="15" t="n">
        <v>88523</v>
      </c>
      <c r="E42" s="15" t="n">
        <v>109433</v>
      </c>
      <c r="F42" s="15" t="n">
        <v>128528</v>
      </c>
    </row>
    <row r="43">
      <c r="A43" s="16" t="inlineStr">
        <is>
          <t>EBIT (FMP field)</t>
        </is>
      </c>
      <c r="B43" s="17" t="n">
        <v>73448</v>
      </c>
      <c r="C43" s="17" t="n">
        <v>85779</v>
      </c>
      <c r="D43" s="17" t="n">
        <v>91279</v>
      </c>
      <c r="E43" s="17" t="n">
        <v>110722</v>
      </c>
      <c r="F43" s="17" t="n">
        <v>126012</v>
      </c>
    </row>
    <row r="44">
      <c r="A44" s="25" t="inlineStr">
        <is>
          <t>EBITDA</t>
        </is>
      </c>
      <c r="B44" s="26" t="n">
        <v>85134</v>
      </c>
      <c r="C44" s="26" t="n">
        <v>100239</v>
      </c>
      <c r="D44" s="26" t="n">
        <v>105140</v>
      </c>
      <c r="E44" s="26" t="n">
        <v>133009</v>
      </c>
      <c r="F44" s="26" t="n">
        <v>160165</v>
      </c>
    </row>
    <row r="45">
      <c r="A45" s="16" t="inlineStr">
        <is>
          <t>Depreciation &amp; Amortisation</t>
        </is>
      </c>
      <c r="B45" s="17" t="n">
        <v>11686</v>
      </c>
      <c r="C45" s="17" t="n">
        <v>14460</v>
      </c>
      <c r="D45" s="17" t="n">
        <v>13861</v>
      </c>
      <c r="E45" s="17" t="n">
        <v>22287</v>
      </c>
      <c r="F45" s="17" t="n">
        <v>34153</v>
      </c>
    </row>
    <row r="46" ht="18" customHeight="1">
      <c r="A46" s="24" t="inlineStr">
        <is>
          <t>Below the Line</t>
        </is>
      </c>
    </row>
    <row r="47">
      <c r="A47" s="16" t="inlineStr">
        <is>
          <t>Interest Income</t>
        </is>
      </c>
      <c r="B47" s="17" t="n">
        <v>2131</v>
      </c>
      <c r="C47" s="17" t="n">
        <v>2094</v>
      </c>
      <c r="D47" s="17" t="n">
        <v>2994</v>
      </c>
      <c r="E47" s="17" t="n">
        <v>3157</v>
      </c>
      <c r="F47" s="17" t="n">
        <v>2647</v>
      </c>
    </row>
    <row r="48">
      <c r="A48" s="16" t="inlineStr">
        <is>
          <t>Interest Expense</t>
        </is>
      </c>
      <c r="B48" s="17" t="n">
        <v>2346</v>
      </c>
      <c r="C48" s="17" t="n">
        <v>2063</v>
      </c>
      <c r="D48" s="17" t="n">
        <v>1968</v>
      </c>
      <c r="E48" s="17" t="n">
        <v>2935</v>
      </c>
      <c r="F48" s="17" t="n">
        <v>2385</v>
      </c>
    </row>
    <row r="49">
      <c r="A49" s="16" t="inlineStr">
        <is>
          <t>Net Interest Income</t>
        </is>
      </c>
      <c r="B49" s="17" t="n">
        <v>-215</v>
      </c>
      <c r="C49" s="17" t="n">
        <v>31</v>
      </c>
      <c r="D49" s="17" t="n">
        <v>1026</v>
      </c>
      <c r="E49" s="17" t="n">
        <v>222</v>
      </c>
      <c r="F49" s="17" t="n">
        <v>262</v>
      </c>
    </row>
    <row r="50">
      <c r="A50" s="16" t="inlineStr">
        <is>
          <t>Non-Operating Income (ex-interest)</t>
        </is>
      </c>
      <c r="B50" s="17" t="n">
        <v>-3532</v>
      </c>
      <c r="C50" s="17" t="n">
        <v>-2396</v>
      </c>
      <c r="D50" s="17" t="n">
        <v>-2756</v>
      </c>
      <c r="E50" s="17" t="n">
        <v>-1289</v>
      </c>
      <c r="F50" s="17" t="n">
        <v>2516</v>
      </c>
    </row>
    <row r="51">
      <c r="A51" s="16" t="inlineStr">
        <is>
          <t>Total Other Income / (Expenses)</t>
        </is>
      </c>
      <c r="B51" s="17" t="n">
        <v>1186</v>
      </c>
      <c r="C51" s="17" t="n">
        <v>333</v>
      </c>
      <c r="D51" s="17" t="n">
        <v>788</v>
      </c>
      <c r="E51" s="17" t="n">
        <v>-1646</v>
      </c>
      <c r="F51" s="17" t="n">
        <v>-4901</v>
      </c>
    </row>
    <row r="52">
      <c r="A52" s="25" t="inlineStr">
        <is>
          <t>EBT / Income Before Tax</t>
        </is>
      </c>
      <c r="B52" s="26" t="n">
        <v>71102</v>
      </c>
      <c r="C52" s="26" t="n">
        <v>83716</v>
      </c>
      <c r="D52" s="26" t="n">
        <v>89311</v>
      </c>
      <c r="E52" s="26" t="n">
        <v>107787</v>
      </c>
      <c r="F52" s="26" t="n">
        <v>123627</v>
      </c>
    </row>
    <row r="53">
      <c r="A53" s="16" t="inlineStr">
        <is>
          <t>Income Tax Expense</t>
        </is>
      </c>
      <c r="B53" s="17" t="n">
        <v>9831</v>
      </c>
      <c r="C53" s="17" t="n">
        <v>10978</v>
      </c>
      <c r="D53" s="17" t="n">
        <v>16950</v>
      </c>
      <c r="E53" s="17" t="n">
        <v>19651</v>
      </c>
      <c r="F53" s="17" t="n">
        <v>21795</v>
      </c>
    </row>
    <row r="54" ht="18" customHeight="1">
      <c r="A54" s="24" t="inlineStr">
        <is>
          <t>Net Income</t>
        </is>
      </c>
    </row>
    <row r="55">
      <c r="A55" s="16" t="inlineStr">
        <is>
          <t>Net Income from Continuing Ops</t>
        </is>
      </c>
      <c r="B55" s="17" t="n">
        <v>61271</v>
      </c>
      <c r="C55" s="17" t="n">
        <v>72738</v>
      </c>
      <c r="D55" s="17" t="n">
        <v>72361</v>
      </c>
      <c r="E55" s="17" t="n">
        <v>88136</v>
      </c>
      <c r="F55" s="17" t="n">
        <v>101832</v>
      </c>
    </row>
    <row r="56">
      <c r="A56" s="16" t="inlineStr">
        <is>
          <t>Net Income from Discontinued Ops</t>
        </is>
      </c>
      <c r="B56" s="17" t="n">
        <v>0</v>
      </c>
      <c r="C56" s="17" t="n">
        <v>0</v>
      </c>
      <c r="D56" s="17" t="n">
        <v>0</v>
      </c>
      <c r="E56" s="17" t="n">
        <v>0</v>
      </c>
      <c r="F56" s="17" t="n">
        <v>0</v>
      </c>
    </row>
    <row r="57">
      <c r="A57" s="16" t="inlineStr">
        <is>
          <t>Other Adjustments to Net Income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0</v>
      </c>
    </row>
    <row r="58">
      <c r="A58" s="16" t="inlineStr">
        <is>
          <t>Net Income Deductions</t>
        </is>
      </c>
      <c r="B58" s="17" t="n">
        <v>0</v>
      </c>
      <c r="C58" s="17" t="n">
        <v>0</v>
      </c>
      <c r="D58" s="17" t="n">
        <v>0</v>
      </c>
      <c r="E58" s="17" t="n">
        <v>0</v>
      </c>
      <c r="F58" s="17" t="n">
        <v>0</v>
      </c>
    </row>
    <row r="59">
      <c r="A59" s="25" t="inlineStr">
        <is>
          <t>Net Income</t>
        </is>
      </c>
      <c r="B59" s="26" t="n">
        <v>61271</v>
      </c>
      <c r="C59" s="26" t="n">
        <v>72738</v>
      </c>
      <c r="D59" s="26" t="n">
        <v>72361</v>
      </c>
      <c r="E59" s="26" t="n">
        <v>88136</v>
      </c>
      <c r="F59" s="26" t="n">
        <v>101832</v>
      </c>
    </row>
    <row r="60">
      <c r="A60" s="14" t="inlineStr">
        <is>
          <t>Bottom Line Net Income</t>
        </is>
      </c>
      <c r="B60" s="15" t="n">
        <v>61271</v>
      </c>
      <c r="C60" s="15" t="n">
        <v>72738</v>
      </c>
      <c r="D60" s="15" t="n">
        <v>72361</v>
      </c>
      <c r="E60" s="15" t="n">
        <v>88136</v>
      </c>
      <c r="F60" s="15" t="n">
        <v>101832</v>
      </c>
    </row>
    <row r="61" ht="18" customHeight="1">
      <c r="A61" s="24" t="inlineStr">
        <is>
          <t>Per Share</t>
        </is>
      </c>
    </row>
    <row r="62">
      <c r="A62" s="16" t="inlineStr">
        <is>
          <t>EPS (Basic)</t>
        </is>
      </c>
      <c r="B62" s="17" t="n">
        <v>8.119999999999999</v>
      </c>
      <c r="C62" s="17" t="n">
        <v>9.699999999999999</v>
      </c>
      <c r="D62" s="17" t="n">
        <v>9.720000000000001</v>
      </c>
      <c r="E62" s="17" t="n">
        <v>11.86</v>
      </c>
      <c r="F62" s="17" t="n">
        <v>13.7</v>
      </c>
    </row>
    <row r="63">
      <c r="A63" s="16" t="inlineStr">
        <is>
          <t>EPS (Diluted)</t>
        </is>
      </c>
      <c r="B63" s="17" t="n"/>
      <c r="C63" s="17" t="n"/>
      <c r="D63" s="17" t="n"/>
      <c r="E63" s="17" t="n"/>
      <c r="F63" s="17" t="n"/>
    </row>
    <row r="64">
      <c r="A64" s="16" t="inlineStr">
        <is>
          <t>Shares Outstanding — Basic (mm)</t>
        </is>
      </c>
      <c r="B64" s="17" t="n">
        <v>7547</v>
      </c>
      <c r="C64" s="17" t="n">
        <v>7496</v>
      </c>
      <c r="D64" s="17" t="n">
        <v>7446</v>
      </c>
      <c r="E64" s="17" t="n">
        <v>7431</v>
      </c>
      <c r="F64" s="17" t="n">
        <v>7433</v>
      </c>
    </row>
    <row r="65">
      <c r="A65" s="16" t="inlineStr">
        <is>
          <t>Shares Outstanding — Diluted (mm)</t>
        </is>
      </c>
      <c r="B65" s="17" t="n">
        <v>7608</v>
      </c>
      <c r="C65" s="17" t="n">
        <v>7540</v>
      </c>
      <c r="D65" s="17" t="n">
        <v>7472</v>
      </c>
      <c r="E65" s="17" t="n">
        <v>7469</v>
      </c>
      <c r="F65" s="17" t="n">
        <v>7465</v>
      </c>
    </row>
    <row r="66" ht="18" customHeight="1">
      <c r="A66" s="24" t="inlineStr">
        <is>
          <t>Metadata</t>
        </is>
      </c>
    </row>
    <row r="67">
      <c r="A67" s="16" t="inlineStr">
        <is>
          <t>Reported Currency</t>
        </is>
      </c>
      <c r="B67" s="17" t="inlineStr">
        <is>
          <t>USD</t>
        </is>
      </c>
      <c r="C67" s="17" t="inlineStr">
        <is>
          <t>USD</t>
        </is>
      </c>
      <c r="D67" s="17" t="inlineStr">
        <is>
          <t>USD</t>
        </is>
      </c>
      <c r="E67" s="17" t="inlineStr">
        <is>
          <t>USD</t>
        </is>
      </c>
      <c r="F67" s="17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MSFT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BALANCE SHEET</t>
        </is>
      </c>
    </row>
    <row r="5">
      <c r="A5" s="16" t="inlineStr">
        <is>
          <t>(1)  Cash &amp; Cash Equivalents</t>
        </is>
      </c>
      <c r="B5" s="17" t="n">
        <v>14224</v>
      </c>
      <c r="C5" s="17" t="n">
        <v>13931</v>
      </c>
      <c r="D5" s="17" t="n">
        <v>34704</v>
      </c>
      <c r="E5" s="17" t="n">
        <v>18315</v>
      </c>
      <c r="F5" s="17" t="n">
        <v>30242</v>
      </c>
    </row>
    <row r="6">
      <c r="A6" s="16" t="inlineStr">
        <is>
          <t>(2)  Receivables</t>
        </is>
      </c>
      <c r="B6" s="17" t="n">
        <v>38043</v>
      </c>
      <c r="C6" s="17" t="n">
        <v>44261</v>
      </c>
      <c r="D6" s="17" t="n">
        <v>48688</v>
      </c>
      <c r="E6" s="17" t="n">
        <v>56924</v>
      </c>
      <c r="F6" s="17" t="n">
        <v>69905</v>
      </c>
    </row>
    <row r="7">
      <c r="A7" s="16" t="inlineStr">
        <is>
          <t>(3)  Inventory</t>
        </is>
      </c>
      <c r="B7" s="17" t="n">
        <v>2636</v>
      </c>
      <c r="C7" s="17" t="n">
        <v>3742</v>
      </c>
      <c r="D7" s="17" t="n">
        <v>2500</v>
      </c>
      <c r="E7" s="17" t="n">
        <v>1246</v>
      </c>
      <c r="F7" s="17" t="n">
        <v>938</v>
      </c>
    </row>
    <row r="8">
      <c r="A8" s="16" t="inlineStr">
        <is>
          <t>(4)  Other Current Assets</t>
        </is>
      </c>
      <c r="B8" s="22">
        <f>IFERROR(B9-B5-B6-B7,"")</f>
        <v/>
      </c>
      <c r="C8" s="22">
        <f>IFERROR(C9-C5-C6-C7,"")</f>
        <v/>
      </c>
      <c r="D8" s="22">
        <f>IFERROR(D9-D5-D6-D7,"")</f>
        <v/>
      </c>
      <c r="E8" s="22">
        <f>IFERROR(E9-E5-E6-E7,"")</f>
        <v/>
      </c>
      <c r="F8" s="22">
        <f>IFERROR(F9-F5-F6-F7,"")</f>
        <v/>
      </c>
    </row>
    <row r="9">
      <c r="A9" s="18" t="inlineStr">
        <is>
          <t>(5)  Total Current Assets</t>
        </is>
      </c>
      <c r="B9" s="23" t="n">
        <v>184406</v>
      </c>
      <c r="C9" s="23" t="n">
        <v>169684</v>
      </c>
      <c r="D9" s="23" t="n">
        <v>184257</v>
      </c>
      <c r="E9" s="23" t="n">
        <v>159734</v>
      </c>
      <c r="F9" s="23" t="n">
        <v>191131</v>
      </c>
    </row>
    <row r="10">
      <c r="A10" s="16" t="inlineStr">
        <is>
          <t>(6)  PP&amp;E (Net)</t>
        </is>
      </c>
      <c r="B10" s="17" t="n">
        <v>70803</v>
      </c>
      <c r="C10" s="17" t="n">
        <v>87546</v>
      </c>
      <c r="D10" s="17" t="n">
        <v>109987</v>
      </c>
      <c r="E10" s="17" t="n">
        <v>154552</v>
      </c>
      <c r="F10" s="17" t="n">
        <v>229789</v>
      </c>
    </row>
    <row r="11">
      <c r="A11" s="16" t="inlineStr">
        <is>
          <t>(7)  Goodwill</t>
        </is>
      </c>
      <c r="B11" s="17" t="n">
        <v>49711</v>
      </c>
      <c r="C11" s="17" t="n">
        <v>67524</v>
      </c>
      <c r="D11" s="17" t="n">
        <v>67886</v>
      </c>
      <c r="E11" s="17" t="n">
        <v>119220</v>
      </c>
      <c r="F11" s="17" t="n">
        <v>119509</v>
      </c>
    </row>
    <row r="12">
      <c r="A12" s="16" t="inlineStr">
        <is>
          <t>(8)  Deferred Tax Assets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(9)  Other LT Assets</t>
        </is>
      </c>
      <c r="B13" s="22">
        <f>IFERROR(B14-B10-B11-B12,"")</f>
        <v/>
      </c>
      <c r="C13" s="22">
        <f>IFERROR(C14-C10-C11-C12,"")</f>
        <v/>
      </c>
      <c r="D13" s="22">
        <f>IFERROR(D14-D10-D11-D12,"")</f>
        <v/>
      </c>
      <c r="E13" s="22">
        <f>IFERROR(E14-E10-E11-E12,"")</f>
        <v/>
      </c>
      <c r="F13" s="22">
        <f>IFERROR(F14-F10-F11-F12,"")</f>
        <v/>
      </c>
    </row>
    <row r="14">
      <c r="A14" s="18" t="inlineStr">
        <is>
          <t>(10) Total LT Assets</t>
        </is>
      </c>
      <c r="B14" s="23" t="n">
        <v>149373</v>
      </c>
      <c r="C14" s="23" t="n">
        <v>195156</v>
      </c>
      <c r="D14" s="23" t="n">
        <v>227719</v>
      </c>
      <c r="E14" s="23" t="n">
        <v>352429</v>
      </c>
      <c r="F14" s="23" t="n">
        <v>427872</v>
      </c>
    </row>
    <row r="15">
      <c r="A15" s="18" t="inlineStr">
        <is>
          <t>(11) Total Assets</t>
        </is>
      </c>
      <c r="B15" s="23" t="n">
        <v>333779</v>
      </c>
      <c r="C15" s="23" t="n">
        <v>364840</v>
      </c>
      <c r="D15" s="23" t="n">
        <v>411976</v>
      </c>
      <c r="E15" s="23" t="n">
        <v>512163</v>
      </c>
      <c r="F15" s="23" t="n">
        <v>619003</v>
      </c>
    </row>
    <row r="16" ht="6" customHeight="1"/>
    <row r="17">
      <c r="A17" s="16" t="inlineStr">
        <is>
          <t>(12) Accounts Payable</t>
        </is>
      </c>
      <c r="B17" s="17" t="n">
        <v>15163</v>
      </c>
      <c r="C17" s="17" t="n">
        <v>19000</v>
      </c>
      <c r="D17" s="17" t="n">
        <v>18095</v>
      </c>
      <c r="E17" s="17" t="n">
        <v>21996</v>
      </c>
      <c r="F17" s="17" t="n">
        <v>27724</v>
      </c>
    </row>
    <row r="18">
      <c r="A18" s="16" t="inlineStr">
        <is>
          <t>(13) Short-Term Borrowings</t>
        </is>
      </c>
      <c r="B18" s="17" t="n">
        <v>8072</v>
      </c>
      <c r="C18" s="17" t="n">
        <v>2749</v>
      </c>
      <c r="D18" s="17" t="n">
        <v>5247</v>
      </c>
      <c r="E18" s="17" t="n">
        <v>8942</v>
      </c>
      <c r="F18" s="17" t="n">
        <v>2999</v>
      </c>
    </row>
    <row r="19">
      <c r="A19" s="16" t="inlineStr">
        <is>
          <t>(14) Short-Term Leases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(15) Other Current Liabilities</t>
        </is>
      </c>
      <c r="B20" s="22">
        <f>IFERROR(B21-B17-B18-B19,"")</f>
        <v/>
      </c>
      <c r="C20" s="22">
        <f>IFERROR(C21-C17-C18-C19,"")</f>
        <v/>
      </c>
      <c r="D20" s="22">
        <f>IFERROR(D21-D17-D18-D19,"")</f>
        <v/>
      </c>
      <c r="E20" s="22">
        <f>IFERROR(E21-E17-E18-E19,"")</f>
        <v/>
      </c>
      <c r="F20" s="22">
        <f>IFERROR(F21-F17-F18-F19,"")</f>
        <v/>
      </c>
    </row>
    <row r="21">
      <c r="A21" s="18" t="inlineStr">
        <is>
          <t>(16) Total Current Liabilities</t>
        </is>
      </c>
      <c r="B21" s="23" t="n">
        <v>88657</v>
      </c>
      <c r="C21" s="23" t="n">
        <v>95082</v>
      </c>
      <c r="D21" s="23" t="n">
        <v>104149</v>
      </c>
      <c r="E21" s="23" t="n">
        <v>125286</v>
      </c>
      <c r="F21" s="23" t="n">
        <v>141218</v>
      </c>
    </row>
    <row r="22">
      <c r="A22" s="16" t="inlineStr">
        <is>
          <t>(17) Long-Term Debt</t>
        </is>
      </c>
      <c r="B22" s="17" t="n">
        <v>50074</v>
      </c>
      <c r="C22" s="17" t="n">
        <v>47032</v>
      </c>
      <c r="D22" s="17" t="n">
        <v>41990</v>
      </c>
      <c r="E22" s="17" t="n">
        <v>42688</v>
      </c>
      <c r="F22" s="17" t="n">
        <v>40152</v>
      </c>
    </row>
    <row r="23">
      <c r="A23" s="16" t="inlineStr">
        <is>
          <t>(18) Long-Term Leases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(19) Other LT Liabilities</t>
        </is>
      </c>
      <c r="B24" s="22">
        <f>IFERROR(B25-B21-B22-B23,"")</f>
        <v/>
      </c>
      <c r="C24" s="22">
        <f>IFERROR(C25-C21-C22-C23,"")</f>
        <v/>
      </c>
      <c r="D24" s="22">
        <f>IFERROR(D25-D21-D22-D23,"")</f>
        <v/>
      </c>
      <c r="E24" s="22">
        <f>IFERROR(E25-E21-E22-E23,"")</f>
        <v/>
      </c>
      <c r="F24" s="22">
        <f>IFERROR(F25-F21-F22-F23,"")</f>
        <v/>
      </c>
    </row>
    <row r="25">
      <c r="A25" s="18" t="inlineStr">
        <is>
          <t>(20) Total Liabilities</t>
        </is>
      </c>
      <c r="B25" s="23" t="n">
        <v>191791</v>
      </c>
      <c r="C25" s="23" t="n">
        <v>198298</v>
      </c>
      <c r="D25" s="23" t="n">
        <v>205753</v>
      </c>
      <c r="E25" s="23" t="n">
        <v>243686</v>
      </c>
      <c r="F25" s="23" t="n">
        <v>275524</v>
      </c>
    </row>
    <row r="26" ht="6" customHeight="1"/>
    <row r="27">
      <c r="A27" s="16" t="inlineStr">
        <is>
          <t>(21) Common Stock &amp; APIC</t>
        </is>
      </c>
      <c r="B27" s="17" t="n">
        <v>83111</v>
      </c>
      <c r="C27" s="17" t="n">
        <v>86939</v>
      </c>
      <c r="D27" s="17" t="n">
        <v>93718</v>
      </c>
      <c r="E27" s="17" t="n">
        <v>100923</v>
      </c>
      <c r="F27" s="17" t="n">
        <v>109095</v>
      </c>
    </row>
    <row r="28">
      <c r="A28" s="16" t="inlineStr">
        <is>
          <t>(22) Retained Earnings</t>
        </is>
      </c>
      <c r="B28" s="17" t="n">
        <v>57055</v>
      </c>
      <c r="C28" s="17" t="n">
        <v>84281</v>
      </c>
      <c r="D28" s="17" t="n">
        <v>118848</v>
      </c>
      <c r="E28" s="17" t="n">
        <v>173144</v>
      </c>
      <c r="F28" s="17" t="n">
        <v>237731</v>
      </c>
    </row>
    <row r="29">
      <c r="A29" s="16" t="inlineStr">
        <is>
          <t>(23) Other Equity</t>
        </is>
      </c>
      <c r="B29" s="22">
        <f>IFERROR(B30-B27-B28,"")</f>
        <v/>
      </c>
      <c r="C29" s="22">
        <f>IFERROR(C30-C27-C28,"")</f>
        <v/>
      </c>
      <c r="D29" s="22">
        <f>IFERROR(D30-D27-D28,"")</f>
        <v/>
      </c>
      <c r="E29" s="22">
        <f>IFERROR(E30-E27-E28,"")</f>
        <v/>
      </c>
      <c r="F29" s="22">
        <f>IFERROR(F30-F27-F28,"")</f>
        <v/>
      </c>
    </row>
    <row r="30">
      <c r="A30" s="18" t="inlineStr">
        <is>
          <t>(24) Total Equity</t>
        </is>
      </c>
      <c r="B30" s="23" t="n">
        <v>141988</v>
      </c>
      <c r="C30" s="23" t="n">
        <v>166542</v>
      </c>
      <c r="D30" s="23" t="n">
        <v>206223</v>
      </c>
      <c r="E30" s="23" t="n">
        <v>268477</v>
      </c>
      <c r="F30" s="23" t="n">
        <v>343479</v>
      </c>
    </row>
    <row r="31">
      <c r="A31" s="18" t="inlineStr">
        <is>
          <t>(25) Total Liabilities &amp; Equity</t>
        </is>
      </c>
      <c r="B31" s="19">
        <f>B25+B30</f>
        <v/>
      </c>
      <c r="C31" s="19">
        <f>C25+C30</f>
        <v/>
      </c>
      <c r="D31" s="19">
        <f>D25+D30</f>
        <v/>
      </c>
      <c r="E31" s="19">
        <f>E25+E30</f>
        <v/>
      </c>
      <c r="F31" s="19">
        <f>F25+F30</f>
        <v/>
      </c>
    </row>
    <row r="32" ht="6" customHeight="1"/>
    <row r="33" ht="18" customHeight="1">
      <c r="A33" s="9" t="inlineStr">
        <is>
          <t>DETAIL — ALL LINE ITEMS FROM FMP</t>
        </is>
      </c>
    </row>
    <row r="34" ht="18" customHeight="1">
      <c r="A34" s="12" t="inlineStr">
        <is>
          <t>Fiscal Year Ending</t>
        </is>
      </c>
      <c r="B34" s="13" t="inlineStr">
        <is>
          <t>2021</t>
        </is>
      </c>
      <c r="C34" s="13" t="inlineStr">
        <is>
          <t>2022</t>
        </is>
      </c>
      <c r="D34" s="13" t="inlineStr">
        <is>
          <t>2023</t>
        </is>
      </c>
      <c r="E34" s="13" t="inlineStr">
        <is>
          <t>2024</t>
        </is>
      </c>
      <c r="F34" s="13" t="inlineStr">
        <is>
          <t>2025</t>
        </is>
      </c>
    </row>
    <row r="35" ht="18" customHeight="1">
      <c r="A35" s="24" t="inlineStr">
        <is>
          <t>Current Assets</t>
        </is>
      </c>
    </row>
    <row r="36">
      <c r="A36" s="16" t="inlineStr">
        <is>
          <t>Cash &amp; Cash Equivalents</t>
        </is>
      </c>
      <c r="B36" s="17" t="n">
        <v>14224</v>
      </c>
      <c r="C36" s="17" t="n">
        <v>13931</v>
      </c>
      <c r="D36" s="17" t="n">
        <v>34704</v>
      </c>
      <c r="E36" s="17" t="n">
        <v>18315</v>
      </c>
      <c r="F36" s="17" t="n">
        <v>30242</v>
      </c>
    </row>
    <row r="37">
      <c r="A37" s="16" t="inlineStr">
        <is>
          <t>Short-Term Investments</t>
        </is>
      </c>
      <c r="B37" s="17" t="n">
        <v>116032</v>
      </c>
      <c r="C37" s="17" t="n">
        <v>90818</v>
      </c>
      <c r="D37" s="17" t="n">
        <v>76552</v>
      </c>
      <c r="E37" s="17" t="n">
        <v>57216</v>
      </c>
      <c r="F37" s="17" t="n">
        <v>64313</v>
      </c>
    </row>
    <row r="38">
      <c r="A38" s="27" t="inlineStr">
        <is>
          <t>Cash &amp; Short-Term Investments</t>
        </is>
      </c>
      <c r="B38" s="28" t="n">
        <v>130256</v>
      </c>
      <c r="C38" s="28" t="n">
        <v>104749</v>
      </c>
      <c r="D38" s="28" t="n">
        <v>111256</v>
      </c>
      <c r="E38" s="28" t="n">
        <v>75531</v>
      </c>
      <c r="F38" s="28" t="n">
        <v>94555</v>
      </c>
    </row>
    <row r="39">
      <c r="A39" s="16" t="inlineStr">
        <is>
          <t>Accounts Receivable (Trade)</t>
        </is>
      </c>
      <c r="B39" s="17" t="n">
        <v>38043</v>
      </c>
      <c r="C39" s="17" t="n">
        <v>44261</v>
      </c>
      <c r="D39" s="17" t="n">
        <v>48688</v>
      </c>
      <c r="E39" s="17" t="n">
        <v>56924</v>
      </c>
      <c r="F39" s="17" t="n">
        <v>69905</v>
      </c>
    </row>
    <row r="40">
      <c r="A40" s="16" t="inlineStr">
        <is>
          <t>Other Receivables</t>
        </is>
      </c>
      <c r="B40" s="17" t="n">
        <v>0</v>
      </c>
      <c r="C40" s="17" t="n">
        <v>0</v>
      </c>
      <c r="D40" s="17" t="n">
        <v>0</v>
      </c>
      <c r="E40" s="17" t="n">
        <v>0</v>
      </c>
      <c r="F40" s="17" t="n">
        <v>0</v>
      </c>
    </row>
    <row r="41">
      <c r="A41" s="27" t="inlineStr">
        <is>
          <t>Net Receivables (Total)</t>
        </is>
      </c>
      <c r="B41" s="28" t="n">
        <v>38043</v>
      </c>
      <c r="C41" s="28" t="n">
        <v>44261</v>
      </c>
      <c r="D41" s="28" t="n">
        <v>48688</v>
      </c>
      <c r="E41" s="28" t="n">
        <v>56924</v>
      </c>
      <c r="F41" s="28" t="n">
        <v>69905</v>
      </c>
    </row>
    <row r="42">
      <c r="A42" s="16" t="inlineStr">
        <is>
          <t>Inventory</t>
        </is>
      </c>
      <c r="B42" s="17" t="n">
        <v>2636</v>
      </c>
      <c r="C42" s="17" t="n">
        <v>3742</v>
      </c>
      <c r="D42" s="17" t="n">
        <v>2500</v>
      </c>
      <c r="E42" s="17" t="n">
        <v>1246</v>
      </c>
      <c r="F42" s="17" t="n">
        <v>938</v>
      </c>
    </row>
    <row r="43">
      <c r="A43" s="16" t="inlineStr">
        <is>
          <t>Prepaids</t>
        </is>
      </c>
      <c r="B43" s="17" t="n">
        <v>0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Other Current Assets</t>
        </is>
      </c>
      <c r="B44" s="17" t="n">
        <v>13471</v>
      </c>
      <c r="C44" s="17" t="n">
        <v>16932</v>
      </c>
      <c r="D44" s="17" t="n">
        <v>21813</v>
      </c>
      <c r="E44" s="17" t="n">
        <v>26033</v>
      </c>
      <c r="F44" s="17" t="n">
        <v>25733</v>
      </c>
    </row>
    <row r="45">
      <c r="A45" s="25" t="inlineStr">
        <is>
          <t>Total Current Assets</t>
        </is>
      </c>
      <c r="B45" s="26" t="n">
        <v>184406</v>
      </c>
      <c r="C45" s="26" t="n">
        <v>169684</v>
      </c>
      <c r="D45" s="26" t="n">
        <v>184257</v>
      </c>
      <c r="E45" s="26" t="n">
        <v>159734</v>
      </c>
      <c r="F45" s="26" t="n">
        <v>191131</v>
      </c>
    </row>
    <row r="46" ht="18" customHeight="1">
      <c r="A46" s="24" t="inlineStr">
        <is>
          <t>Non-Current Assets</t>
        </is>
      </c>
    </row>
    <row r="47">
      <c r="A47" s="16" t="inlineStr">
        <is>
          <t>PP&amp;E (Net)</t>
        </is>
      </c>
      <c r="B47" s="17" t="n">
        <v>70803</v>
      </c>
      <c r="C47" s="17" t="n">
        <v>87546</v>
      </c>
      <c r="D47" s="17" t="n">
        <v>109987</v>
      </c>
      <c r="E47" s="17" t="n">
        <v>154552</v>
      </c>
      <c r="F47" s="17" t="n">
        <v>229789</v>
      </c>
    </row>
    <row r="48">
      <c r="A48" s="16" t="inlineStr">
        <is>
          <t>Goodwill</t>
        </is>
      </c>
      <c r="B48" s="17" t="n">
        <v>49711</v>
      </c>
      <c r="C48" s="17" t="n">
        <v>67524</v>
      </c>
      <c r="D48" s="17" t="n">
        <v>67886</v>
      </c>
      <c r="E48" s="17" t="n">
        <v>119220</v>
      </c>
      <c r="F48" s="17" t="n">
        <v>119509</v>
      </c>
    </row>
    <row r="49">
      <c r="A49" s="16" t="inlineStr">
        <is>
          <t>Intangible Assets</t>
        </is>
      </c>
      <c r="B49" s="17" t="n">
        <v>7800</v>
      </c>
      <c r="C49" s="17" t="n">
        <v>11298</v>
      </c>
      <c r="D49" s="17" t="n">
        <v>9366</v>
      </c>
      <c r="E49" s="17" t="n">
        <v>27597</v>
      </c>
      <c r="F49" s="17" t="n">
        <v>22604</v>
      </c>
    </row>
    <row r="50">
      <c r="A50" s="16" t="inlineStr">
        <is>
          <t>Long-Term Investments</t>
        </is>
      </c>
      <c r="B50" s="17" t="n">
        <v>5984</v>
      </c>
      <c r="C50" s="17" t="n">
        <v>6891</v>
      </c>
      <c r="D50" s="17" t="n">
        <v>9879</v>
      </c>
      <c r="E50" s="17" t="n">
        <v>14600</v>
      </c>
      <c r="F50" s="17" t="n">
        <v>15133</v>
      </c>
    </row>
    <row r="51">
      <c r="A51" s="16" t="inlineStr">
        <is>
          <t>Tax Assets (Deferred)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Total Investments</t>
        </is>
      </c>
      <c r="B52" s="17" t="n">
        <v>122016</v>
      </c>
      <c r="C52" s="17" t="n">
        <v>97709</v>
      </c>
      <c r="D52" s="17" t="n">
        <v>86431</v>
      </c>
      <c r="E52" s="17" t="n">
        <v>71816</v>
      </c>
      <c r="F52" s="17" t="n">
        <v>79446</v>
      </c>
    </row>
    <row r="53">
      <c r="A53" s="16" t="inlineStr">
        <is>
          <t>Other Non-Current Assets</t>
        </is>
      </c>
      <c r="B53" s="17" t="n">
        <v>15075</v>
      </c>
      <c r="C53" s="17" t="n">
        <v>21897</v>
      </c>
      <c r="D53" s="17" t="n">
        <v>30601</v>
      </c>
      <c r="E53" s="17" t="n">
        <v>36460</v>
      </c>
      <c r="F53" s="17" t="n">
        <v>40837</v>
      </c>
    </row>
    <row r="54">
      <c r="A54" s="25" t="inlineStr">
        <is>
          <t>Total Non-Current Assets</t>
        </is>
      </c>
      <c r="B54" s="26" t="n">
        <v>149373</v>
      </c>
      <c r="C54" s="26" t="n">
        <v>195156</v>
      </c>
      <c r="D54" s="26" t="n">
        <v>227719</v>
      </c>
      <c r="E54" s="26" t="n">
        <v>352429</v>
      </c>
      <c r="F54" s="26" t="n">
        <v>427872</v>
      </c>
    </row>
    <row r="55">
      <c r="A55" s="12" t="inlineStr">
        <is>
          <t>TOTAL ASSETS</t>
        </is>
      </c>
      <c r="B55" s="29" t="n">
        <v>333779</v>
      </c>
      <c r="C55" s="29" t="n">
        <v>364840</v>
      </c>
      <c r="D55" s="29" t="n">
        <v>411976</v>
      </c>
      <c r="E55" s="29" t="n">
        <v>512163</v>
      </c>
      <c r="F55" s="29" t="n">
        <v>619003</v>
      </c>
    </row>
    <row r="56" ht="18" customHeight="1">
      <c r="A56" s="24" t="inlineStr">
        <is>
          <t>Current Liabilities</t>
        </is>
      </c>
    </row>
    <row r="57">
      <c r="A57" s="16" t="inlineStr">
        <is>
          <t>Accounts Payable</t>
        </is>
      </c>
      <c r="B57" s="17" t="n">
        <v>15163</v>
      </c>
      <c r="C57" s="17" t="n">
        <v>19000</v>
      </c>
      <c r="D57" s="17" t="n">
        <v>18095</v>
      </c>
      <c r="E57" s="17" t="n">
        <v>21996</v>
      </c>
      <c r="F57" s="17" t="n">
        <v>27724</v>
      </c>
    </row>
    <row r="58">
      <c r="A58" s="16" t="inlineStr">
        <is>
          <t>Short-Term Debt</t>
        </is>
      </c>
      <c r="B58" s="17" t="n">
        <v>8072</v>
      </c>
      <c r="C58" s="17" t="n">
        <v>2749</v>
      </c>
      <c r="D58" s="17" t="n">
        <v>5247</v>
      </c>
      <c r="E58" s="17" t="n">
        <v>8942</v>
      </c>
      <c r="F58" s="17" t="n">
        <v>2999</v>
      </c>
    </row>
    <row r="59">
      <c r="A59" s="16" t="inlineStr">
        <is>
          <t>Short-Term Lease Liabilities</t>
        </is>
      </c>
      <c r="B59" s="17" t="n"/>
      <c r="C59" s="17" t="n"/>
      <c r="D59" s="17" t="n"/>
      <c r="E59" s="17" t="n"/>
      <c r="F59" s="17" t="n"/>
    </row>
    <row r="60">
      <c r="A60" s="16" t="inlineStr">
        <is>
          <t>Deferred Revenue (Current)</t>
        </is>
      </c>
      <c r="B60" s="17" t="n">
        <v>41525</v>
      </c>
      <c r="C60" s="17" t="n">
        <v>45538</v>
      </c>
      <c r="D60" s="17" t="n">
        <v>50901</v>
      </c>
      <c r="E60" s="17" t="n">
        <v>57582</v>
      </c>
      <c r="F60" s="17" t="n">
        <v>64555</v>
      </c>
    </row>
    <row r="61">
      <c r="A61" s="16" t="inlineStr">
        <is>
          <t>Accrued &amp; Other Current Liabilities</t>
        </is>
      </c>
      <c r="B61" s="17" t="n">
        <v>18970</v>
      </c>
      <c r="C61" s="17" t="n">
        <v>20440</v>
      </c>
      <c r="D61" s="17" t="n">
        <v>22148</v>
      </c>
      <c r="E61" s="17" t="n">
        <v>25820</v>
      </c>
      <c r="F61" s="17" t="n">
        <v>30133</v>
      </c>
    </row>
    <row r="62">
      <c r="A62" s="16" t="inlineStr">
        <is>
          <t>Other Current Liabilities</t>
        </is>
      </c>
      <c r="B62" s="22">
        <f>IFERROR(B63-B57-B58-B59-B60-B61,"")</f>
        <v/>
      </c>
      <c r="C62" s="22">
        <f>IFERROR(C63-C57-C58-C59-C60-C61,"")</f>
        <v/>
      </c>
      <c r="D62" s="22">
        <f>IFERROR(D63-D57-D58-D59-D60-D61,"")</f>
        <v/>
      </c>
      <c r="E62" s="22">
        <f>IFERROR(E63-E57-E58-E59-E60-E61,"")</f>
        <v/>
      </c>
      <c r="F62" s="22">
        <f>IFERROR(F63-F57-F58-F59-F60-F61,"")</f>
        <v/>
      </c>
    </row>
    <row r="63">
      <c r="A63" s="25" t="inlineStr">
        <is>
          <t>Total Current Liabilities</t>
        </is>
      </c>
      <c r="B63" s="26" t="n">
        <v>88657</v>
      </c>
      <c r="C63" s="26" t="n">
        <v>95082</v>
      </c>
      <c r="D63" s="26" t="n">
        <v>104149</v>
      </c>
      <c r="E63" s="26" t="n">
        <v>125286</v>
      </c>
      <c r="F63" s="26" t="n">
        <v>141218</v>
      </c>
    </row>
    <row r="64" ht="18" customHeight="1">
      <c r="A64" s="24" t="inlineStr">
        <is>
          <t>Non-Current Liabilities</t>
        </is>
      </c>
    </row>
    <row r="65">
      <c r="A65" s="16" t="inlineStr">
        <is>
          <t>Long-Term Debt</t>
        </is>
      </c>
      <c r="B65" s="17" t="n">
        <v>50074</v>
      </c>
      <c r="C65" s="17" t="n">
        <v>47032</v>
      </c>
      <c r="D65" s="17" t="n">
        <v>41990</v>
      </c>
      <c r="E65" s="17" t="n">
        <v>42688</v>
      </c>
      <c r="F65" s="17" t="n">
        <v>40152</v>
      </c>
    </row>
    <row r="66">
      <c r="A66" s="16" t="inlineStr">
        <is>
          <t>Long-Term Operating Lease Liabilities</t>
        </is>
      </c>
      <c r="B66" s="17" t="n"/>
      <c r="C66" s="17" t="n"/>
      <c r="D66" s="17" t="n"/>
      <c r="E66" s="17" t="n"/>
      <c r="F66" s="17" t="n"/>
    </row>
    <row r="67">
      <c r="A67" s="16" t="inlineStr">
        <is>
          <t>Deferred Revenue (Non-Current)</t>
        </is>
      </c>
      <c r="B67" s="17" t="n">
        <v>2616</v>
      </c>
      <c r="C67" s="17" t="n">
        <v>2870</v>
      </c>
      <c r="D67" s="17" t="n">
        <v>2912</v>
      </c>
      <c r="E67" s="17" t="n">
        <v>2602</v>
      </c>
      <c r="F67" s="17" t="n">
        <v>2710</v>
      </c>
    </row>
    <row r="68">
      <c r="A68" s="16" t="inlineStr">
        <is>
          <t>Deferred Tax Liabilities</t>
        </is>
      </c>
      <c r="B68" s="17" t="n">
        <v>198</v>
      </c>
      <c r="C68" s="17" t="n">
        <v>230</v>
      </c>
      <c r="D68" s="17" t="n">
        <v>433</v>
      </c>
      <c r="E68" s="17" t="n">
        <v>2618</v>
      </c>
      <c r="F68" s="17" t="n">
        <v>2835</v>
      </c>
    </row>
    <row r="69">
      <c r="A69" s="16" t="inlineStr">
        <is>
          <t>Other Non-Current Liabilities</t>
        </is>
      </c>
      <c r="B69" s="17" t="n">
        <v>28867</v>
      </c>
      <c r="C69" s="17" t="n">
        <v>27753</v>
      </c>
      <c r="D69" s="17" t="n">
        <v>27671</v>
      </c>
      <c r="E69" s="17" t="n">
        <v>30199</v>
      </c>
      <c r="F69" s="17" t="n">
        <v>28172</v>
      </c>
    </row>
    <row r="70">
      <c r="A70" s="25" t="inlineStr">
        <is>
          <t>Total Non-Current Liabilities</t>
        </is>
      </c>
      <c r="B70" s="30">
        <f>IFERROR(B65+B66+B67+B68+B69,"")</f>
        <v/>
      </c>
      <c r="C70" s="30">
        <f>IFERROR(C65+C66+C67+C68+C69,"")</f>
        <v/>
      </c>
      <c r="D70" s="30">
        <f>IFERROR(D65+D66+D67+D68+D69,"")</f>
        <v/>
      </c>
      <c r="E70" s="30">
        <f>IFERROR(E65+E66+E67+E68+E69,"")</f>
        <v/>
      </c>
      <c r="F70" s="30">
        <f>IFERROR(F65+F66+F67+F68+F69,"")</f>
        <v/>
      </c>
    </row>
    <row r="71">
      <c r="A71" s="12" t="inlineStr">
        <is>
          <t>TOTAL LIABILITIES</t>
        </is>
      </c>
      <c r="B71" s="29" t="n">
        <v>191791</v>
      </c>
      <c r="C71" s="29" t="n">
        <v>198298</v>
      </c>
      <c r="D71" s="29" t="n">
        <v>205753</v>
      </c>
      <c r="E71" s="29" t="n">
        <v>243686</v>
      </c>
      <c r="F71" s="29" t="n">
        <v>275524</v>
      </c>
    </row>
    <row r="72" ht="18" customHeight="1">
      <c r="A72" s="24" t="inlineStr">
        <is>
          <t>Shareholders' Equity</t>
        </is>
      </c>
    </row>
    <row r="73">
      <c r="A73" s="16" t="inlineStr">
        <is>
          <t>Common Stock &amp; APIC</t>
        </is>
      </c>
      <c r="B73" s="17" t="n">
        <v>83111</v>
      </c>
      <c r="C73" s="17" t="n">
        <v>86939</v>
      </c>
      <c r="D73" s="17" t="n">
        <v>93718</v>
      </c>
      <c r="E73" s="17" t="n">
        <v>100923</v>
      </c>
      <c r="F73" s="17" t="n">
        <v>109095</v>
      </c>
    </row>
    <row r="74">
      <c r="A74" s="16" t="inlineStr">
        <is>
          <t>Retained Earnings</t>
        </is>
      </c>
      <c r="B74" s="17" t="n">
        <v>57055</v>
      </c>
      <c r="C74" s="17" t="n">
        <v>84281</v>
      </c>
      <c r="D74" s="17" t="n">
        <v>118848</v>
      </c>
      <c r="E74" s="17" t="n">
        <v>173144</v>
      </c>
      <c r="F74" s="17" t="n">
        <v>237731</v>
      </c>
    </row>
    <row r="75">
      <c r="A75" s="16" t="inlineStr">
        <is>
          <t>Other Total Stockholders Equity</t>
        </is>
      </c>
      <c r="B75" s="22">
        <f>IFERROR(B78-B73-B74-B77,"")</f>
        <v/>
      </c>
      <c r="C75" s="22">
        <f>IFERROR(C78-C73-C74-C77,"")</f>
        <v/>
      </c>
      <c r="D75" s="22">
        <f>IFERROR(D78-D73-D74-D77,"")</f>
        <v/>
      </c>
      <c r="E75" s="22">
        <f>IFERROR(E78-E73-E74-E77,"")</f>
        <v/>
      </c>
      <c r="F75" s="22">
        <f>IFERROR(F78-F73-F74-F77,"")</f>
        <v/>
      </c>
    </row>
    <row r="76">
      <c r="A76" s="25" t="inlineStr">
        <is>
          <t>Total Stockholders Equity</t>
        </is>
      </c>
      <c r="B76" s="30">
        <f>IFERROR(B73+B74+B75,"")</f>
        <v/>
      </c>
      <c r="C76" s="30">
        <f>IFERROR(C73+C74+C75,"")</f>
        <v/>
      </c>
      <c r="D76" s="30">
        <f>IFERROR(D73+D74+D75,"")</f>
        <v/>
      </c>
      <c r="E76" s="30">
        <f>IFERROR(E73+E74+E75,"")</f>
        <v/>
      </c>
      <c r="F76" s="30">
        <f>IFERROR(F73+F74+F75,"")</f>
        <v/>
      </c>
    </row>
    <row r="77">
      <c r="A77" s="16" t="inlineStr">
        <is>
          <t>Minority Interest</t>
        </is>
      </c>
      <c r="B77" s="17" t="n">
        <v>0</v>
      </c>
      <c r="C77" s="17" t="n">
        <v>0</v>
      </c>
      <c r="D77" s="17" t="n">
        <v>0</v>
      </c>
      <c r="E77" s="17" t="n">
        <v>0</v>
      </c>
      <c r="F77" s="17" t="n">
        <v>0</v>
      </c>
    </row>
    <row r="78">
      <c r="A78" s="25" t="inlineStr">
        <is>
          <t>Total Equity (inc. Minority)</t>
        </is>
      </c>
      <c r="B78" s="26" t="n">
        <v>141988</v>
      </c>
      <c r="C78" s="26" t="n">
        <v>166542</v>
      </c>
      <c r="D78" s="26" t="n">
        <v>206223</v>
      </c>
      <c r="E78" s="26" t="n">
        <v>268477</v>
      </c>
      <c r="F78" s="26" t="n">
        <v>343479</v>
      </c>
    </row>
    <row r="79" ht="18" customHeight="1">
      <c r="A79" s="24" t="inlineStr">
        <is>
          <t>Key Derived Balances</t>
        </is>
      </c>
    </row>
    <row r="80">
      <c r="A80" s="14" t="inlineStr">
        <is>
          <t>Total Debt (ST + LT)</t>
        </is>
      </c>
      <c r="B80" s="15" t="n">
        <v>82278</v>
      </c>
      <c r="C80" s="15" t="n">
        <v>78400</v>
      </c>
      <c r="D80" s="15" t="n">
        <v>79441</v>
      </c>
      <c r="E80" s="15" t="n">
        <v>97852</v>
      </c>
      <c r="F80" s="15" t="n">
        <v>112184</v>
      </c>
    </row>
    <row r="81">
      <c r="A81" s="14" t="inlineStr">
        <is>
          <t>Net Debt</t>
        </is>
      </c>
      <c r="B81" s="15" t="n">
        <v>68054</v>
      </c>
      <c r="C81" s="15" t="n">
        <v>64469</v>
      </c>
      <c r="D81" s="15" t="n">
        <v>44737</v>
      </c>
      <c r="E81" s="15" t="n">
        <v>79537</v>
      </c>
      <c r="F81" s="15" t="n">
        <v>81942</v>
      </c>
    </row>
    <row r="82">
      <c r="A82" s="14" t="inlineStr">
        <is>
          <t>Working Capital</t>
        </is>
      </c>
      <c r="B82" s="31">
        <f>IFERROR(B9-B21,"")</f>
        <v/>
      </c>
      <c r="C82" s="31">
        <f>IFERROR(C9-C21,"")</f>
        <v/>
      </c>
      <c r="D82" s="31">
        <f>IFERROR(D9-D21,"")</f>
        <v/>
      </c>
      <c r="E82" s="31">
        <f>IFERROR(E9-E21,"")</f>
        <v/>
      </c>
      <c r="F82" s="31">
        <f>IFERROR(F9-F21,"")</f>
        <v/>
      </c>
    </row>
    <row r="83">
      <c r="A83" s="12" t="inlineStr">
        <is>
          <t>TOTAL LIABILITIES &amp; EQUITY</t>
        </is>
      </c>
      <c r="B83" s="32">
        <f>B31</f>
        <v/>
      </c>
      <c r="C83" s="32">
        <f>C31</f>
        <v/>
      </c>
      <c r="D83" s="32">
        <f>D31</f>
        <v/>
      </c>
      <c r="E83" s="32">
        <f>E31</f>
        <v/>
      </c>
      <c r="F83" s="32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MSFT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CASH FLOW STATEMENT</t>
        </is>
      </c>
    </row>
    <row r="5">
      <c r="A5" s="18" t="inlineStr">
        <is>
          <t>(1)  Net Cash from Operations (CFO)</t>
        </is>
      </c>
      <c r="B5" s="23" t="n">
        <v>76740</v>
      </c>
      <c r="C5" s="23" t="n">
        <v>89035</v>
      </c>
      <c r="D5" s="23" t="n">
        <v>87582</v>
      </c>
      <c r="E5" s="23" t="n">
        <v>118548</v>
      </c>
      <c r="F5" s="23" t="n">
        <v>136162</v>
      </c>
    </row>
    <row r="6">
      <c r="A6" s="16" t="inlineStr">
        <is>
          <t>(2)  Capital Expenditures</t>
        </is>
      </c>
      <c r="B6" s="17" t="n">
        <v>-20622</v>
      </c>
      <c r="C6" s="17" t="n">
        <v>-23886</v>
      </c>
      <c r="D6" s="17" t="n">
        <v>-28107</v>
      </c>
      <c r="E6" s="17" t="n">
        <v>-44477</v>
      </c>
      <c r="F6" s="17" t="n">
        <v>-64551</v>
      </c>
    </row>
    <row r="7">
      <c r="A7" s="18" t="inlineStr">
        <is>
          <t>(3)  Net Cash from Investing (CFI)</t>
        </is>
      </c>
      <c r="B7" s="19">
        <f>B39</f>
        <v/>
      </c>
      <c r="C7" s="19">
        <f>C39</f>
        <v/>
      </c>
      <c r="D7" s="19">
        <f>D39</f>
        <v/>
      </c>
      <c r="E7" s="19">
        <f>E39</f>
        <v/>
      </c>
      <c r="F7" s="19">
        <f>F39</f>
        <v/>
      </c>
    </row>
    <row r="8" ht="6" customHeight="1"/>
    <row r="9">
      <c r="A9" s="16" t="inlineStr">
        <is>
          <t>(4)  Debt Drawdowns</t>
        </is>
      </c>
      <c r="B9" s="17" t="n">
        <v>-3750</v>
      </c>
      <c r="C9" s="17" t="n">
        <v>-9023</v>
      </c>
      <c r="D9" s="17" t="n">
        <v>-2750</v>
      </c>
      <c r="E9" s="17" t="n">
        <v>575</v>
      </c>
      <c r="F9" s="17" t="n">
        <v>-8962</v>
      </c>
    </row>
    <row r="10">
      <c r="A10" s="16" t="inlineStr">
        <is>
          <t>(5)  Debt Repayments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(6)  Issuance of Common Stock</t>
        </is>
      </c>
      <c r="B11" s="17" t="n">
        <v>1693</v>
      </c>
      <c r="C11" s="17" t="n">
        <v>1841</v>
      </c>
      <c r="D11" s="17" t="n">
        <v>1866</v>
      </c>
      <c r="E11" s="17" t="n">
        <v>2002</v>
      </c>
      <c r="F11" s="17" t="n">
        <v>2056</v>
      </c>
    </row>
    <row r="12">
      <c r="A12" s="16" t="inlineStr">
        <is>
          <t>(7)  Dividends Paid</t>
        </is>
      </c>
      <c r="B12" s="17" t="n">
        <v>-16521</v>
      </c>
      <c r="C12" s="17" t="n">
        <v>-18135</v>
      </c>
      <c r="D12" s="17" t="n">
        <v>-19800</v>
      </c>
      <c r="E12" s="17" t="n">
        <v>-21771</v>
      </c>
      <c r="F12" s="17" t="n">
        <v>-24082</v>
      </c>
    </row>
    <row r="13">
      <c r="A13" s="18" t="inlineStr">
        <is>
          <t>(8)  Net Cash from Financing (CFF)</t>
        </is>
      </c>
      <c r="B13" s="19">
        <f>B47</f>
        <v/>
      </c>
      <c r="C13" s="19">
        <f>C47</f>
        <v/>
      </c>
      <c r="D13" s="19">
        <f>D47</f>
        <v/>
      </c>
      <c r="E13" s="19">
        <f>E47</f>
        <v/>
      </c>
      <c r="F13" s="19">
        <f>F47</f>
        <v/>
      </c>
    </row>
    <row r="14" ht="6" customHeight="1"/>
    <row r="15">
      <c r="A15" s="18" t="inlineStr">
        <is>
          <t xml:space="preserve">     Free Cash Flow (FCF)</t>
        </is>
      </c>
      <c r="B15" s="23" t="n">
        <v>56118</v>
      </c>
      <c r="C15" s="23" t="n">
        <v>65149</v>
      </c>
      <c r="D15" s="23" t="n">
        <v>59475</v>
      </c>
      <c r="E15" s="23" t="n">
        <v>74071</v>
      </c>
      <c r="F15" s="23" t="n">
        <v>71611</v>
      </c>
    </row>
    <row r="16">
      <c r="A16" s="14" t="inlineStr">
        <is>
          <t xml:space="preserve">     Net Change in Cash</t>
        </is>
      </c>
      <c r="B16" s="15" t="n">
        <v>648</v>
      </c>
      <c r="C16" s="15" t="n">
        <v>-293</v>
      </c>
      <c r="D16" s="15" t="n">
        <v>20773</v>
      </c>
      <c r="E16" s="15" t="n">
        <v>-16389</v>
      </c>
      <c r="F16" s="15" t="n">
        <v>11927</v>
      </c>
    </row>
    <row r="17" ht="6" customHeight="1"/>
    <row r="18" ht="18" customHeight="1">
      <c r="A18" s="9" t="inlineStr">
        <is>
          <t>DETAIL — ALL LINE ITEMS FROM FMP</t>
        </is>
      </c>
    </row>
    <row r="19" ht="18" customHeight="1">
      <c r="A19" s="12" t="inlineStr">
        <is>
          <t>Fiscal Year Ending</t>
        </is>
      </c>
      <c r="B19" s="13" t="inlineStr">
        <is>
          <t>2021</t>
        </is>
      </c>
      <c r="C19" s="13" t="inlineStr">
        <is>
          <t>2022</t>
        </is>
      </c>
      <c r="D19" s="13" t="inlineStr">
        <is>
          <t>2023</t>
        </is>
      </c>
      <c r="E19" s="13" t="inlineStr">
        <is>
          <t>2024</t>
        </is>
      </c>
      <c r="F19" s="13" t="inlineStr">
        <is>
          <t>2025</t>
        </is>
      </c>
    </row>
    <row r="20" ht="18" customHeight="1">
      <c r="A20" s="24" t="inlineStr">
        <is>
          <t>Operating Activities</t>
        </is>
      </c>
    </row>
    <row r="21">
      <c r="A21" s="16" t="inlineStr">
        <is>
          <t>Net Income</t>
        </is>
      </c>
      <c r="B21" s="17" t="n">
        <v>61271</v>
      </c>
      <c r="C21" s="17" t="n">
        <v>72738</v>
      </c>
      <c r="D21" s="17" t="n">
        <v>72361</v>
      </c>
      <c r="E21" s="17" t="n">
        <v>88136</v>
      </c>
      <c r="F21" s="17" t="n">
        <v>101832</v>
      </c>
    </row>
    <row r="22">
      <c r="A22" s="16" t="inlineStr">
        <is>
          <t>Depreciation &amp; Amortisation</t>
        </is>
      </c>
      <c r="B22" s="17" t="n">
        <v>11686</v>
      </c>
      <c r="C22" s="17" t="n">
        <v>14460</v>
      </c>
      <c r="D22" s="17" t="n">
        <v>13861</v>
      </c>
      <c r="E22" s="17" t="n">
        <v>22287</v>
      </c>
      <c r="F22" s="17" t="n">
        <v>34153</v>
      </c>
    </row>
    <row r="23">
      <c r="A23" s="16" t="inlineStr">
        <is>
          <t>Deferred Income Tax</t>
        </is>
      </c>
      <c r="B23" s="17" t="n">
        <v>-150</v>
      </c>
      <c r="C23" s="17" t="n">
        <v>-5702</v>
      </c>
      <c r="D23" s="17" t="n">
        <v>-6059</v>
      </c>
      <c r="E23" s="17" t="n">
        <v>-4738</v>
      </c>
      <c r="F23" s="17" t="n">
        <v>-7056</v>
      </c>
    </row>
    <row r="24">
      <c r="A24" s="16" t="inlineStr">
        <is>
          <t>Stock-Based Compensation</t>
        </is>
      </c>
      <c r="B24" s="17" t="n">
        <v>6118</v>
      </c>
      <c r="C24" s="17" t="n">
        <v>7502</v>
      </c>
      <c r="D24" s="17" t="n">
        <v>9611</v>
      </c>
      <c r="E24" s="17" t="n">
        <v>10734</v>
      </c>
      <c r="F24" s="17" t="n">
        <v>11974</v>
      </c>
    </row>
    <row r="25">
      <c r="A25" s="16" t="inlineStr">
        <is>
          <t>Change in Working Capital</t>
        </is>
      </c>
      <c r="B25" s="17" t="n">
        <v>-936</v>
      </c>
      <c r="C25" s="17" t="n">
        <v>446</v>
      </c>
      <c r="D25" s="17" t="n">
        <v>-2388</v>
      </c>
      <c r="E25" s="17" t="n">
        <v>1824</v>
      </c>
      <c r="F25" s="17" t="n">
        <v>-5350</v>
      </c>
    </row>
    <row r="26">
      <c r="A26" s="20" t="inlineStr">
        <is>
          <t xml:space="preserve">  — Accounts Receivable</t>
        </is>
      </c>
      <c r="B26" s="17" t="n">
        <v>-6481</v>
      </c>
      <c r="C26" s="17" t="n">
        <v>-6834</v>
      </c>
      <c r="D26" s="17" t="n">
        <v>-4087</v>
      </c>
      <c r="E26" s="17" t="n">
        <v>-7191</v>
      </c>
      <c r="F26" s="17" t="n">
        <v>-10581</v>
      </c>
    </row>
    <row r="27">
      <c r="A27" s="20" t="inlineStr">
        <is>
          <t xml:space="preserve">  — Inventory</t>
        </is>
      </c>
      <c r="B27" s="17" t="n">
        <v>-737</v>
      </c>
      <c r="C27" s="17" t="n">
        <v>-1123</v>
      </c>
      <c r="D27" s="17" t="n">
        <v>1242</v>
      </c>
      <c r="E27" s="17" t="n">
        <v>1284</v>
      </c>
      <c r="F27" s="17" t="n">
        <v>309</v>
      </c>
    </row>
    <row r="28">
      <c r="A28" s="20" t="inlineStr">
        <is>
          <t xml:space="preserve">  — Accounts Payable</t>
        </is>
      </c>
      <c r="B28" s="17" t="n">
        <v>2798</v>
      </c>
      <c r="C28" s="17" t="n">
        <v>2943</v>
      </c>
      <c r="D28" s="17" t="n">
        <v>-2721</v>
      </c>
      <c r="E28" s="17" t="n">
        <v>3545</v>
      </c>
      <c r="F28" s="17" t="n">
        <v>569</v>
      </c>
    </row>
    <row r="29">
      <c r="A29" s="20" t="inlineStr">
        <is>
          <t xml:space="preserve">  — Other Working Capital</t>
        </is>
      </c>
      <c r="B29" s="17" t="n">
        <v>3484</v>
      </c>
      <c r="C29" s="17" t="n">
        <v>5460</v>
      </c>
      <c r="D29" s="17" t="n">
        <v>3178</v>
      </c>
      <c r="E29" s="17" t="n">
        <v>4186</v>
      </c>
      <c r="F29" s="17" t="n">
        <v>4353</v>
      </c>
    </row>
    <row r="30">
      <c r="A30" s="16" t="inlineStr">
        <is>
          <t>Other Non-Cash Items</t>
        </is>
      </c>
      <c r="B30" s="17" t="n">
        <v>-1249</v>
      </c>
      <c r="C30" s="17" t="n">
        <v>-409</v>
      </c>
      <c r="D30" s="17" t="n">
        <v>196</v>
      </c>
      <c r="E30" s="17" t="n">
        <v>305</v>
      </c>
      <c r="F30" s="17" t="n">
        <v>609</v>
      </c>
    </row>
    <row r="31">
      <c r="A31" s="25" t="inlineStr">
        <is>
          <t>Net Cash from Operations (CFO)</t>
        </is>
      </c>
      <c r="B31" s="26" t="n">
        <v>76740</v>
      </c>
      <c r="C31" s="26" t="n">
        <v>89035</v>
      </c>
      <c r="D31" s="26" t="n">
        <v>87582</v>
      </c>
      <c r="E31" s="26" t="n">
        <v>118548</v>
      </c>
      <c r="F31" s="26" t="n">
        <v>136162</v>
      </c>
    </row>
    <row r="32" ht="18" customHeight="1">
      <c r="A32" s="24" t="inlineStr">
        <is>
          <t>Investing Activities</t>
        </is>
      </c>
    </row>
    <row r="33">
      <c r="A33" s="16" t="inlineStr">
        <is>
          <t>Capital Expenditures</t>
        </is>
      </c>
      <c r="B33" s="17" t="n">
        <v>-20622</v>
      </c>
      <c r="C33" s="17" t="n">
        <v>-23886</v>
      </c>
      <c r="D33" s="17" t="n">
        <v>-28107</v>
      </c>
      <c r="E33" s="17" t="n">
        <v>-44477</v>
      </c>
      <c r="F33" s="17" t="n">
        <v>-64551</v>
      </c>
    </row>
    <row r="34">
      <c r="A34" s="20" t="inlineStr">
        <is>
          <t xml:space="preserve">  (Alt: Invest. in PP&amp;E)</t>
        </is>
      </c>
      <c r="B34" s="17" t="n">
        <v>-20622</v>
      </c>
      <c r="C34" s="17" t="n">
        <v>-23886</v>
      </c>
      <c r="D34" s="17" t="n">
        <v>-28107</v>
      </c>
      <c r="E34" s="17" t="n">
        <v>-44477</v>
      </c>
      <c r="F34" s="17" t="n">
        <v>-64551</v>
      </c>
    </row>
    <row r="35">
      <c r="A35" s="16" t="inlineStr">
        <is>
          <t>Acquisitions (Net)</t>
        </is>
      </c>
      <c r="B35" s="17" t="n">
        <v>-8909</v>
      </c>
      <c r="C35" s="17" t="n">
        <v>-22038</v>
      </c>
      <c r="D35" s="17" t="n">
        <v>-1670</v>
      </c>
      <c r="E35" s="17" t="n">
        <v>-69132</v>
      </c>
      <c r="F35" s="17" t="n">
        <v>-5978</v>
      </c>
    </row>
    <row r="36">
      <c r="A36" s="16" t="inlineStr">
        <is>
          <t>Purchases of Investments</t>
        </is>
      </c>
      <c r="B36" s="17" t="n">
        <v>-62924</v>
      </c>
      <c r="C36" s="17" t="n">
        <v>-26456</v>
      </c>
      <c r="D36" s="17" t="n">
        <v>-37651</v>
      </c>
      <c r="E36" s="17" t="n">
        <v>-17732</v>
      </c>
      <c r="F36" s="17" t="n">
        <v>-29775</v>
      </c>
    </row>
    <row r="37">
      <c r="A37" s="16" t="inlineStr">
        <is>
          <t>Sales / Maturities of Investments</t>
        </is>
      </c>
      <c r="B37" s="17" t="n">
        <v>65800</v>
      </c>
      <c r="C37" s="17" t="n">
        <v>44894</v>
      </c>
      <c r="D37" s="17" t="n">
        <v>47864</v>
      </c>
      <c r="E37" s="17" t="n">
        <v>35669</v>
      </c>
      <c r="F37" s="17" t="n">
        <v>25388</v>
      </c>
    </row>
    <row r="38">
      <c r="A38" s="16" t="inlineStr">
        <is>
          <t>Other Investing Activities</t>
        </is>
      </c>
      <c r="B38" s="17" t="n">
        <v>-922</v>
      </c>
      <c r="C38" s="17" t="n">
        <v>-2825</v>
      </c>
      <c r="D38" s="17" t="n">
        <v>-3116</v>
      </c>
      <c r="E38" s="17" t="n">
        <v>-1298</v>
      </c>
      <c r="F38" s="17" t="n">
        <v>2317</v>
      </c>
    </row>
    <row r="39">
      <c r="A39" s="25" t="inlineStr">
        <is>
          <t>Net Cash from Investing (CFI)</t>
        </is>
      </c>
      <c r="B39" s="30">
        <f>IFERROR(B33+B35+B36+B37+B38,"")</f>
        <v/>
      </c>
      <c r="C39" s="30">
        <f>IFERROR(C33+C35+C36+C37+C38,"")</f>
        <v/>
      </c>
      <c r="D39" s="30">
        <f>IFERROR(D33+D35+D36+D37+D38,"")</f>
        <v/>
      </c>
      <c r="E39" s="30">
        <f>IFERROR(E33+E35+E36+E37+E38,"")</f>
        <v/>
      </c>
      <c r="F39" s="30">
        <f>IFERROR(F33+F35+F36+F37+F38,"")</f>
        <v/>
      </c>
    </row>
    <row r="40" ht="18" customHeight="1">
      <c r="A40" s="24" t="inlineStr">
        <is>
          <t>Financing Activities</t>
        </is>
      </c>
    </row>
    <row r="41">
      <c r="A41" s="16" t="inlineStr">
        <is>
          <t>Debt Issuance (Net)</t>
        </is>
      </c>
      <c r="B41" s="17" t="n">
        <v>-3750</v>
      </c>
      <c r="C41" s="17" t="n">
        <v>-9023</v>
      </c>
      <c r="D41" s="17" t="n">
        <v>-2750</v>
      </c>
      <c r="E41" s="17" t="n">
        <v>575</v>
      </c>
      <c r="F41" s="17" t="n">
        <v>-8962</v>
      </c>
    </row>
    <row r="42">
      <c r="A42" s="16" t="inlineStr">
        <is>
          <t>Debt Repayment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Common Stock Issuance</t>
        </is>
      </c>
      <c r="B43" s="17" t="n">
        <v>1693</v>
      </c>
      <c r="C43" s="17" t="n">
        <v>1841</v>
      </c>
      <c r="D43" s="17" t="n">
        <v>1866</v>
      </c>
      <c r="E43" s="17" t="n">
        <v>2002</v>
      </c>
      <c r="F43" s="17" t="n">
        <v>2056</v>
      </c>
    </row>
    <row r="44">
      <c r="A44" s="16" t="inlineStr">
        <is>
          <t>Common Stock Repurchased (Buybacks)</t>
        </is>
      </c>
      <c r="B44" s="17" t="n">
        <v>-27385</v>
      </c>
      <c r="C44" s="17" t="n">
        <v>-32696</v>
      </c>
      <c r="D44" s="17" t="n">
        <v>-22245</v>
      </c>
      <c r="E44" s="17" t="n">
        <v>-17254</v>
      </c>
      <c r="F44" s="17" t="n">
        <v>-18420</v>
      </c>
    </row>
    <row r="45">
      <c r="A45" s="16" t="inlineStr">
        <is>
          <t>Dividends Paid</t>
        </is>
      </c>
      <c r="B45" s="17" t="n">
        <v>-16521</v>
      </c>
      <c r="C45" s="17" t="n">
        <v>-18135</v>
      </c>
      <c r="D45" s="17" t="n">
        <v>-19800</v>
      </c>
      <c r="E45" s="17" t="n">
        <v>-21771</v>
      </c>
      <c r="F45" s="17" t="n">
        <v>-24082</v>
      </c>
    </row>
    <row r="46">
      <c r="A46" s="16" t="inlineStr">
        <is>
          <t>Other Financing Activities</t>
        </is>
      </c>
      <c r="B46" s="17" t="n">
        <v>-2523</v>
      </c>
      <c r="C46" s="17" t="n">
        <v>-863</v>
      </c>
      <c r="D46" s="17" t="n">
        <v>-1006</v>
      </c>
      <c r="E46" s="17" t="n">
        <v>-1309</v>
      </c>
      <c r="F46" s="17" t="n">
        <v>-2291</v>
      </c>
    </row>
    <row r="47">
      <c r="A47" s="25" t="inlineStr">
        <is>
          <t>Net Cash from Financing (CFF)</t>
        </is>
      </c>
      <c r="B47" s="30">
        <f>IFERROR(B41+B42+B43+B44+B45+B46,"")</f>
        <v/>
      </c>
      <c r="C47" s="30">
        <f>IFERROR(C41+C42+C43+C44+C45+C46,"")</f>
        <v/>
      </c>
      <c r="D47" s="30">
        <f>IFERROR(D41+D42+D43+D44+D45+D46,"")</f>
        <v/>
      </c>
      <c r="E47" s="30">
        <f>IFERROR(E41+E42+E43+E44+E45+E46,"")</f>
        <v/>
      </c>
      <c r="F47" s="30">
        <f>IFERROR(F41+F42+F43+F44+F45+F46,"")</f>
        <v/>
      </c>
    </row>
    <row r="48" ht="18" customHeight="1">
      <c r="A48" s="24" t="inlineStr">
        <is>
          <t>Cash Summary</t>
        </is>
      </c>
    </row>
    <row r="49">
      <c r="A49" s="16" t="inlineStr">
        <is>
          <t>Effect of Forex on Cash</t>
        </is>
      </c>
      <c r="B49" s="17" t="n">
        <v>-29</v>
      </c>
      <c r="C49" s="17" t="n">
        <v>-141</v>
      </c>
      <c r="D49" s="17" t="n">
        <v>-194</v>
      </c>
      <c r="E49" s="17" t="n">
        <v>-210</v>
      </c>
      <c r="F49" s="17" t="n">
        <v>63</v>
      </c>
    </row>
    <row r="50">
      <c r="A50" s="14" t="inlineStr">
        <is>
          <t>Net Change in Cash</t>
        </is>
      </c>
      <c r="B50" s="15" t="n">
        <v>648</v>
      </c>
      <c r="C50" s="15" t="n">
        <v>-293</v>
      </c>
      <c r="D50" s="15" t="n">
        <v>20773</v>
      </c>
      <c r="E50" s="15" t="n">
        <v>-16389</v>
      </c>
      <c r="F50" s="15" t="n">
        <v>11927</v>
      </c>
    </row>
    <row r="51">
      <c r="A51" s="16" t="inlineStr">
        <is>
          <t>Cash at Beginning of Period</t>
        </is>
      </c>
      <c r="B51" s="17" t="n">
        <v>13576</v>
      </c>
      <c r="C51" s="17" t="n">
        <v>14224</v>
      </c>
      <c r="D51" s="17" t="n">
        <v>13931</v>
      </c>
      <c r="E51" s="17" t="n">
        <v>34704</v>
      </c>
      <c r="F51" s="17" t="n">
        <v>18315</v>
      </c>
    </row>
    <row r="52">
      <c r="A52" s="25" t="inlineStr">
        <is>
          <t>Cash at End of Period</t>
        </is>
      </c>
      <c r="B52" s="26" t="n">
        <v>14224</v>
      </c>
      <c r="C52" s="26" t="n">
        <v>13931</v>
      </c>
      <c r="D52" s="26" t="n">
        <v>34704</v>
      </c>
      <c r="E52" s="26" t="n">
        <v>18315</v>
      </c>
      <c r="F52" s="26" t="n">
        <v>30242</v>
      </c>
    </row>
    <row r="53">
      <c r="A53" s="25" t="inlineStr">
        <is>
          <t>Free Cash Flow</t>
        </is>
      </c>
      <c r="B53" s="26" t="n">
        <v>56118</v>
      </c>
      <c r="C53" s="26" t="n">
        <v>65149</v>
      </c>
      <c r="D53" s="26" t="n">
        <v>59475</v>
      </c>
      <c r="E53" s="26" t="n">
        <v>74071</v>
      </c>
      <c r="F53" s="26" t="n">
        <v>71611</v>
      </c>
    </row>
    <row r="54">
      <c r="A54" s="16" t="inlineStr">
        <is>
          <t>Operating Cash Flow per Share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Free Cash Flow per Share</t>
        </is>
      </c>
      <c r="B55" s="17" t="n"/>
      <c r="C55" s="17" t="n"/>
      <c r="D55" s="17" t="n"/>
      <c r="E55" s="17" t="n"/>
      <c r="F55" s="17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MSFT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UNLEVERED FREE CASH FLOW (UFCF) — STEP-BY-STEP BRIDGE</t>
        </is>
      </c>
    </row>
    <row r="5" ht="18" customHeight="1">
      <c r="A5" s="33" t="inlineStr">
        <is>
          <t>Note: UFCF = NOPAT + D&amp;A − ΔNWC − Capex  |  Used as input to DCF (unlevered / WACC-based)</t>
        </is>
      </c>
    </row>
    <row r="6">
      <c r="A6" s="14" t="inlineStr">
        <is>
          <t>EBIT (Operating Income)</t>
        </is>
      </c>
      <c r="B6" s="31">
        <f>'P&amp;L'!B15</f>
        <v/>
      </c>
      <c r="C6" s="31">
        <f>'P&amp;L'!C15</f>
        <v/>
      </c>
      <c r="D6" s="31">
        <f>'P&amp;L'!D15</f>
        <v/>
      </c>
      <c r="E6" s="31">
        <f>'P&amp;L'!E15</f>
        <v/>
      </c>
      <c r="F6" s="31">
        <f>'P&amp;L'!F15</f>
        <v/>
      </c>
    </row>
    <row r="7">
      <c r="A7" s="20" t="inlineStr">
        <is>
          <t xml:space="preserve">  (−) Taxes on EBIT  [EBIT × Eff. Tax Rate]</t>
        </is>
      </c>
      <c r="B7" s="22">
        <f>IFERROR(-B6*('P&amp;L'!B22/'P&amp;L'!B21),0)</f>
        <v/>
      </c>
      <c r="C7" s="22">
        <f>IFERROR(-C6*('P&amp;L'!C22/'P&amp;L'!C21),0)</f>
        <v/>
      </c>
      <c r="D7" s="22">
        <f>IFERROR(-D6*('P&amp;L'!D22/'P&amp;L'!D21),0)</f>
        <v/>
      </c>
      <c r="E7" s="22">
        <f>IFERROR(-E6*('P&amp;L'!E22/'P&amp;L'!E21),0)</f>
        <v/>
      </c>
      <c r="F7" s="22">
        <f>IFERROR(-F6*('P&amp;L'!F22/'P&amp;L'!F21),0)</f>
        <v/>
      </c>
    </row>
    <row r="8">
      <c r="A8" s="18" t="inlineStr">
        <is>
          <t>NOPAT  (Net Operating Profit After Tax)</t>
        </is>
      </c>
      <c r="B8" s="19">
        <f>B6+B7</f>
        <v/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</row>
    <row r="9">
      <c r="A9" s="20" t="inlineStr">
        <is>
          <t xml:space="preserve">  (+) Depreciation &amp; Amortisation</t>
        </is>
      </c>
      <c r="B9" s="22">
        <f>'P&amp;L'!B14</f>
        <v/>
      </c>
      <c r="C9" s="22">
        <f>'P&amp;L'!C14</f>
        <v/>
      </c>
      <c r="D9" s="22">
        <f>'P&amp;L'!D14</f>
        <v/>
      </c>
      <c r="E9" s="22">
        <f>'P&amp;L'!E14</f>
        <v/>
      </c>
      <c r="F9" s="22">
        <f>'P&amp;L'!F14</f>
        <v/>
      </c>
    </row>
    <row r="10">
      <c r="A10" s="34" t="inlineStr">
        <is>
          <t xml:space="preserve">  = EBITDA (cross-check)</t>
        </is>
      </c>
      <c r="B10" s="35">
        <f>B8+B9</f>
        <v/>
      </c>
      <c r="C10" s="35">
        <f>C8+C9</f>
        <v/>
      </c>
      <c r="D10" s="35">
        <f>D8+D9</f>
        <v/>
      </c>
      <c r="E10" s="35">
        <f>E8+E9</f>
        <v/>
      </c>
      <c r="F10" s="35">
        <f>F8+F9</f>
        <v/>
      </c>
    </row>
    <row r="11">
      <c r="A11" s="20" t="inlineStr">
        <is>
          <t xml:space="preserve">  (−) Increase in Net Working Capital  [ΔRec + ΔInv − ΔAP]</t>
        </is>
      </c>
      <c r="B11" s="22">
        <f>0</f>
        <v/>
      </c>
      <c r="C11" s="22">
        <f>IFERROR(('Balance Sheet'!C6-'Balance Sheet'!B6)+('Balance Sheet'!C7-'Balance Sheet'!B7)-('Balance Sheet'!C17-'Balance Sheet'!B17),0)</f>
        <v/>
      </c>
      <c r="D11" s="22">
        <f>IFERROR(('Balance Sheet'!D6-'Balance Sheet'!C6)+('Balance Sheet'!D7-'Balance Sheet'!C7)-('Balance Sheet'!D17-'Balance Sheet'!C17),0)</f>
        <v/>
      </c>
      <c r="E11" s="22">
        <f>IFERROR(('Balance Sheet'!E6-'Balance Sheet'!D6)+('Balance Sheet'!E7-'Balance Sheet'!D7)-('Balance Sheet'!E17-'Balance Sheet'!D17),0)</f>
        <v/>
      </c>
      <c r="F11" s="22">
        <f>IFERROR(('Balance Sheet'!F6-'Balance Sheet'!E6)+('Balance Sheet'!F7-'Balance Sheet'!E7)-('Balance Sheet'!F17-'Balance Sheet'!E17),0)</f>
        <v/>
      </c>
    </row>
    <row r="12">
      <c r="A12" s="20" t="inlineStr">
        <is>
          <t xml:space="preserve">  (−) Capital Expenditures</t>
        </is>
      </c>
      <c r="B12" s="22">
        <f>'Cash Flow'!B6</f>
        <v/>
      </c>
      <c r="C12" s="22">
        <f>'Cash Flow'!C6</f>
        <v/>
      </c>
      <c r="D12" s="22">
        <f>'Cash Flow'!D6</f>
        <v/>
      </c>
      <c r="E12" s="22">
        <f>'Cash Flow'!E6</f>
        <v/>
      </c>
      <c r="F12" s="22">
        <f>'Cash Flow'!F6</f>
        <v/>
      </c>
    </row>
    <row r="13">
      <c r="A13" s="18" t="inlineStr">
        <is>
          <t>UNLEVERED FREE CASH FLOW (UFCF)</t>
        </is>
      </c>
      <c r="B13" s="19">
        <f>B8+B9-B11+B12</f>
        <v/>
      </c>
      <c r="C13" s="19">
        <f>C8+C9-C11+C12</f>
        <v/>
      </c>
      <c r="D13" s="19">
        <f>D8+D9-D11+D12</f>
        <v/>
      </c>
      <c r="E13" s="19">
        <f>E8+E9-E11+E12</f>
        <v/>
      </c>
      <c r="F13" s="19">
        <f>F8+F9-F11+F12</f>
        <v/>
      </c>
    </row>
    <row r="14">
      <c r="A14" s="20" t="inlineStr">
        <is>
          <t xml:space="preserve">  UFCF Margin %</t>
        </is>
      </c>
      <c r="B14" s="21">
        <f>IFERROR(B13/'P&amp;L'!B5,"")</f>
        <v/>
      </c>
      <c r="C14" s="21">
        <f>IFERROR(C13/'P&amp;L'!C5,"")</f>
        <v/>
      </c>
      <c r="D14" s="21">
        <f>IFERROR(D13/'P&amp;L'!D5,"")</f>
        <v/>
      </c>
      <c r="E14" s="21">
        <f>IFERROR(E13/'P&amp;L'!E5,"")</f>
        <v/>
      </c>
      <c r="F14" s="21">
        <f>IFERROR(F13/'P&amp;L'!F5,"")</f>
        <v/>
      </c>
    </row>
    <row r="15" ht="6" customHeight="1"/>
    <row r="16" ht="18" customHeight="1">
      <c r="A16" s="3" t="inlineStr">
        <is>
          <t>LEVERED FREE CASH FLOW (LFCF) — STEP-BY-STEP BRIDGE</t>
        </is>
      </c>
    </row>
    <row r="17" ht="18" customHeight="1">
      <c r="A17" s="33" t="inlineStr">
        <is>
          <t>Note: LFCF = Net Income + D&amp;A − ΔNWC − Capex  |  Represents cash available to equity holders</t>
        </is>
      </c>
    </row>
    <row r="18">
      <c r="A18" s="14" t="inlineStr">
        <is>
          <t>Net Income</t>
        </is>
      </c>
      <c r="B18" s="31">
        <f>'P&amp;L'!B24</f>
        <v/>
      </c>
      <c r="C18" s="31">
        <f>'P&amp;L'!C24</f>
        <v/>
      </c>
      <c r="D18" s="31">
        <f>'P&amp;L'!D24</f>
        <v/>
      </c>
      <c r="E18" s="31">
        <f>'P&amp;L'!E24</f>
        <v/>
      </c>
      <c r="F18" s="31">
        <f>'P&amp;L'!F24</f>
        <v/>
      </c>
    </row>
    <row r="19">
      <c r="A19" s="20" t="inlineStr">
        <is>
          <t xml:space="preserve">  (+) Depreciation &amp; Amortisation</t>
        </is>
      </c>
      <c r="B19" s="22">
        <f>'P&amp;L'!B14</f>
        <v/>
      </c>
      <c r="C19" s="22">
        <f>'P&amp;L'!C14</f>
        <v/>
      </c>
      <c r="D19" s="22">
        <f>'P&amp;L'!D14</f>
        <v/>
      </c>
      <c r="E19" s="22">
        <f>'P&amp;L'!E14</f>
        <v/>
      </c>
      <c r="F19" s="22">
        <f>'P&amp;L'!F14</f>
        <v/>
      </c>
    </row>
    <row r="20">
      <c r="A20" s="20" t="inlineStr">
        <is>
          <t xml:space="preserve">  (−) Increase in Net Working Capital</t>
        </is>
      </c>
      <c r="B20" s="22">
        <f>0</f>
        <v/>
      </c>
      <c r="C20" s="22">
        <f>IFERROR(('Balance Sheet'!C6-'Balance Sheet'!B6)+('Balance Sheet'!C7-'Balance Sheet'!B7)-('Balance Sheet'!C17-'Balance Sheet'!B17),0)</f>
        <v/>
      </c>
      <c r="D20" s="22">
        <f>IFERROR(('Balance Sheet'!D6-'Balance Sheet'!C6)+('Balance Sheet'!D7-'Balance Sheet'!C7)-('Balance Sheet'!D17-'Balance Sheet'!C17),0)</f>
        <v/>
      </c>
      <c r="E20" s="22">
        <f>IFERROR(('Balance Sheet'!E6-'Balance Sheet'!D6)+('Balance Sheet'!E7-'Balance Sheet'!D7)-('Balance Sheet'!E17-'Balance Sheet'!D17),0)</f>
        <v/>
      </c>
      <c r="F20" s="22">
        <f>IFERROR(('Balance Sheet'!F6-'Balance Sheet'!E6)+('Balance Sheet'!F7-'Balance Sheet'!E7)-('Balance Sheet'!F17-'Balance Sheet'!E17),0)</f>
        <v/>
      </c>
    </row>
    <row r="21">
      <c r="A21" s="20" t="inlineStr">
        <is>
          <t xml:space="preserve">  (−) Capital Expenditures</t>
        </is>
      </c>
      <c r="B21" s="22">
        <f>'Cash Flow'!B6</f>
        <v/>
      </c>
      <c r="C21" s="22">
        <f>'Cash Flow'!C6</f>
        <v/>
      </c>
      <c r="D21" s="22">
        <f>'Cash Flow'!D6</f>
        <v/>
      </c>
      <c r="E21" s="22">
        <f>'Cash Flow'!E6</f>
        <v/>
      </c>
      <c r="F21" s="22">
        <f>'Cash Flow'!F6</f>
        <v/>
      </c>
    </row>
    <row r="22">
      <c r="A22" s="18" t="inlineStr">
        <is>
          <t>LEVERED FREE CASH FLOW (LFCF)</t>
        </is>
      </c>
      <c r="B22" s="19">
        <f>B18+B19-B20+B21</f>
        <v/>
      </c>
      <c r="C22" s="19">
        <f>C18+C19-C20+C21</f>
        <v/>
      </c>
      <c r="D22" s="19">
        <f>D18+D19-D20+D21</f>
        <v/>
      </c>
      <c r="E22" s="19">
        <f>E18+E19-E20+E21</f>
        <v/>
      </c>
      <c r="F22" s="19">
        <f>F18+F19-F20+F21</f>
        <v/>
      </c>
    </row>
    <row r="23">
      <c r="A23" s="20" t="inlineStr">
        <is>
          <t xml:space="preserve">  LFCF Margin %</t>
        </is>
      </c>
      <c r="B23" s="21">
        <f>IFERROR(B22/'P&amp;L'!B5,"")</f>
        <v/>
      </c>
      <c r="C23" s="21">
        <f>IFERROR(C22/'P&amp;L'!C5,"")</f>
        <v/>
      </c>
      <c r="D23" s="21">
        <f>IFERROR(D22/'P&amp;L'!D5,"")</f>
        <v/>
      </c>
      <c r="E23" s="21">
        <f>IFERROR(E22/'P&amp;L'!E5,"")</f>
        <v/>
      </c>
      <c r="F23" s="21">
        <f>IFERROR(F22/'P&amp;L'!F5,"")</f>
        <v/>
      </c>
    </row>
    <row r="24">
      <c r="A24" s="20" t="inlineStr">
        <is>
          <t xml:space="preserve">  FCF Conversion (LFCF / Net Income)</t>
        </is>
      </c>
      <c r="B24" s="21">
        <f>IFERROR(B22/B18,"")</f>
        <v/>
      </c>
      <c r="C24" s="21">
        <f>IFERROR(C22/C18,"")</f>
        <v/>
      </c>
      <c r="D24" s="21">
        <f>IFERROR(D22/D18,"")</f>
        <v/>
      </c>
      <c r="E24" s="21">
        <f>IFERROR(E22/E18,"")</f>
        <v/>
      </c>
      <c r="F24" s="21">
        <f>IFERROR(F22/F18,"")</f>
        <v/>
      </c>
    </row>
    <row r="25" ht="6" customHeight="1"/>
    <row r="26" ht="18" customHeight="1">
      <c r="A26" s="24" t="inlineStr">
        <is>
          <t>PROFITABILITY RATIOS</t>
        </is>
      </c>
    </row>
    <row r="27">
      <c r="A27" s="16" t="inlineStr">
        <is>
          <t>Gross Margin %</t>
        </is>
      </c>
      <c r="B27" s="21">
        <f>IFERROR('P&amp;L'!B7/'P&amp;L'!B5,"")</f>
        <v/>
      </c>
      <c r="C27" s="21">
        <f>IFERROR('P&amp;L'!C7/'P&amp;L'!C5,"")</f>
        <v/>
      </c>
      <c r="D27" s="21">
        <f>IFERROR('P&amp;L'!D7/'P&amp;L'!D5,"")</f>
        <v/>
      </c>
      <c r="E27" s="21">
        <f>IFERROR('P&amp;L'!E7/'P&amp;L'!E5,"")</f>
        <v/>
      </c>
      <c r="F27" s="21">
        <f>IFERROR('P&amp;L'!F7/'P&amp;L'!F5,"")</f>
        <v/>
      </c>
    </row>
    <row r="28">
      <c r="A28" s="16" t="inlineStr">
        <is>
          <t>EBITDA Margin %</t>
        </is>
      </c>
      <c r="B28" s="21">
        <f>IFERROR('P&amp;L'!B12/'P&amp;L'!B5,"")</f>
        <v/>
      </c>
      <c r="C28" s="21">
        <f>IFERROR('P&amp;L'!C12/'P&amp;L'!C5,"")</f>
        <v/>
      </c>
      <c r="D28" s="21">
        <f>IFERROR('P&amp;L'!D12/'P&amp;L'!D5,"")</f>
        <v/>
      </c>
      <c r="E28" s="21">
        <f>IFERROR('P&amp;L'!E12/'P&amp;L'!E5,"")</f>
        <v/>
      </c>
      <c r="F28" s="21">
        <f>IFERROR('P&amp;L'!F12/'P&amp;L'!F5,"")</f>
        <v/>
      </c>
    </row>
    <row r="29">
      <c r="A29" s="16" t="inlineStr">
        <is>
          <t>EBIT Margin %</t>
        </is>
      </c>
      <c r="B29" s="21">
        <f>IFERROR('P&amp;L'!B15/'P&amp;L'!B5,"")</f>
        <v/>
      </c>
      <c r="C29" s="21">
        <f>IFERROR('P&amp;L'!C15/'P&amp;L'!C5,"")</f>
        <v/>
      </c>
      <c r="D29" s="21">
        <f>IFERROR('P&amp;L'!D15/'P&amp;L'!D5,"")</f>
        <v/>
      </c>
      <c r="E29" s="21">
        <f>IFERROR('P&amp;L'!E15/'P&amp;L'!E5,"")</f>
        <v/>
      </c>
      <c r="F29" s="21">
        <f>IFERROR('P&amp;L'!F15/'P&amp;L'!F5,"")</f>
        <v/>
      </c>
    </row>
    <row r="30">
      <c r="A30" s="16" t="inlineStr">
        <is>
          <t>Net Margin %</t>
        </is>
      </c>
      <c r="B30" s="21">
        <f>IFERROR('P&amp;L'!B24/'P&amp;L'!B5,"")</f>
        <v/>
      </c>
      <c r="C30" s="21">
        <f>IFERROR('P&amp;L'!C24/'P&amp;L'!C5,"")</f>
        <v/>
      </c>
      <c r="D30" s="21">
        <f>IFERROR('P&amp;L'!D24/'P&amp;L'!D5,"")</f>
        <v/>
      </c>
      <c r="E30" s="21">
        <f>IFERROR('P&amp;L'!E24/'P&amp;L'!E5,"")</f>
        <v/>
      </c>
      <c r="F30" s="21">
        <f>IFERROR('P&amp;L'!F24/'P&amp;L'!F5,"")</f>
        <v/>
      </c>
    </row>
    <row r="31">
      <c r="A31" s="16" t="inlineStr">
        <is>
          <t>Return on Equity (ROE)</t>
        </is>
      </c>
      <c r="B31" s="21">
        <f>IFERROR('P&amp;L'!B24/'Balance Sheet'!B30,"")</f>
        <v/>
      </c>
      <c r="C31" s="21">
        <f>IFERROR('P&amp;L'!C24/'Balance Sheet'!C30,"")</f>
        <v/>
      </c>
      <c r="D31" s="21">
        <f>IFERROR('P&amp;L'!D24/'Balance Sheet'!D30,"")</f>
        <v/>
      </c>
      <c r="E31" s="21">
        <f>IFERROR('P&amp;L'!E24/'Balance Sheet'!E30,"")</f>
        <v/>
      </c>
      <c r="F31" s="21">
        <f>IFERROR('P&amp;L'!F24/'Balance Sheet'!F30,"")</f>
        <v/>
      </c>
    </row>
    <row r="32">
      <c r="A32" s="16" t="inlineStr">
        <is>
          <t>Return on Assets (ROA)</t>
        </is>
      </c>
      <c r="B32" s="21">
        <f>IFERROR('P&amp;L'!B24/'Balance Sheet'!B15,"")</f>
        <v/>
      </c>
      <c r="C32" s="21">
        <f>IFERROR('P&amp;L'!C24/'Balance Sheet'!C15,"")</f>
        <v/>
      </c>
      <c r="D32" s="21">
        <f>IFERROR('P&amp;L'!D24/'Balance Sheet'!D15,"")</f>
        <v/>
      </c>
      <c r="E32" s="21">
        <f>IFERROR('P&amp;L'!E24/'Balance Sheet'!E15,"")</f>
        <v/>
      </c>
      <c r="F32" s="21">
        <f>IFERROR('P&amp;L'!F24/'Balance Sheet'!F15,"")</f>
        <v/>
      </c>
    </row>
    <row r="33">
      <c r="A33" s="16" t="inlineStr">
        <is>
          <t>ROIC  [EBIT×(1−t) / (Equity + Net Debt)]</t>
        </is>
      </c>
      <c r="B33" s="21">
        <f>IFERROR(('P&amp;L'!B15*(1-'P&amp;L'!B22/'P&amp;L'!B21))/('Balance Sheet'!B30+'Balance Sheet'!B22-'Balance Sheet'!B5),"")</f>
        <v/>
      </c>
      <c r="C33" s="21">
        <f>IFERROR(('P&amp;L'!C15*(1-'P&amp;L'!C22/'P&amp;L'!C21))/('Balance Sheet'!C30+'Balance Sheet'!C22-'Balance Sheet'!C5),"")</f>
        <v/>
      </c>
      <c r="D33" s="21">
        <f>IFERROR(('P&amp;L'!D15*(1-'P&amp;L'!D22/'P&amp;L'!D21))/('Balance Sheet'!D30+'Balance Sheet'!D22-'Balance Sheet'!D5),"")</f>
        <v/>
      </c>
      <c r="E33" s="21">
        <f>IFERROR(('P&amp;L'!E15*(1-'P&amp;L'!E22/'P&amp;L'!E21))/('Balance Sheet'!E30+'Balance Sheet'!E22-'Balance Sheet'!E5),"")</f>
        <v/>
      </c>
      <c r="F33" s="21">
        <f>IFERROR(('P&amp;L'!F15*(1-'P&amp;L'!F22/'P&amp;L'!F21))/('Balance Sheet'!F30+'Balance Sheet'!F22-'Balance Sheet'!F5),"")</f>
        <v/>
      </c>
    </row>
    <row r="34" ht="6" customHeight="1"/>
    <row r="35" ht="18" customHeight="1">
      <c r="A35" s="24" t="inlineStr">
        <is>
          <t>LEVERAGE &amp; CREDIT RATIOS</t>
        </is>
      </c>
    </row>
    <row r="36">
      <c r="A36" s="16" t="inlineStr">
        <is>
          <t>Net Debt / EBITDA</t>
        </is>
      </c>
      <c r="B36" s="36">
        <f>IFERROR(('Balance Sheet'!B22-'Balance Sheet'!B5)/'P&amp;L'!B12,"")</f>
        <v/>
      </c>
      <c r="C36" s="36">
        <f>IFERROR(('Balance Sheet'!C22-'Balance Sheet'!C5)/'P&amp;L'!C12,"")</f>
        <v/>
      </c>
      <c r="D36" s="36">
        <f>IFERROR(('Balance Sheet'!D22-'Balance Sheet'!D5)/'P&amp;L'!D12,"")</f>
        <v/>
      </c>
      <c r="E36" s="36">
        <f>IFERROR(('Balance Sheet'!E22-'Balance Sheet'!E5)/'P&amp;L'!E12,"")</f>
        <v/>
      </c>
      <c r="F36" s="36">
        <f>IFERROR(('Balance Sheet'!F22-'Balance Sheet'!F5)/'P&amp;L'!F12,"")</f>
        <v/>
      </c>
    </row>
    <row r="37">
      <c r="A37" s="16" t="inlineStr">
        <is>
          <t>Total Debt / EBITDA</t>
        </is>
      </c>
      <c r="B37" s="36">
        <f>IFERROR('Balance Sheet'!B22/'P&amp;L'!B12,"")</f>
        <v/>
      </c>
      <c r="C37" s="36">
        <f>IFERROR('Balance Sheet'!C22/'P&amp;L'!C12,"")</f>
        <v/>
      </c>
      <c r="D37" s="36">
        <f>IFERROR('Balance Sheet'!D22/'P&amp;L'!D12,"")</f>
        <v/>
      </c>
      <c r="E37" s="36">
        <f>IFERROR('Balance Sheet'!E22/'P&amp;L'!E12,"")</f>
        <v/>
      </c>
      <c r="F37" s="36">
        <f>IFERROR('Balance Sheet'!F22/'P&amp;L'!F12,"")</f>
        <v/>
      </c>
    </row>
    <row r="38">
      <c r="A38" s="16" t="inlineStr">
        <is>
          <t>Interest Coverage  (EBIT / Interest Expense)</t>
        </is>
      </c>
      <c r="B38" s="36">
        <f>IFERROR('P&amp;L'!B15/ABS('P&amp;L'!B21-'P&amp;L'!B15),"")</f>
        <v/>
      </c>
      <c r="C38" s="36">
        <f>IFERROR('P&amp;L'!C15/ABS('P&amp;L'!C21-'P&amp;L'!C15),"")</f>
        <v/>
      </c>
      <c r="D38" s="36">
        <f>IFERROR('P&amp;L'!D15/ABS('P&amp;L'!D21-'P&amp;L'!D15),"")</f>
        <v/>
      </c>
      <c r="E38" s="36">
        <f>IFERROR('P&amp;L'!E15/ABS('P&amp;L'!E21-'P&amp;L'!E15),"")</f>
        <v/>
      </c>
      <c r="F38" s="36">
        <f>IFERROR('P&amp;L'!F15/ABS('P&amp;L'!F21-'P&amp;L'!F15),"")</f>
        <v/>
      </c>
    </row>
    <row r="39">
      <c r="A39" s="16" t="inlineStr">
        <is>
          <t>Debt / Equity</t>
        </is>
      </c>
      <c r="B39" s="36">
        <f>IFERROR('Balance Sheet'!B22/'Balance Sheet'!B30,"")</f>
        <v/>
      </c>
      <c r="C39" s="36">
        <f>IFERROR('Balance Sheet'!C22/'Balance Sheet'!C30,"")</f>
        <v/>
      </c>
      <c r="D39" s="36">
        <f>IFERROR('Balance Sheet'!D22/'Balance Sheet'!D30,"")</f>
        <v/>
      </c>
      <c r="E39" s="36">
        <f>IFERROR('Balance Sheet'!E22/'Balance Sheet'!E30,"")</f>
        <v/>
      </c>
      <c r="F39" s="36">
        <f>IFERROR('Balance Sheet'!F22/'Balance Sheet'!F30,"")</f>
        <v/>
      </c>
    </row>
    <row r="40">
      <c r="A40" s="16" t="inlineStr">
        <is>
          <t>Total Debt / Total Assets</t>
        </is>
      </c>
      <c r="B40" s="21">
        <f>IFERROR('Balance Sheet'!B22/'Balance Sheet'!B15,"")</f>
        <v/>
      </c>
      <c r="C40" s="21">
        <f>IFERROR('Balance Sheet'!C22/'Balance Sheet'!C15,"")</f>
        <v/>
      </c>
      <c r="D40" s="21">
        <f>IFERROR('Balance Sheet'!D22/'Balance Sheet'!D15,"")</f>
        <v/>
      </c>
      <c r="E40" s="21">
        <f>IFERROR('Balance Sheet'!E22/'Balance Sheet'!E15,"")</f>
        <v/>
      </c>
      <c r="F40" s="21">
        <f>IFERROR('Balance Sheet'!F22/'Balance Sheet'!F15,"")</f>
        <v/>
      </c>
    </row>
    <row r="41" ht="6" customHeight="1"/>
    <row r="42" ht="18" customHeight="1">
      <c r="A42" s="24" t="inlineStr">
        <is>
          <t>LIQUIDITY RATIOS</t>
        </is>
      </c>
    </row>
    <row r="43">
      <c r="A43" s="16" t="inlineStr">
        <is>
          <t>Current Ratio  (CA / CL)</t>
        </is>
      </c>
      <c r="B43" s="36">
        <f>IFERROR('Balance Sheet'!B9/'Balance Sheet'!B21,"")</f>
        <v/>
      </c>
      <c r="C43" s="36">
        <f>IFERROR('Balance Sheet'!C9/'Balance Sheet'!C21,"")</f>
        <v/>
      </c>
      <c r="D43" s="36">
        <f>IFERROR('Balance Sheet'!D9/'Balance Sheet'!D21,"")</f>
        <v/>
      </c>
      <c r="E43" s="36">
        <f>IFERROR('Balance Sheet'!E9/'Balance Sheet'!E21,"")</f>
        <v/>
      </c>
      <c r="F43" s="36">
        <f>IFERROR('Balance Sheet'!F9/'Balance Sheet'!F21,"")</f>
        <v/>
      </c>
    </row>
    <row r="44">
      <c r="A44" s="16" t="inlineStr">
        <is>
          <t>Quick Ratio  (CA − Inventory) / CL</t>
        </is>
      </c>
      <c r="B44" s="36">
        <f>IFERROR(('Balance Sheet'!B9-'Balance Sheet'!B7)/'Balance Sheet'!B21,"")</f>
        <v/>
      </c>
      <c r="C44" s="36">
        <f>IFERROR(('Balance Sheet'!C9-'Balance Sheet'!C7)/'Balance Sheet'!C21,"")</f>
        <v/>
      </c>
      <c r="D44" s="36">
        <f>IFERROR(('Balance Sheet'!D9-'Balance Sheet'!D7)/'Balance Sheet'!D21,"")</f>
        <v/>
      </c>
      <c r="E44" s="36">
        <f>IFERROR(('Balance Sheet'!E9-'Balance Sheet'!E7)/'Balance Sheet'!E21,"")</f>
        <v/>
      </c>
      <c r="F44" s="36">
        <f>IFERROR(('Balance Sheet'!F9-'Balance Sheet'!F7)/'Balance Sheet'!F21,"")</f>
        <v/>
      </c>
    </row>
    <row r="45">
      <c r="A45" s="16" t="inlineStr">
        <is>
          <t>Cash Ratio  (Cash / CL)</t>
        </is>
      </c>
      <c r="B45" s="36">
        <f>IFERROR('Balance Sheet'!B5/'Balance Sheet'!B21,"")</f>
        <v/>
      </c>
      <c r="C45" s="36">
        <f>IFERROR('Balance Sheet'!C5/'Balance Sheet'!C21,"")</f>
        <v/>
      </c>
      <c r="D45" s="36">
        <f>IFERROR('Balance Sheet'!D5/'Balance Sheet'!D21,"")</f>
        <v/>
      </c>
      <c r="E45" s="36">
        <f>IFERROR('Balance Sheet'!E5/'Balance Sheet'!E21,"")</f>
        <v/>
      </c>
      <c r="F45" s="36">
        <f>IFERROR('Balance Sheet'!F5/'Balance Sheet'!F21,"")</f>
        <v/>
      </c>
    </row>
    <row r="46" ht="6" customHeight="1"/>
    <row r="47" ht="18" customHeight="1">
      <c r="A47" s="24" t="inlineStr">
        <is>
          <t>EFFICIENCY &amp; WORKING CAPITAL</t>
        </is>
      </c>
    </row>
    <row r="48">
      <c r="A48" s="16" t="inlineStr">
        <is>
          <t>Asset Turnover  (Revenue / Assets)</t>
        </is>
      </c>
      <c r="B48" s="36">
        <f>IFERROR('P&amp;L'!B5/'Balance Sheet'!B15,"")</f>
        <v/>
      </c>
      <c r="C48" s="36">
        <f>IFERROR('P&amp;L'!C5/'Balance Sheet'!C15,"")</f>
        <v/>
      </c>
      <c r="D48" s="36">
        <f>IFERROR('P&amp;L'!D5/'Balance Sheet'!D15,"")</f>
        <v/>
      </c>
      <c r="E48" s="36">
        <f>IFERROR('P&amp;L'!E5/'Balance Sheet'!E15,"")</f>
        <v/>
      </c>
      <c r="F48" s="36">
        <f>IFERROR('P&amp;L'!F5/'Balance Sheet'!F15,"")</f>
        <v/>
      </c>
    </row>
    <row r="49">
      <c r="A49" s="16" t="inlineStr">
        <is>
          <t>Receivables Days  (Avg Rec / Rev × 365)</t>
        </is>
      </c>
      <c r="B49" s="22">
        <f>IFERROR('Balance Sheet'!B6/'P&amp;L'!B5*365,"")</f>
        <v/>
      </c>
      <c r="C49" s="22">
        <f>IFERROR(AVERAGE('Balance Sheet'!C6,'Balance Sheet'!B6)/'P&amp;L'!C5*365,"")</f>
        <v/>
      </c>
      <c r="D49" s="22">
        <f>IFERROR(AVERAGE('Balance Sheet'!D6,'Balance Sheet'!C6)/'P&amp;L'!D5*365,"")</f>
        <v/>
      </c>
      <c r="E49" s="22">
        <f>IFERROR(AVERAGE('Balance Sheet'!E6,'Balance Sheet'!D6)/'P&amp;L'!E5*365,"")</f>
        <v/>
      </c>
      <c r="F49" s="22">
        <f>IFERROR(AVERAGE('Balance Sheet'!F6,'Balance Sheet'!E6)/'P&amp;L'!F5*365,"")</f>
        <v/>
      </c>
    </row>
    <row r="50">
      <c r="A50" s="16" t="inlineStr">
        <is>
          <t>Inventory Days  (Avg Inv / COGS × 365)</t>
        </is>
      </c>
      <c r="B50" s="22">
        <f>IFERROR('Balance Sheet'!B7/'P&amp;L'!B6*365,"")</f>
        <v/>
      </c>
      <c r="C50" s="22">
        <f>IFERROR(AVERAGE('Balance Sheet'!C7,'Balance Sheet'!B7)/'P&amp;L'!C6*365,"")</f>
        <v/>
      </c>
      <c r="D50" s="22">
        <f>IFERROR(AVERAGE('Balance Sheet'!D7,'Balance Sheet'!C7)/'P&amp;L'!D6*365,"")</f>
        <v/>
      </c>
      <c r="E50" s="22">
        <f>IFERROR(AVERAGE('Balance Sheet'!E7,'Balance Sheet'!D7)/'P&amp;L'!E6*365,"")</f>
        <v/>
      </c>
      <c r="F50" s="22">
        <f>IFERROR(AVERAGE('Balance Sheet'!F7,'Balance Sheet'!E7)/'P&amp;L'!F6*365,"")</f>
        <v/>
      </c>
    </row>
    <row r="51">
      <c r="A51" s="16" t="inlineStr">
        <is>
          <t>Payables Days  (Avg AP / COGS × 365)</t>
        </is>
      </c>
      <c r="B51" s="22">
        <f>IFERROR('Balance Sheet'!B17/'P&amp;L'!B6*365,"")</f>
        <v/>
      </c>
      <c r="C51" s="22">
        <f>IFERROR(AVERAGE('Balance Sheet'!C17,'Balance Sheet'!B17)/'P&amp;L'!C6*365,"")</f>
        <v/>
      </c>
      <c r="D51" s="22">
        <f>IFERROR(AVERAGE('Balance Sheet'!D17,'Balance Sheet'!C17)/'P&amp;L'!D6*365,"")</f>
        <v/>
      </c>
      <c r="E51" s="22">
        <f>IFERROR(AVERAGE('Balance Sheet'!E17,'Balance Sheet'!D17)/'P&amp;L'!E6*365,"")</f>
        <v/>
      </c>
      <c r="F51" s="22">
        <f>IFERROR(AVERAGE('Balance Sheet'!F17,'Balance Sheet'!E17)/'P&amp;L'!F6*365,"")</f>
        <v/>
      </c>
    </row>
    <row r="52">
      <c r="A52" s="25" t="inlineStr">
        <is>
          <t>Cash Conversion Cycle  (Rec Days + Inv Days − AP Days)</t>
        </is>
      </c>
      <c r="B52" s="30">
        <f>IFERROR(B49+B50-B51,"")</f>
        <v/>
      </c>
      <c r="C52" s="30">
        <f>IFERROR(C49+C50-C51,"")</f>
        <v/>
      </c>
      <c r="D52" s="30">
        <f>IFERROR(D49+D50-D51,"")</f>
        <v/>
      </c>
      <c r="E52" s="30">
        <f>IFERROR(E49+E50-E51,"")</f>
        <v/>
      </c>
      <c r="F52" s="30">
        <f>IFERROR(F49+F50-F51,"")</f>
        <v/>
      </c>
    </row>
    <row r="53" ht="6" customHeight="1"/>
    <row r="54" ht="18" customHeight="1">
      <c r="A54" s="24" t="inlineStr">
        <is>
          <t>CASH FLOW QUALITY</t>
        </is>
      </c>
    </row>
    <row r="55">
      <c r="A55" s="16" t="inlineStr">
        <is>
          <t>FCF Margin  (FCF / Revenue)</t>
        </is>
      </c>
      <c r="B55" s="21">
        <f>IFERROR('Cash Flow'!B15/'P&amp;L'!B5,"")</f>
        <v/>
      </c>
      <c r="C55" s="21">
        <f>IFERROR('Cash Flow'!C15/'P&amp;L'!C5,"")</f>
        <v/>
      </c>
      <c r="D55" s="21">
        <f>IFERROR('Cash Flow'!D15/'P&amp;L'!D5,"")</f>
        <v/>
      </c>
      <c r="E55" s="21">
        <f>IFERROR('Cash Flow'!E15/'P&amp;L'!E5,"")</f>
        <v/>
      </c>
      <c r="F55" s="21">
        <f>IFERROR('Cash Flow'!F15/'P&amp;L'!F5,"")</f>
        <v/>
      </c>
    </row>
    <row r="56">
      <c r="A56" s="16" t="inlineStr">
        <is>
          <t>FCF Conversion  (FCF / Net Income)</t>
        </is>
      </c>
      <c r="B56" s="21">
        <f>IFERROR('Cash Flow'!B15/'P&amp;L'!B24,"")</f>
        <v/>
      </c>
      <c r="C56" s="21">
        <f>IFERROR('Cash Flow'!C15/'P&amp;L'!C24,"")</f>
        <v/>
      </c>
      <c r="D56" s="21">
        <f>IFERROR('Cash Flow'!D15/'P&amp;L'!D24,"")</f>
        <v/>
      </c>
      <c r="E56" s="21">
        <f>IFERROR('Cash Flow'!E15/'P&amp;L'!E24,"")</f>
        <v/>
      </c>
      <c r="F56" s="21">
        <f>IFERROR('Cash Flow'!F15/'P&amp;L'!F24,"")</f>
        <v/>
      </c>
    </row>
    <row r="57">
      <c r="A57" s="16" t="inlineStr">
        <is>
          <t>Capex as % of Revenue</t>
        </is>
      </c>
      <c r="B57" s="21">
        <f>IFERROR(ABS('Cash Flow'!B6)/'P&amp;L'!B5,"")</f>
        <v/>
      </c>
      <c r="C57" s="21">
        <f>IFERROR(ABS('Cash Flow'!C6)/'P&amp;L'!C5,"")</f>
        <v/>
      </c>
      <c r="D57" s="21">
        <f>IFERROR(ABS('Cash Flow'!D6)/'P&amp;L'!D5,"")</f>
        <v/>
      </c>
      <c r="E57" s="21">
        <f>IFERROR(ABS('Cash Flow'!E6)/'P&amp;L'!E5,"")</f>
        <v/>
      </c>
      <c r="F57" s="21">
        <f>IFERROR(ABS('Cash Flow'!F6)/'P&amp;L'!F5,"")</f>
        <v/>
      </c>
    </row>
    <row r="58">
      <c r="A58" s="16" t="inlineStr">
        <is>
          <t>CFO / Net Income  (Cash Quality)</t>
        </is>
      </c>
      <c r="B58" s="21">
        <f>IFERROR('Cash Flow'!B5/'P&amp;L'!B24,"")</f>
        <v/>
      </c>
      <c r="C58" s="21">
        <f>IFERROR('Cash Flow'!C5/'P&amp;L'!C24,"")</f>
        <v/>
      </c>
      <c r="D58" s="21">
        <f>IFERROR('Cash Flow'!D5/'P&amp;L'!D24,"")</f>
        <v/>
      </c>
      <c r="E58" s="21">
        <f>IFERROR('Cash Flow'!E5/'P&amp;L'!E24,"")</f>
        <v/>
      </c>
      <c r="F58" s="21">
        <f>IFERROR('Cash Flow'!F5/'P&amp;L'!F24,"")</f>
        <v/>
      </c>
    </row>
    <row r="59" ht="6" customHeight="1"/>
    <row r="60" ht="18" customHeight="1">
      <c r="A60" s="24" t="inlineStr">
        <is>
          <t>PER SHARE METRICS</t>
        </is>
      </c>
    </row>
    <row r="61">
      <c r="A61" s="16" t="inlineStr">
        <is>
          <t>Diluted Shares (mm)</t>
        </is>
      </c>
      <c r="B61" s="17" t="n">
        <v>7608</v>
      </c>
      <c r="C61" s="17" t="n">
        <v>7540</v>
      </c>
      <c r="D61" s="17" t="n">
        <v>7472</v>
      </c>
      <c r="E61" s="17" t="n">
        <v>7469</v>
      </c>
      <c r="F61" s="17" t="n">
        <v>7465</v>
      </c>
    </row>
    <row r="62">
      <c r="A62" s="16" t="inlineStr">
        <is>
          <t>FCF per Share</t>
        </is>
      </c>
      <c r="B62" s="22">
        <f>IFERROR('Cash Flow'!B15/'Ratios &amp; FCF'!B61,"")</f>
        <v/>
      </c>
      <c r="C62" s="22">
        <f>IFERROR('Cash Flow'!C15/'Ratios &amp; FCF'!C61,"")</f>
        <v/>
      </c>
      <c r="D62" s="22">
        <f>IFERROR('Cash Flow'!D15/'Ratios &amp; FCF'!D61,"")</f>
        <v/>
      </c>
      <c r="E62" s="22">
        <f>IFERROR('Cash Flow'!E15/'Ratios &amp; FCF'!E61,"")</f>
        <v/>
      </c>
      <c r="F62" s="22">
        <f>IFERROR('Cash Flow'!F15/'Ratios &amp; FCF'!F61,"")</f>
        <v/>
      </c>
    </row>
    <row r="63">
      <c r="A63" s="16" t="inlineStr">
        <is>
          <t>Book Value per Share</t>
        </is>
      </c>
      <c r="B63" s="22">
        <f>IFERROR('Balance Sheet'!B30/'Ratios &amp; FCF'!B61,"")</f>
        <v/>
      </c>
      <c r="C63" s="22">
        <f>IFERROR('Balance Sheet'!C30/'Ratios &amp; FCF'!C61,"")</f>
        <v/>
      </c>
      <c r="D63" s="22">
        <f>IFERROR('Balance Sheet'!D30/'Ratios &amp; FCF'!D61,"")</f>
        <v/>
      </c>
      <c r="E63" s="22">
        <f>IFERROR('Balance Sheet'!E30/'Ratios &amp; FCF'!E61,"")</f>
        <v/>
      </c>
      <c r="F63" s="22">
        <f>IFERROR('Balance Sheet'!F30/'Ratios &amp; FCF'!F61,"")</f>
        <v/>
      </c>
    </row>
    <row r="64" ht="6" customHeight="1"/>
    <row r="65" ht="18" customHeight="1">
      <c r="A65" s="37" t="inlineStr">
        <is>
          <t>MODEL CONTROLS — KEY RECONCILIATION CHECKS</t>
        </is>
      </c>
    </row>
    <row r="66" ht="18" customHeight="1">
      <c r="A66" s="33" t="inlineStr">
        <is>
          <t>Zero = OK  |  Non-zero = investigate  |  Blank = FMP returned no data for that field</t>
        </is>
      </c>
    </row>
    <row r="67">
      <c r="A67" s="38" t="inlineStr">
        <is>
          <t>MASTER CHECK — ALL CONTROLS</t>
        </is>
      </c>
      <c r="B67" s="39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39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39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39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39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9" t="inlineStr">
        <is>
          <t>P&amp;L Checks</t>
        </is>
      </c>
    </row>
    <row r="70">
      <c r="A70" s="16" t="inlineStr">
        <is>
          <t>Gross Profit: (Revenue - COGS) vs Reported  [= 0]</t>
        </is>
      </c>
      <c r="B70" s="22">
        <f>IFERROR('P&amp;L'!B5-'P&amp;L'!B6-'P&amp;L'!B7,"")</f>
        <v/>
      </c>
      <c r="C70" s="22">
        <f>IFERROR('P&amp;L'!C5-'P&amp;L'!C6-'P&amp;L'!C7,"")</f>
        <v/>
      </c>
      <c r="D70" s="22">
        <f>IFERROR('P&amp;L'!D5-'P&amp;L'!D6-'P&amp;L'!D7,"")</f>
        <v/>
      </c>
      <c r="E70" s="22">
        <f>IFERROR('P&amp;L'!E5-'P&amp;L'!E6-'P&amp;L'!E7,"")</f>
        <v/>
      </c>
      <c r="F70" s="22">
        <f>IFERROR('P&amp;L'!F5-'P&amp;L'!F6-'P&amp;L'!F7,"")</f>
        <v/>
      </c>
    </row>
    <row r="71">
      <c r="A71" s="16" t="inlineStr">
        <is>
          <t>EBITDA: (EBIT + D&amp;A) vs Reported  [= 0  — formula-driven, always passes]</t>
        </is>
      </c>
      <c r="B71" s="22">
        <f>IFERROR('P&amp;L'!B15+'P&amp;L'!B14-'P&amp;L'!B12,"")</f>
        <v/>
      </c>
      <c r="C71" s="22">
        <f>IFERROR('P&amp;L'!C15+'P&amp;L'!C14-'P&amp;L'!C12,"")</f>
        <v/>
      </c>
      <c r="D71" s="22">
        <f>IFERROR('P&amp;L'!D15+'P&amp;L'!D14-'P&amp;L'!D12,"")</f>
        <v/>
      </c>
      <c r="E71" s="22">
        <f>IFERROR('P&amp;L'!E15+'P&amp;L'!E14-'P&amp;L'!E12,"")</f>
        <v/>
      </c>
      <c r="F71" s="22">
        <f>IFERROR('P&amp;L'!F15+'P&amp;L'!F14-'P&amp;L'!F12,"")</f>
        <v/>
      </c>
    </row>
    <row r="72">
      <c r="A72" s="16" t="inlineStr">
        <is>
          <t>Below-the-Line Residual: (EBT - EBIT) - Net Interest  [non-zero = Other Non-Op items, informational]</t>
        </is>
      </c>
      <c r="B72" s="22">
        <f>IFERROR(('P&amp;L'!B21-'P&amp;L'!B15)-('P&amp;L'!B18-'P&amp;L'!B17),"")</f>
        <v/>
      </c>
      <c r="C72" s="22">
        <f>IFERROR(('P&amp;L'!C21-'P&amp;L'!C15)-('P&amp;L'!C18-'P&amp;L'!C17),"")</f>
        <v/>
      </c>
      <c r="D72" s="22">
        <f>IFERROR(('P&amp;L'!D21-'P&amp;L'!D15)-('P&amp;L'!D18-'P&amp;L'!D17),"")</f>
        <v/>
      </c>
      <c r="E72" s="22">
        <f>IFERROR(('P&amp;L'!E21-'P&amp;L'!E15)-('P&amp;L'!E18-'P&amp;L'!E17),"")</f>
        <v/>
      </c>
      <c r="F72" s="22">
        <f>IFERROR(('P&amp;L'!F21-'P&amp;L'!F15)-('P&amp;L'!F18-'P&amp;L'!F17),"")</f>
        <v/>
      </c>
    </row>
    <row r="73">
      <c r="A73" s="16" t="inlineStr">
        <is>
          <t>Net Income: (EBT - Tax) vs Reported  [= 0]</t>
        </is>
      </c>
      <c r="B73" s="22">
        <f>IFERROR('P&amp;L'!B21-'P&amp;L'!B22-'P&amp;L'!B24,"")</f>
        <v/>
      </c>
      <c r="C73" s="22">
        <f>IFERROR('P&amp;L'!C21-'P&amp;L'!C22-'P&amp;L'!C24,"")</f>
        <v/>
      </c>
      <c r="D73" s="22">
        <f>IFERROR('P&amp;L'!D21-'P&amp;L'!D22-'P&amp;L'!D24,"")</f>
        <v/>
      </c>
      <c r="E73" s="22">
        <f>IFERROR('P&amp;L'!E21-'P&amp;L'!E22-'P&amp;L'!E24,"")</f>
        <v/>
      </c>
      <c r="F73" s="22">
        <f>IFERROR('P&amp;L'!F21-'P&amp;L'!F22-'P&amp;L'!F24,"")</f>
        <v/>
      </c>
    </row>
    <row r="74" ht="18" customHeight="1">
      <c r="A74" s="9" t="inlineStr">
        <is>
          <t>Balance Sheet Checks</t>
        </is>
      </c>
    </row>
    <row r="75">
      <c r="A75" s="16" t="inlineStr">
        <is>
          <t>BS Balanced: Total Assets vs (Total Liabilities + Total Equity)  [= 0]</t>
        </is>
      </c>
      <c r="B75" s="22">
        <f>IFERROR('Balance Sheet'!B15-'Balance Sheet'!B25-'Balance Sheet'!B30,"")</f>
        <v/>
      </c>
      <c r="C75" s="22">
        <f>IFERROR('Balance Sheet'!C15-'Balance Sheet'!C25-'Balance Sheet'!C30,"")</f>
        <v/>
      </c>
      <c r="D75" s="22">
        <f>IFERROR('Balance Sheet'!D15-'Balance Sheet'!D25-'Balance Sheet'!D30,"")</f>
        <v/>
      </c>
      <c r="E75" s="22">
        <f>IFERROR('Balance Sheet'!E15-'Balance Sheet'!E25-'Balance Sheet'!E30,"")</f>
        <v/>
      </c>
      <c r="F75" s="22">
        <f>IFERROR('Balance Sheet'!F15-'Balance Sheet'!F25-'Balance Sheet'!F30,"")</f>
        <v/>
      </c>
    </row>
    <row r="76">
      <c r="A76" s="16" t="inlineStr">
        <is>
          <t>Assets: (Total CA + Total LT Assets) vs Total Assets  [= 0]</t>
        </is>
      </c>
      <c r="B76" s="22">
        <f>IFERROR('Balance Sheet'!B9+('Balance Sheet'!B14)-'Balance Sheet'!B15,"")</f>
        <v/>
      </c>
      <c r="C76" s="22">
        <f>IFERROR('Balance Sheet'!C9+('Balance Sheet'!C14)-'Balance Sheet'!C15,"")</f>
        <v/>
      </c>
      <c r="D76" s="22">
        <f>IFERROR('Balance Sheet'!D9+('Balance Sheet'!D14)-'Balance Sheet'!D15,"")</f>
        <v/>
      </c>
      <c r="E76" s="22">
        <f>IFERROR('Balance Sheet'!E9+('Balance Sheet'!E14)-'Balance Sheet'!E15,"")</f>
        <v/>
      </c>
      <c r="F76" s="22">
        <f>IFERROR('Balance Sheet'!F9+('Balance Sheet'!F14)-'Balance Sheet'!F15,"")</f>
        <v/>
      </c>
    </row>
    <row r="77" ht="18" customHeight="1">
      <c r="A77" s="9" t="inlineStr">
        <is>
          <t>Cash Flow Checks</t>
        </is>
      </c>
    </row>
    <row r="78">
      <c r="A78" s="16" t="inlineStr">
        <is>
          <t>Cash Change: CFO + CFI + CFF vs Reported Net Change  [= 0]</t>
        </is>
      </c>
      <c r="B78" s="22">
        <f>IFERROR('Cash Flow'!B5+'Cash Flow'!B7+'Cash Flow'!B13-'Cash Flow'!B50,"")</f>
        <v/>
      </c>
      <c r="C78" s="22">
        <f>IFERROR('Cash Flow'!C5+'Cash Flow'!C7+'Cash Flow'!C13-'Cash Flow'!C50,"")</f>
        <v/>
      </c>
      <c r="D78" s="22">
        <f>IFERROR('Cash Flow'!D5+'Cash Flow'!D7+'Cash Flow'!D13-'Cash Flow'!D50,"")</f>
        <v/>
      </c>
      <c r="E78" s="22">
        <f>IFERROR('Cash Flow'!E5+'Cash Flow'!E7+'Cash Flow'!E13-'Cash Flow'!E50,"")</f>
        <v/>
      </c>
      <c r="F78" s="22">
        <f>IFERROR('Cash Flow'!F5+'Cash Flow'!F7+'Cash Flow'!F13-'Cash Flow'!F50,"")</f>
        <v/>
      </c>
    </row>
    <row r="79">
      <c r="A79" s="16" t="inlineStr">
        <is>
          <t>FCF: (CFO + Capex) vs Reported FCF  [= 0]</t>
        </is>
      </c>
      <c r="B79" s="22">
        <f>IFERROR('Cash Flow'!B5+'Cash Flow'!B6-'Cash Flow'!B15,"")</f>
        <v/>
      </c>
      <c r="C79" s="22">
        <f>IFERROR('Cash Flow'!C5+'Cash Flow'!C6-'Cash Flow'!C15,"")</f>
        <v/>
      </c>
      <c r="D79" s="22">
        <f>IFERROR('Cash Flow'!D5+'Cash Flow'!D6-'Cash Flow'!D15,"")</f>
        <v/>
      </c>
      <c r="E79" s="22">
        <f>IFERROR('Cash Flow'!E5+'Cash Flow'!E6-'Cash Flow'!E15,"")</f>
        <v/>
      </c>
      <c r="F79" s="22">
        <f>IFERROR('Cash Flow'!F5+'Cash Flow'!F6-'Cash Flow'!F15,"")</f>
        <v/>
      </c>
    </row>
    <row r="80" ht="18" customHeight="1">
      <c r="A80" s="9" t="inlineStr">
        <is>
          <t>UFCF Bridge Check  [informational — not exact]</t>
        </is>
      </c>
    </row>
    <row r="81">
      <c r="A81" s="16" t="inlineStr">
        <is>
          <t>UFCF vs (CFO + Capex)  [difference = NWC and tax adjustments]</t>
        </is>
      </c>
      <c r="B81" s="22">
        <f>IFERROR(B13-('Cash Flow'!B5+'Cash Flow'!B6),"")</f>
        <v/>
      </c>
      <c r="C81" s="22">
        <f>IFERROR(C13-('Cash Flow'!C5+'Cash Flow'!C6),"")</f>
        <v/>
      </c>
      <c r="D81" s="22">
        <f>IFERROR(D13-('Cash Flow'!D5+'Cash Flow'!D6),"")</f>
        <v/>
      </c>
      <c r="E81" s="22">
        <f>IFERROR(E13-('Cash Flow'!E5+'Cash Flow'!E6),"")</f>
        <v/>
      </c>
      <c r="F81" s="22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MSFT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3" t="inlineStr">
        <is>
          <t>PRODUCT / BUSINESS SEGMENT REVENUE ($mm)</t>
        </is>
      </c>
    </row>
    <row r="4" ht="18" customHeight="1">
      <c r="A4" s="12" t="inlineStr">
        <is>
          <t>Fiscal Year Ending</t>
        </is>
      </c>
      <c r="B4" s="13" t="inlineStr">
        <is>
          <t>2025</t>
        </is>
      </c>
      <c r="C4" s="13" t="inlineStr">
        <is>
          <t>2024</t>
        </is>
      </c>
      <c r="D4" s="13" t="inlineStr">
        <is>
          <t>2023</t>
        </is>
      </c>
      <c r="E4" s="13" t="inlineStr">
        <is>
          <t>2022</t>
        </is>
      </c>
      <c r="F4" s="13" t="inlineStr">
        <is>
          <t>2021</t>
        </is>
      </c>
    </row>
    <row r="5">
      <c r="A5" s="16" t="inlineStr">
        <is>
          <t>data</t>
        </is>
      </c>
      <c r="B5" s="17" t="n">
        <v>7827</v>
      </c>
      <c r="C5" s="17" t="n">
        <v>4706</v>
      </c>
      <c r="D5" s="17" t="n">
        <v>5521</v>
      </c>
      <c r="E5" s="17" t="n">
        <v>6991</v>
      </c>
      <c r="F5" s="17" t="n">
        <v>6791</v>
      </c>
    </row>
    <row r="7" ht="6" customHeight="1"/>
    <row r="8" ht="18" customHeight="1">
      <c r="A8" s="3" t="inlineStr">
        <is>
          <t>GEOGRAPHIC SEGMENT REVENUE ($mm)</t>
        </is>
      </c>
    </row>
    <row r="9" ht="24" customHeight="1">
      <c r="A9" s="40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MSFT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1" t="n"/>
      <c r="B3" s="41" t="n"/>
      <c r="C3" s="41" t="n"/>
    </row>
    <row r="4" ht="18" customHeight="1">
      <c r="A4" s="24" t="inlineStr">
        <is>
          <t>CAPITAL STRUCTURE</t>
        </is>
      </c>
    </row>
    <row r="5">
      <c r="A5" s="16" t="inlineStr">
        <is>
          <t>Equity  (market capitalisation, $mm)</t>
        </is>
      </c>
      <c r="B5" s="42" t="n">
        <v>3053567.5686</v>
      </c>
      <c r="C5" s="43" t="inlineStr">
        <is>
          <t>FMP marketCap  |  price $411.22</t>
        </is>
      </c>
    </row>
    <row r="6">
      <c r="A6" s="16" t="inlineStr">
        <is>
          <t>Debt  (gross book value, $mm)</t>
        </is>
      </c>
      <c r="B6" s="42" t="n">
        <v>43151</v>
      </c>
      <c r="C6" s="43" t="inlineStr">
        <is>
          <t>FMP: shortTermDebt + longTermDebt, most recent yr-end</t>
        </is>
      </c>
    </row>
    <row r="7">
      <c r="A7" s="18" t="inlineStr">
        <is>
          <t>Total capital  (V = E + D)</t>
        </is>
      </c>
      <c r="B7" s="19">
        <f>B5+B6</f>
        <v/>
      </c>
      <c r="C7" s="44" t="inlineStr"/>
    </row>
    <row r="8">
      <c r="A8" s="16" t="inlineStr">
        <is>
          <t>Equity weight  (E / V)</t>
        </is>
      </c>
      <c r="B8" s="45">
        <f>IFERROR(B5/B7,1)</f>
        <v/>
      </c>
      <c r="C8" s="43" t="inlineStr">
        <is>
          <t>Weight applied to Re in WACC</t>
        </is>
      </c>
    </row>
    <row r="9">
      <c r="A9" s="16" t="inlineStr">
        <is>
          <t>Debt weight  (D / V)</t>
        </is>
      </c>
      <c r="B9" s="45">
        <f>IFERROR(B6/B7,0)</f>
        <v/>
      </c>
      <c r="C9" s="43" t="inlineStr">
        <is>
          <t>Weight applied to after-tax Rd in WACC</t>
        </is>
      </c>
    </row>
    <row r="10">
      <c r="A10" s="41" t="n"/>
      <c r="B10" s="41" t="n"/>
      <c r="C10" s="41" t="n"/>
    </row>
    <row r="11" ht="18" customHeight="1">
      <c r="A11" s="24" t="inlineStr">
        <is>
          <t>STEP 1 — RISK-FREE RATE</t>
        </is>
      </c>
    </row>
    <row r="12">
      <c r="A12" s="16" t="inlineStr">
        <is>
          <t>10-yr US Treasury yield  (FRED DGS10)</t>
        </is>
      </c>
      <c r="B12" s="45" t="n">
        <v>0.0426</v>
      </c>
      <c r="C12" s="43" t="inlineStr">
        <is>
          <t>FRED series DGS10  |  latest: 2026-04-14</t>
        </is>
      </c>
    </row>
    <row r="13">
      <c r="A13" s="46" t="inlineStr">
        <is>
          <t>► Selected Rf  (override if needed)</t>
        </is>
      </c>
      <c r="B13" s="47" t="n">
        <v>0.0426</v>
      </c>
      <c r="C13" s="48" t="inlineStr">
        <is>
          <t>Pre-filled with live FRED DGS10 rate</t>
        </is>
      </c>
    </row>
    <row r="14">
      <c r="A14" s="41" t="n"/>
      <c r="B14" s="41" t="n"/>
      <c r="C14" s="41" t="n"/>
    </row>
    <row r="15" ht="18" customHeight="1">
      <c r="A15" s="24" t="inlineStr">
        <is>
          <t>STEP 2 — BETA</t>
        </is>
      </c>
    </row>
    <row r="16">
      <c r="A16" s="16" t="inlineStr">
        <is>
          <t>Raw beta  (FMP — 5yr monthly vs S&amp;P 500)</t>
        </is>
      </c>
      <c r="B16" s="49" t="n">
        <v>1.107</v>
      </c>
      <c r="C16" s="43" t="inlineStr">
        <is>
          <t>FMP company profile endpoint</t>
        </is>
      </c>
    </row>
    <row r="17">
      <c r="A17" s="16" t="inlineStr">
        <is>
          <t>Blume-adjusted  (0.67 × raw + 0.33)</t>
        </is>
      </c>
      <c r="B17" s="49" t="n">
        <v>1.072</v>
      </c>
      <c r="C17" s="43" t="inlineStr">
        <is>
          <t>Mean-reversion toward market beta of 1.0</t>
        </is>
      </c>
    </row>
    <row r="18">
      <c r="A18" s="16" t="inlineStr">
        <is>
          <t>Damodaran industry unlevered  (Software - Infrastructure)</t>
        </is>
      </c>
      <c r="B18" s="49" t="n">
        <v>1.08</v>
      </c>
      <c r="C18" s="43" t="inlineStr">
        <is>
          <t>Damodaran.com — betas by industry, Jan 2025 US</t>
        </is>
      </c>
    </row>
    <row r="19">
      <c r="A19" s="16" t="inlineStr">
        <is>
          <t>Damodaran re-levered  (D/E = 0.01x,  t = 17.6%)</t>
        </is>
      </c>
      <c r="B19" s="49" t="n">
        <v>1.093</v>
      </c>
      <c r="C19" s="43">
        <f> unlevered × (1 + (1 − t) × D/E)</f>
        <v/>
      </c>
    </row>
    <row r="20">
      <c r="A20" s="16" t="inlineStr">
        <is>
          <t>Peer median beta</t>
        </is>
      </c>
      <c r="B20" s="49" t="n">
        <v>1.518</v>
      </c>
      <c r="C20" s="43" t="inlineStr">
        <is>
          <t xml:space="preserve">CRM: 1.288  |  ORCL: 1.597  |  ADBE: 1.518  |  NOW: </t>
        </is>
      </c>
    </row>
    <row r="21">
      <c r="A21" s="46" t="inlineStr">
        <is>
          <t>► Selected beta  (user override)</t>
        </is>
      </c>
      <c r="B21" s="50" t="n">
        <v>1.198</v>
      </c>
      <c r="C21" s="48" t="inlineStr">
        <is>
          <t>Default = average of 4 source(s) above — override freely</t>
        </is>
      </c>
    </row>
    <row r="22">
      <c r="A22" s="41" t="n"/>
      <c r="B22" s="41" t="n"/>
      <c r="C22" s="41" t="n"/>
    </row>
    <row r="23" ht="18" customHeight="1">
      <c r="A23" s="24" t="inlineStr">
        <is>
          <t>STEP 3 — EQUITY RISK PREMIUM  (ERP)</t>
        </is>
      </c>
    </row>
    <row r="24">
      <c r="A24" s="16" t="inlineStr">
        <is>
          <t>Damodaran implied ERP — US market (current)</t>
        </is>
      </c>
      <c r="B24" s="45" t="n">
        <v>0.0472</v>
      </c>
      <c r="C24" s="43" t="inlineStr">
        <is>
          <t>Damodaran.com implied ERP — Jan 2026</t>
        </is>
      </c>
    </row>
    <row r="25">
      <c r="A25" s="16" t="inlineStr">
        <is>
          <t>Damodaran historical avg — US 1928–2025</t>
        </is>
      </c>
      <c r="B25" s="45" t="n">
        <v>0.042</v>
      </c>
      <c r="C25" s="43" t="inlineStr">
        <is>
          <t>Arithmetic average excess return over T-bill</t>
        </is>
      </c>
    </row>
    <row r="26">
      <c r="A26" s="46" t="inlineStr">
        <is>
          <t>► Selected ERP  (user override)</t>
        </is>
      </c>
      <c r="B26" s="47" t="n">
        <v>0.0446</v>
      </c>
      <c r="C26" s="48" t="inlineStr">
        <is>
          <t>Default = average of Damodaran implied &amp; historical avg — override freely</t>
        </is>
      </c>
    </row>
    <row r="27">
      <c r="A27" s="41" t="n"/>
      <c r="B27" s="41" t="n"/>
      <c r="C27" s="41" t="n"/>
    </row>
    <row r="28" ht="18" customHeight="1">
      <c r="A28" s="24" t="inlineStr">
        <is>
          <t>STEP 4 — COST OF EQUITY  (CAPM:  Re = Rf + β × ERP)</t>
        </is>
      </c>
    </row>
    <row r="29">
      <c r="A29" s="18" t="inlineStr">
        <is>
          <t>Cost of equity  (Re)</t>
        </is>
      </c>
      <c r="B29" s="51">
        <f>B13+B21*B26</f>
        <v/>
      </c>
      <c r="C29" s="44" t="inlineStr">
        <is>
          <t>CAPM formula — references selected inputs above</t>
        </is>
      </c>
    </row>
    <row r="30">
      <c r="A30" s="41" t="n"/>
      <c r="B30" s="41" t="n"/>
      <c r="C30" s="41" t="n"/>
    </row>
    <row r="31" ht="18" customHeight="1">
      <c r="A31" s="24" t="inlineStr">
        <is>
          <t>STEP 5 — COST OF DEBT  (Pre-tax Rd)</t>
        </is>
      </c>
    </row>
    <row r="32">
      <c r="A32" s="16" t="inlineStr">
        <is>
          <t>Credit rating  (S&amp;P / Moody's)</t>
        </is>
      </c>
      <c r="B32" s="52" t="inlineStr">
        <is>
          <t>AAA</t>
        </is>
      </c>
      <c r="C32" s="43" t="inlineStr">
        <is>
          <t>User input</t>
        </is>
      </c>
    </row>
    <row r="33">
      <c r="A33" s="16" t="inlineStr">
        <is>
          <t>FRED matched yield  (rating-tier index)</t>
        </is>
      </c>
      <c r="B33" s="45" t="n">
        <v>0.0482</v>
      </c>
      <c r="C33" s="43" t="inlineStr">
        <is>
          <t>FRED BAMLC0A1CAAAEY — AAA</t>
        </is>
      </c>
    </row>
    <row r="34">
      <c r="A34" s="16" t="inlineStr">
        <is>
          <t>Interest Coverage Ratio  (EBIT / Gross Int Exp)</t>
        </is>
      </c>
      <c r="B34" s="49" t="n">
        <v>53.9</v>
      </c>
      <c r="C34" s="43" t="inlineStr">
        <is>
          <t>EBIT $128528mm  /  Int Exp $2385mm</t>
        </is>
      </c>
    </row>
    <row r="35">
      <c r="A35" s="16" t="inlineStr">
        <is>
          <t>Synthetic rating  (Damodaran ICR table)</t>
        </is>
      </c>
      <c r="B35" s="52" t="inlineStr">
        <is>
          <t>AAA</t>
        </is>
      </c>
      <c r="C35" s="43" t="inlineStr">
        <is>
          <t>ICR 53.9x  →  AAA</t>
        </is>
      </c>
    </row>
    <row r="36">
      <c r="A36" s="16" t="inlineStr">
        <is>
          <t>Synthetic Rd  (Rf + Damodaran default spread)</t>
        </is>
      </c>
      <c r="B36" s="45" t="n">
        <v>0.048</v>
      </c>
      <c r="C36" s="43" t="inlineStr">
        <is>
          <t>Rf 4.26% + spread 0.54%</t>
        </is>
      </c>
    </row>
    <row r="37">
      <c r="A37" s="16" t="inlineStr">
        <is>
          <t>Accounting Rd  (Gross int exp / Avg gross debt)</t>
        </is>
      </c>
      <c r="B37" s="45" t="n">
        <v>0.05032654223947838</v>
      </c>
      <c r="C37" s="43" t="inlineStr">
        <is>
          <t>Cross-check only — backward-looking</t>
        </is>
      </c>
    </row>
    <row r="38">
      <c r="A38" s="16" t="inlineStr">
        <is>
          <t xml:space="preserve">  Note: net interest INCOME of $262mm  (int inc $2647mm &gt; int exp $2385mm)</t>
        </is>
      </c>
      <c r="B38" s="52" t="n"/>
      <c r="C38" s="43" t="inlineStr">
        <is>
          <t>Gross Rd is the correct basis here — net figure is distorted</t>
        </is>
      </c>
    </row>
    <row r="39">
      <c r="A39" s="46" t="inlineStr">
        <is>
          <t>► Selected pre-tax Rd  (user override)</t>
        </is>
      </c>
      <c r="B39" s="47" t="n">
        <v>0.0488</v>
      </c>
      <c r="C39" s="48" t="inlineStr">
        <is>
          <t>Default = average of 3 source(s) above — override freely</t>
        </is>
      </c>
    </row>
    <row r="40">
      <c r="A40" s="41" t="n"/>
      <c r="B40" s="41" t="n"/>
      <c r="C40" s="41" t="n"/>
    </row>
    <row r="41" ht="18" customHeight="1">
      <c r="A41" s="24" t="inlineStr">
        <is>
          <t>STEP 6 — TAX RATE</t>
        </is>
      </c>
    </row>
    <row r="42">
      <c r="A42" s="16" t="inlineStr">
        <is>
          <t>Effective tax rate  (tax expense / pre-tax income)</t>
        </is>
      </c>
      <c r="B42" s="45" t="n">
        <v>0.1763</v>
      </c>
      <c r="C42" s="43" t="inlineStr">
        <is>
          <t>FMP: $21795mm  /  $123627mm</t>
        </is>
      </c>
    </row>
    <row r="43">
      <c r="A43" s="46" t="inlineStr">
        <is>
          <t>► Selected tax rate  (user override)</t>
        </is>
      </c>
      <c r="B43" s="47" t="n">
        <v>0.1763</v>
      </c>
      <c r="C43" s="48" t="inlineStr">
        <is>
          <t>Adjust to normalised / marginal rate if preferred</t>
        </is>
      </c>
    </row>
    <row r="44">
      <c r="A44" s="41" t="n"/>
      <c r="B44" s="41" t="n"/>
      <c r="C44" s="41" t="n"/>
    </row>
    <row r="45" ht="18" customHeight="1">
      <c r="A45" s="3" t="inlineStr">
        <is>
          <t>WACC OUTPUT</t>
        </is>
      </c>
    </row>
    <row r="46" ht="22" customHeight="1">
      <c r="A46" s="53" t="inlineStr">
        <is>
          <t>WACC  =  (E/V × Re)  +  (D/V × Rd × (1 − t))</t>
        </is>
      </c>
      <c r="B46" s="54">
        <f>B8*B29+B9*B39*(1-B43)</f>
        <v/>
      </c>
      <c r="C46" s="55" t="inlineStr">
        <is>
          <t>Used as discount rate in DCF tab</t>
        </is>
      </c>
    </row>
    <row r="47">
      <c r="A47" s="41" t="n"/>
      <c r="B47" s="41" t="n"/>
      <c r="C47" s="41" t="n"/>
    </row>
    <row r="48" ht="18" customHeight="1">
      <c r="A48" s="9" t="inlineStr">
        <is>
          <t>SENSITIVITY — WACC (%)  by Beta offset × ERP offset</t>
        </is>
      </c>
    </row>
    <row r="49">
      <c r="A49" s="56" t="inlineStr">
        <is>
          <t>Beta offset  \  ERP offset →</t>
        </is>
      </c>
      <c r="B49" s="56" t="inlineStr">
        <is>
          <t>-1.0%</t>
        </is>
      </c>
      <c r="C49" s="56" t="inlineStr">
        <is>
          <t>-0.5%</t>
        </is>
      </c>
      <c r="D49" s="56" t="inlineStr">
        <is>
          <t>Base ERP</t>
        </is>
      </c>
      <c r="E49" s="56" t="inlineStr">
        <is>
          <t>+0.5%</t>
        </is>
      </c>
      <c r="F49" s="56" t="inlineStr">
        <is>
          <t>+1.0%</t>
        </is>
      </c>
    </row>
    <row r="50">
      <c r="A50" s="57" t="inlineStr">
        <is>
          <t>-1.0</t>
        </is>
      </c>
      <c r="B50" s="58">
        <f>B8*(B13+(B21+(-1.0))*(B26+(-0.01)))+B9*B39*(1-B43)</f>
        <v/>
      </c>
      <c r="C50" s="58">
        <f>B8*(B13+(B21+(-1.0))*(B26+(-0.005)))+B9*B39*(1-B43)</f>
        <v/>
      </c>
      <c r="D50" s="58">
        <f>B8*(B13+(B21+(-1.0))*(B26+(0.0)))+B9*B39*(1-B43)</f>
        <v/>
      </c>
      <c r="E50" s="58">
        <f>B8*(B13+(B21+(-1.0))*(B26+(0.005)))+B9*B39*(1-B43)</f>
        <v/>
      </c>
      <c r="F50" s="58">
        <f>B8*(B13+(B21+(-1.0))*(B26+(0.01)))+B9*B39*(1-B43)</f>
        <v/>
      </c>
    </row>
    <row r="51">
      <c r="A51" s="57" t="inlineStr">
        <is>
          <t>-0.5</t>
        </is>
      </c>
      <c r="B51" s="58">
        <f>B8*(B13+(B21+(-0.5))*(B26+(-0.01)))+B9*B39*(1-B43)</f>
        <v/>
      </c>
      <c r="C51" s="58">
        <f>B8*(B13+(B21+(-0.5))*(B26+(-0.005)))+B9*B39*(1-B43)</f>
        <v/>
      </c>
      <c r="D51" s="58">
        <f>B8*(B13+(B21+(-0.5))*(B26+(0.0)))+B9*B39*(1-B43)</f>
        <v/>
      </c>
      <c r="E51" s="58">
        <f>B8*(B13+(B21+(-0.5))*(B26+(0.005)))+B9*B39*(1-B43)</f>
        <v/>
      </c>
      <c r="F51" s="58">
        <f>B8*(B13+(B21+(-0.5))*(B26+(0.01)))+B9*B39*(1-B43)</f>
        <v/>
      </c>
    </row>
    <row r="52">
      <c r="A52" s="59" t="inlineStr">
        <is>
          <t>Base β</t>
        </is>
      </c>
      <c r="B52" s="60">
        <f>B8*(B13+(B21+(0.0))*(B26+(-0.01)))+B9*B39*(1-B43)</f>
        <v/>
      </c>
      <c r="C52" s="60">
        <f>B8*(B13+(B21+(0.0))*(B26+(-0.005)))+B9*B39*(1-B43)</f>
        <v/>
      </c>
      <c r="D52" s="61">
        <f>B8*(B13+(B21+(0.0))*(B26+(0.0)))+B9*B39*(1-B43)</f>
        <v/>
      </c>
      <c r="E52" s="60">
        <f>B8*(B13+(B21+(0.0))*(B26+(0.005)))+B9*B39*(1-B43)</f>
        <v/>
      </c>
      <c r="F52" s="60">
        <f>B8*(B13+(B21+(0.0))*(B26+(0.01)))+B9*B39*(1-B43)</f>
        <v/>
      </c>
    </row>
    <row r="53">
      <c r="A53" s="57" t="inlineStr">
        <is>
          <t>+0.5</t>
        </is>
      </c>
      <c r="B53" s="58">
        <f>B8*(B13+(B21+(0.5))*(B26+(-0.01)))+B9*B39*(1-B43)</f>
        <v/>
      </c>
      <c r="C53" s="58">
        <f>B8*(B13+(B21+(0.5))*(B26+(-0.005)))+B9*B39*(1-B43)</f>
        <v/>
      </c>
      <c r="D53" s="58">
        <f>B8*(B13+(B21+(0.5))*(B26+(0.0)))+B9*B39*(1-B43)</f>
        <v/>
      </c>
      <c r="E53" s="58">
        <f>B8*(B13+(B21+(0.5))*(B26+(0.005)))+B9*B39*(1-B43)</f>
        <v/>
      </c>
      <c r="F53" s="58">
        <f>B8*(B13+(B21+(0.5))*(B26+(0.01)))+B9*B39*(1-B43)</f>
        <v/>
      </c>
    </row>
    <row r="54">
      <c r="A54" s="57" t="inlineStr">
        <is>
          <t>+1.0</t>
        </is>
      </c>
      <c r="B54" s="58">
        <f>B8*(B13+(B21+(1.0))*(B26+(-0.01)))+B9*B39*(1-B43)</f>
        <v/>
      </c>
      <c r="C54" s="58">
        <f>B8*(B13+(B21+(1.0))*(B26+(-0.005)))+B9*B39*(1-B43)</f>
        <v/>
      </c>
      <c r="D54" s="58">
        <f>B8*(B13+(B21+(1.0))*(B26+(0.0)))+B9*B39*(1-B43)</f>
        <v/>
      </c>
      <c r="E54" s="58">
        <f>B8*(B13+(B21+(1.0))*(B26+(0.005)))+B9*B39*(1-B43)</f>
        <v/>
      </c>
      <c r="F54" s="58">
        <f>B8*(B13+(B21+(1.0))*(B26+(0.01)))+B9*B39*(1-B43)</f>
        <v/>
      </c>
    </row>
  </sheetData>
  <mergeCells count="11">
    <mergeCell ref="A28:C28"/>
    <mergeCell ref="A41:C41"/>
    <mergeCell ref="A11:C11"/>
    <mergeCell ref="A1:C1"/>
    <mergeCell ref="A23:C23"/>
    <mergeCell ref="A45:C45"/>
    <mergeCell ref="A31:C31"/>
    <mergeCell ref="A15:C15"/>
    <mergeCell ref="A4:C4"/>
    <mergeCell ref="A48:C48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MSFT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2" t="inlineStr">
        <is>
          <t>Fiscal Year</t>
        </is>
      </c>
      <c r="B3" s="63" t="inlineStr">
        <is>
          <t>2021</t>
        </is>
      </c>
      <c r="C3" s="63" t="inlineStr">
        <is>
          <t>2022</t>
        </is>
      </c>
      <c r="D3" s="63" t="inlineStr">
        <is>
          <t>2023</t>
        </is>
      </c>
      <c r="E3" s="63" t="inlineStr">
        <is>
          <t>2024</t>
        </is>
      </c>
      <c r="F3" s="63" t="inlineStr">
        <is>
          <t>2025</t>
        </is>
      </c>
      <c r="G3" s="64" t="inlineStr">
        <is>
          <t>2026E</t>
        </is>
      </c>
      <c r="H3" s="64" t="inlineStr">
        <is>
          <t>2027E</t>
        </is>
      </c>
      <c r="I3" s="64" t="inlineStr">
        <is>
          <t>2028E</t>
        </is>
      </c>
      <c r="J3" s="64" t="inlineStr">
        <is>
          <t>2029E</t>
        </is>
      </c>
      <c r="K3" s="64" t="inlineStr">
        <is>
          <t>2030E</t>
        </is>
      </c>
      <c r="L3" s="65" t="inlineStr">
        <is>
          <t>Terminal</t>
        </is>
      </c>
      <c r="M3" s="62" t="inlineStr">
        <is>
          <t>Source / Notes</t>
        </is>
      </c>
    </row>
    <row r="4" ht="16" customHeight="1">
      <c r="A4" s="66" t="inlineStr">
        <is>
          <t>FMP analyst consensus: 2026E – 2030E  (5 years)   |   User estimates required from: N/AE onwards</t>
        </is>
      </c>
    </row>
    <row r="5" ht="6" customHeight="1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</row>
    <row r="6" ht="18" customHeight="1">
      <c r="A6" s="3" t="inlineStr">
        <is>
          <t>SECTION 1 — PROJECTION ASSUMPTIONS  (darker blue = FMP consensus-derived  |  lighter blue = user input)</t>
        </is>
      </c>
    </row>
    <row r="7" ht="20" customHeight="1">
      <c r="A7" s="67" t="inlineStr">
        <is>
          <t>Revenue Growth %</t>
        </is>
      </c>
      <c r="B7" s="68" t="inlineStr">
        <is>
          <t>—</t>
        </is>
      </c>
      <c r="C7" s="69" t="n">
        <v>0.1796</v>
      </c>
      <c r="D7" s="69" t="n">
        <v>0.0688</v>
      </c>
      <c r="E7" s="69" t="n">
        <v>0.1567</v>
      </c>
      <c r="F7" s="69" t="n">
        <v>0.1493</v>
      </c>
      <c r="G7" s="70" t="n">
        <v>0.1627</v>
      </c>
      <c r="H7" s="70" t="n">
        <v>0.1537</v>
      </c>
      <c r="I7" s="70" t="n">
        <v>0.1634</v>
      </c>
      <c r="J7" s="70" t="n">
        <v>0.18</v>
      </c>
      <c r="K7" s="70" t="n">
        <v>0.2408</v>
      </c>
      <c r="L7" s="71" t="n">
        <v>0.03</v>
      </c>
      <c r="M7" s="72" t="inlineStr">
        <is>
          <t>FMP consensus years: implied growth rate back-calculated from analyst revenue estimates.  User input years: edit freely.  Terminal = long-run growth rate (typically 2-4%).</t>
        </is>
      </c>
    </row>
    <row r="8" ht="20" customHeight="1">
      <c r="A8" s="67" t="inlineStr">
        <is>
          <t>EBITDA Margin %</t>
        </is>
      </c>
      <c r="B8" s="69" t="n">
        <v>0.5065</v>
      </c>
      <c r="C8" s="69" t="n">
        <v>0.5056</v>
      </c>
      <c r="D8" s="69" t="n">
        <v>0.4961</v>
      </c>
      <c r="E8" s="69" t="n">
        <v>0.5426</v>
      </c>
      <c r="F8" s="69" t="n">
        <v>0.5685</v>
      </c>
      <c r="G8" s="70" t="n">
        <v>0.5239</v>
      </c>
      <c r="H8" s="70" t="n">
        <v>0.5239</v>
      </c>
      <c r="I8" s="70" t="n">
        <v>0.5239</v>
      </c>
      <c r="J8" s="70" t="n">
        <v>0.5239</v>
      </c>
      <c r="K8" s="70" t="n">
        <v>0.5239</v>
      </c>
      <c r="L8" s="71" t="n">
        <v>0.5685</v>
      </c>
      <c r="M8" s="72" t="inlineStr">
        <is>
          <t>FMP consensus years: margin back-calculated from analyst EBITDA / Revenue.  Terminal: enter your long-run normalised EBITDA margin.</t>
        </is>
      </c>
    </row>
    <row r="9" ht="20" customHeight="1">
      <c r="A9" s="67" t="inlineStr">
        <is>
          <t>D&amp;A as % of Revenue  (user input — FMP does not estimate)</t>
        </is>
      </c>
      <c r="B9" s="69" t="n">
        <v>0.06950000000000001</v>
      </c>
      <c r="C9" s="69" t="n">
        <v>0.07290000000000001</v>
      </c>
      <c r="D9" s="69" t="n">
        <v>0.0654</v>
      </c>
      <c r="E9" s="69" t="n">
        <v>0.09089999999999999</v>
      </c>
      <c r="F9" s="69" t="n">
        <v>0.1212</v>
      </c>
      <c r="G9" s="73" t="n">
        <v>0.1212</v>
      </c>
      <c r="H9" s="73" t="n">
        <v>0.1212</v>
      </c>
      <c r="I9" s="73" t="n">
        <v>0.1212</v>
      </c>
      <c r="J9" s="73" t="n">
        <v>0.1212</v>
      </c>
      <c r="K9" s="73" t="n">
        <v>0.1212</v>
      </c>
      <c r="L9" s="71" t="n">
        <v>0.1212</v>
      </c>
      <c r="M9" s="72" t="inlineStr">
        <is>
          <t>Historical from 3-statement model.  FMP provides no forward D&amp;A estimate — enter your own.</t>
        </is>
      </c>
    </row>
    <row r="10" ht="20" customHeight="1">
      <c r="A10" s="67" t="inlineStr">
        <is>
          <t>CapEx as % of Revenue  (user input)</t>
        </is>
      </c>
      <c r="B10" s="69" t="n">
        <v>0.1227</v>
      </c>
      <c r="C10" s="69" t="n">
        <v>0.1205</v>
      </c>
      <c r="D10" s="69" t="n">
        <v>0.1326</v>
      </c>
      <c r="E10" s="69" t="n">
        <v>0.1814</v>
      </c>
      <c r="F10" s="69" t="n">
        <v>0.2291</v>
      </c>
      <c r="G10" s="73" t="n">
        <v>0.2291</v>
      </c>
      <c r="H10" s="73" t="n">
        <v>0.2291</v>
      </c>
      <c r="I10" s="73" t="n">
        <v>0.2291</v>
      </c>
      <c r="J10" s="73" t="n">
        <v>0.2291</v>
      </c>
      <c r="K10" s="73" t="n">
        <v>0.2291</v>
      </c>
      <c r="L10" s="71" t="n">
        <v>0.2291</v>
      </c>
      <c r="M10" s="72" t="inlineStr">
        <is>
          <t>Historical from cash flow statement.  Adjust for known capex programmes.</t>
        </is>
      </c>
    </row>
    <row r="11" ht="20" customHeight="1">
      <c r="A11" s="67" t="inlineStr">
        <is>
          <t>Change in NWC as % of Revenue  (user input)</t>
        </is>
      </c>
      <c r="B11" s="69" t="n">
        <v>0.01</v>
      </c>
      <c r="C11" s="69" t="n">
        <v>0.01</v>
      </c>
      <c r="D11" s="69" t="n">
        <v>0.01</v>
      </c>
      <c r="E11" s="69" t="n">
        <v>0.01</v>
      </c>
      <c r="F11" s="69" t="n">
        <v>0.01</v>
      </c>
      <c r="G11" s="73" t="n">
        <v>0.01</v>
      </c>
      <c r="H11" s="73" t="n">
        <v>0.01</v>
      </c>
      <c r="I11" s="73" t="n">
        <v>0.01</v>
      </c>
      <c r="J11" s="73" t="n">
        <v>0.01</v>
      </c>
      <c r="K11" s="73" t="n">
        <v>0.01</v>
      </c>
      <c r="L11" s="71" t="n">
        <v>0.01</v>
      </c>
      <c r="M11" s="72" t="inlineStr">
        <is>
          <t>Cross-ref historical NWC change from Ratios &amp; FCF tab.</t>
        </is>
      </c>
    </row>
    <row r="12" ht="20" customHeight="1">
      <c r="A12" s="67" t="inlineStr">
        <is>
          <t>Effective Tax Rate  (user input — adjust to normalised if needed)</t>
        </is>
      </c>
      <c r="B12" s="69" t="n">
        <v>0.1383</v>
      </c>
      <c r="C12" s="69" t="n">
        <v>0.1311</v>
      </c>
      <c r="D12" s="69" t="n">
        <v>0.1898</v>
      </c>
      <c r="E12" s="69" t="n">
        <v>0.1823</v>
      </c>
      <c r="F12" s="69" t="n">
        <v>0.1763</v>
      </c>
      <c r="G12" s="73" t="n">
        <v>0.1763</v>
      </c>
      <c r="H12" s="73" t="n">
        <v>0.1763</v>
      </c>
      <c r="I12" s="73" t="n">
        <v>0.1763</v>
      </c>
      <c r="J12" s="73" t="n">
        <v>0.1763</v>
      </c>
      <c r="K12" s="73" t="n">
        <v>0.1763</v>
      </c>
      <c r="L12" s="71" t="n">
        <v>0.1763</v>
      </c>
      <c r="M12" s="72" t="inlineStr">
        <is>
          <t>Historical effective rate from income statement.  Consider using statutory rate for terminal year.</t>
        </is>
      </c>
    </row>
    <row r="13" ht="6" customHeight="1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</row>
    <row r="14" ht="18" customHeight="1">
      <c r="A14" s="24" t="inlineStr">
        <is>
          <t>SECTION 2 — REVENUE &amp; EBITDA  ($mm)</t>
        </is>
      </c>
    </row>
    <row r="15" ht="20" customHeight="1">
      <c r="A15" s="74" t="inlineStr">
        <is>
          <t>Revenue</t>
        </is>
      </c>
      <c r="B15" s="75" t="n">
        <v>168088</v>
      </c>
      <c r="C15" s="75" t="n">
        <v>198270</v>
      </c>
      <c r="D15" s="75" t="n">
        <v>211915</v>
      </c>
      <c r="E15" s="75" t="n">
        <v>245122</v>
      </c>
      <c r="F15" s="75" t="n">
        <v>281724</v>
      </c>
      <c r="G15" s="76" t="n">
        <v>327567.4</v>
      </c>
      <c r="H15" s="76" t="n">
        <v>377921.3</v>
      </c>
      <c r="I15" s="76" t="n">
        <v>439678.8</v>
      </c>
      <c r="J15" s="76" t="n">
        <v>518799.4</v>
      </c>
      <c r="K15" s="76" t="n">
        <v>643734</v>
      </c>
      <c r="L15" s="77">
        <f>K15*(1+L7)</f>
        <v/>
      </c>
      <c r="M15" s="78" t="inlineStr">
        <is>
          <t>FMP consensus years: analyst revenue average ($mm).  Range: Low–High shown below.  User years: prior × (1+growth).</t>
        </is>
      </c>
    </row>
    <row r="16" ht="20" customHeight="1">
      <c r="A16" s="79" t="inlineStr">
        <is>
          <t xml:space="preserve">  Analyst Range:  Low — High  ($mm)</t>
        </is>
      </c>
      <c r="G16" s="80" t="inlineStr">
        <is>
          <t>324,525 — 329,669</t>
        </is>
      </c>
      <c r="H16" s="80" t="inlineStr">
        <is>
          <t>362,762 — 385,249</t>
        </is>
      </c>
      <c r="I16" s="80" t="inlineStr">
        <is>
          <t>438,859 — 440,499</t>
        </is>
      </c>
      <c r="J16" s="80" t="inlineStr">
        <is>
          <t>499,276 — 531,966</t>
        </is>
      </c>
      <c r="K16" s="80" t="inlineStr">
        <is>
          <t>619,509 — 660,071</t>
        </is>
      </c>
      <c r="L16" s="81" t="inlineStr">
        <is>
          <t>—</t>
        </is>
      </c>
      <c r="M16" s="78" t="inlineStr">
        <is>
          <t>Sell-side analyst low / high revenue estimates for consensus years</t>
        </is>
      </c>
    </row>
    <row r="17" ht="20" customHeight="1">
      <c r="A17" s="79" t="inlineStr">
        <is>
          <t xml:space="preserve">  Number of Analysts</t>
        </is>
      </c>
      <c r="G17" s="82" t="n">
        <v>38</v>
      </c>
      <c r="H17" s="82" t="n">
        <v>41</v>
      </c>
      <c r="I17" s="82" t="n">
        <v>32</v>
      </c>
      <c r="J17" s="82" t="n">
        <v>16</v>
      </c>
      <c r="K17" s="82" t="n">
        <v>22</v>
      </c>
      <c r="L17" s="81" t="inlineStr">
        <is>
          <t>—</t>
        </is>
      </c>
      <c r="M17" s="78" t="inlineStr">
        <is>
          <t>Red &lt; 5 analysts — treat estimate with caution.  Orange &lt; 10.</t>
        </is>
      </c>
    </row>
    <row r="18" ht="20" customHeight="1">
      <c r="A18" s="79" t="inlineStr">
        <is>
          <t xml:space="preserve">  YoY Revenue Growth %</t>
        </is>
      </c>
      <c r="B18" s="83" t="inlineStr">
        <is>
          <t>—</t>
        </is>
      </c>
      <c r="C18" s="84">
        <f>IFERROR(C15/B15-1,"")</f>
        <v/>
      </c>
      <c r="D18" s="84">
        <f>IFERROR(D15/C15-1,"")</f>
        <v/>
      </c>
      <c r="E18" s="84">
        <f>IFERROR(E15/D15-1,"")</f>
        <v/>
      </c>
      <c r="F18" s="84">
        <f>IFERROR(F15/E15-1,"")</f>
        <v/>
      </c>
      <c r="G18" s="85">
        <f>IFERROR(G15/F15-1,"")</f>
        <v/>
      </c>
      <c r="H18" s="85">
        <f>IFERROR(H15/G15-1,"")</f>
        <v/>
      </c>
      <c r="I18" s="85">
        <f>IFERROR(I15/H15-1,"")</f>
        <v/>
      </c>
      <c r="J18" s="85">
        <f>IFERROR(J15/I15-1,"")</f>
        <v/>
      </c>
      <c r="K18" s="85">
        <f>IFERROR(K15/J15-1,"")</f>
        <v/>
      </c>
      <c r="L18" s="86">
        <f>L7</f>
        <v/>
      </c>
      <c r="M18" s="78">
        <f> this year / prior year − 1  (formula cross-check on assumptions)</f>
        <v/>
      </c>
    </row>
    <row r="19" ht="6" customHeight="1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</row>
    <row r="20" ht="20" customHeight="1">
      <c r="A20" s="74" t="inlineStr">
        <is>
          <t>EBITDA</t>
        </is>
      </c>
      <c r="B20" s="75" t="n">
        <v>85134</v>
      </c>
      <c r="C20" s="75" t="n">
        <v>100239</v>
      </c>
      <c r="D20" s="75" t="n">
        <v>105140</v>
      </c>
      <c r="E20" s="75" t="n">
        <v>133009</v>
      </c>
      <c r="F20" s="75" t="n">
        <v>160165</v>
      </c>
      <c r="G20" s="76" t="n">
        <v>171601.8</v>
      </c>
      <c r="H20" s="76" t="n">
        <v>197980.6</v>
      </c>
      <c r="I20" s="76" t="n">
        <v>230333.3</v>
      </c>
      <c r="J20" s="76" t="n">
        <v>271782</v>
      </c>
      <c r="K20" s="76" t="n">
        <v>337231.2</v>
      </c>
      <c r="L20" s="77">
        <f>L15*L8</f>
        <v/>
      </c>
      <c r="M20" s="78" t="inlineStr">
        <is>
          <t>FMP consensus years: analyst EBITDA average.  User years: Revenue × EBITDA margin assumption.</t>
        </is>
      </c>
    </row>
    <row r="21" ht="20" customHeight="1">
      <c r="A21" s="79" t="inlineStr">
        <is>
          <t xml:space="preserve">  Analyst Range:  Low — High  ($mm)</t>
        </is>
      </c>
      <c r="G21" s="80" t="inlineStr">
        <is>
          <t>170,008 — 172,703</t>
        </is>
      </c>
      <c r="H21" s="80" t="inlineStr">
        <is>
          <t>190,039 — 201,819</t>
        </is>
      </c>
      <c r="I21" s="80" t="inlineStr">
        <is>
          <t>229,904 — 230,763</t>
        </is>
      </c>
      <c r="J21" s="80" t="inlineStr">
        <is>
          <t>261,554 — 278,680</t>
        </is>
      </c>
      <c r="K21" s="80" t="inlineStr">
        <is>
          <t>324,541 — 345,790</t>
        </is>
      </c>
      <c r="L21" s="81" t="inlineStr">
        <is>
          <t>—</t>
        </is>
      </c>
      <c r="M21" s="78" t="inlineStr">
        <is>
          <t>Sell-side analyst low / high EBITDA estimates for consensus years</t>
        </is>
      </c>
    </row>
    <row r="22" ht="20" customHeight="1">
      <c r="A22" s="79" t="inlineStr">
        <is>
          <t xml:space="preserve">  EBITDA Margin %</t>
        </is>
      </c>
      <c r="B22" s="84">
        <f>IFERROR(B20/B15,"")</f>
        <v/>
      </c>
      <c r="C22" s="84">
        <f>IFERROR(C20/C15,"")</f>
        <v/>
      </c>
      <c r="D22" s="84">
        <f>IFERROR(D20/D15,"")</f>
        <v/>
      </c>
      <c r="E22" s="84">
        <f>IFERROR(E20/E15,"")</f>
        <v/>
      </c>
      <c r="F22" s="84">
        <f>IFERROR(F20/F15,"")</f>
        <v/>
      </c>
      <c r="G22" s="85">
        <f>IFERROR(G20/G15,"")</f>
        <v/>
      </c>
      <c r="H22" s="85">
        <f>IFERROR(H20/H15,"")</f>
        <v/>
      </c>
      <c r="I22" s="85">
        <f>IFERROR(I20/I15,"")</f>
        <v/>
      </c>
      <c r="J22" s="85">
        <f>IFERROR(J20/J15,"")</f>
        <v/>
      </c>
      <c r="K22" s="85">
        <f>IFERROR(K20/K15,"")</f>
        <v/>
      </c>
      <c r="L22" s="86">
        <f>IFERROR(L20/L15,"")</f>
        <v/>
      </c>
      <c r="M22" s="78">
        <f> EBITDA / Revenue  (formula — cross-check on margin assumption)</f>
        <v/>
      </c>
    </row>
    <row r="23" ht="6" customHeight="1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</row>
    <row r="24" ht="18" customHeight="1">
      <c r="A24" s="24" t="inlineStr">
        <is>
          <t>SECTION 3 — UNLEVERED FREE CASH FLOW BUILD  ($mm)</t>
        </is>
      </c>
    </row>
    <row r="25" ht="20" customHeight="1">
      <c r="A25" s="87" t="inlineStr">
        <is>
          <t xml:space="preserve">  Less: D&amp;A</t>
        </is>
      </c>
      <c r="B25" s="75" t="n">
        <v>-11686</v>
      </c>
      <c r="C25" s="75" t="n">
        <v>-14460</v>
      </c>
      <c r="D25" s="75" t="n">
        <v>-13861</v>
      </c>
      <c r="E25" s="75" t="n">
        <v>-22287</v>
      </c>
      <c r="F25" s="75" t="n">
        <v>-34153</v>
      </c>
      <c r="G25" s="88">
        <f>-G15*G9</f>
        <v/>
      </c>
      <c r="H25" s="88">
        <f>-H15*H9</f>
        <v/>
      </c>
      <c r="I25" s="88">
        <f>-I15*I9</f>
        <v/>
      </c>
      <c r="J25" s="88">
        <f>-J15*J9</f>
        <v/>
      </c>
      <c r="K25" s="88">
        <f>-K15*K9</f>
        <v/>
      </c>
      <c r="L25" s="77">
        <f>-L15*L9</f>
        <v/>
      </c>
      <c r="M25" s="78">
        <f> Revenue × D&amp;A % assumption  (negative = P&amp;L charge)</f>
        <v/>
      </c>
    </row>
    <row r="26" ht="20" customHeight="1">
      <c r="A26" s="62" t="inlineStr">
        <is>
          <t>EBIT  (Operating Profit)</t>
        </is>
      </c>
      <c r="B26" s="89" t="n">
        <v>73448</v>
      </c>
      <c r="C26" s="89" t="n">
        <v>85779</v>
      </c>
      <c r="D26" s="89" t="n">
        <v>91279</v>
      </c>
      <c r="E26" s="89" t="n">
        <v>110722</v>
      </c>
      <c r="F26" s="89" t="n">
        <v>126012</v>
      </c>
      <c r="G26" s="90">
        <f>G20+G25</f>
        <v/>
      </c>
      <c r="H26" s="90">
        <f>H20+H25</f>
        <v/>
      </c>
      <c r="I26" s="90">
        <f>I20+I25</f>
        <v/>
      </c>
      <c r="J26" s="90">
        <f>J20+J25</f>
        <v/>
      </c>
      <c r="K26" s="90">
        <f>K20+K25</f>
        <v/>
      </c>
      <c r="L26" s="90">
        <f>L20+L25</f>
        <v/>
      </c>
      <c r="M26" s="78">
        <f> EBITDA + D&amp;A  (GAAP operating income, EBIT)</f>
        <v/>
      </c>
    </row>
    <row r="27" ht="20" customHeight="1">
      <c r="A27" s="87" t="inlineStr">
        <is>
          <t xml:space="preserve">  Less: Tax on EBIT  (unlevered)</t>
        </is>
      </c>
      <c r="B27" s="91" t="n">
        <v>-10155.4</v>
      </c>
      <c r="C27" s="91" t="n">
        <v>-11248.5</v>
      </c>
      <c r="D27" s="91" t="n">
        <v>-17323.5</v>
      </c>
      <c r="E27" s="91" t="n">
        <v>-20186.1</v>
      </c>
      <c r="F27" s="91" t="n">
        <v>-22215.5</v>
      </c>
      <c r="G27" s="92">
        <f>-G26*G12</f>
        <v/>
      </c>
      <c r="H27" s="92">
        <f>-H26*H12</f>
        <v/>
      </c>
      <c r="I27" s="92">
        <f>-I26*I12</f>
        <v/>
      </c>
      <c r="J27" s="92">
        <f>-J26*J12</f>
        <v/>
      </c>
      <c r="K27" s="92">
        <f>-K26*K12</f>
        <v/>
      </c>
      <c r="L27" s="92">
        <f>-L26*L12</f>
        <v/>
      </c>
      <c r="M27" s="78">
        <f> EBIT × tax rate  (no interest tax shield — UFCF is pre-debt)</f>
        <v/>
      </c>
    </row>
    <row r="28" ht="20" customHeight="1">
      <c r="A28" s="74" t="inlineStr">
        <is>
          <t>NOPAT</t>
        </is>
      </c>
      <c r="B28" s="89" t="n">
        <v>63292.6</v>
      </c>
      <c r="C28" s="89" t="n">
        <v>74530.5</v>
      </c>
      <c r="D28" s="89" t="n">
        <v>73955.5</v>
      </c>
      <c r="E28" s="89" t="n">
        <v>90535.89999999999</v>
      </c>
      <c r="F28" s="89" t="n">
        <v>103796.5</v>
      </c>
      <c r="G28" s="93">
        <f>G26+G27</f>
        <v/>
      </c>
      <c r="H28" s="93">
        <f>H26+H27</f>
        <v/>
      </c>
      <c r="I28" s="93">
        <f>I26+I27</f>
        <v/>
      </c>
      <c r="J28" s="93">
        <f>J26+J27</f>
        <v/>
      </c>
      <c r="K28" s="93">
        <f>K26+K27</f>
        <v/>
      </c>
      <c r="L28" s="93">
        <f>L26+L27</f>
        <v/>
      </c>
      <c r="M28" s="78">
        <f> EBIT × (1 − tax rate)</f>
        <v/>
      </c>
    </row>
    <row r="29" ht="20" customHeight="1">
      <c r="A29" s="87" t="inlineStr">
        <is>
          <t xml:space="preserve">  (+) D&amp;A add-back  (non-cash)</t>
        </is>
      </c>
      <c r="B29" s="91" t="n">
        <v>11686</v>
      </c>
      <c r="C29" s="91" t="n">
        <v>14460</v>
      </c>
      <c r="D29" s="91" t="n">
        <v>13861</v>
      </c>
      <c r="E29" s="91" t="n">
        <v>22287</v>
      </c>
      <c r="F29" s="91" t="n">
        <v>34153</v>
      </c>
      <c r="G29" s="92">
        <f>-G25</f>
        <v/>
      </c>
      <c r="H29" s="92">
        <f>-H25</f>
        <v/>
      </c>
      <c r="I29" s="92">
        <f>-I25</f>
        <v/>
      </c>
      <c r="J29" s="92">
        <f>-J25</f>
        <v/>
      </c>
      <c r="K29" s="92">
        <f>-K25</f>
        <v/>
      </c>
      <c r="L29" s="92">
        <f>-L25</f>
        <v/>
      </c>
      <c r="M29" s="78">
        <f> D&amp;A added back (non-cash charge — converts NOPAT to cash basis)</f>
        <v/>
      </c>
    </row>
    <row r="30" ht="20" customHeight="1">
      <c r="A30" s="87" t="inlineStr">
        <is>
          <t xml:space="preserve">  (−) Capital Expenditures</t>
        </is>
      </c>
      <c r="B30" s="75" t="n">
        <v>-20622</v>
      </c>
      <c r="C30" s="75" t="n">
        <v>-23886</v>
      </c>
      <c r="D30" s="75" t="n">
        <v>-28107</v>
      </c>
      <c r="E30" s="75" t="n">
        <v>-44477</v>
      </c>
      <c r="F30" s="75" t="n">
        <v>-64551</v>
      </c>
      <c r="G30" s="92">
        <f>-G15*G10</f>
        <v/>
      </c>
      <c r="H30" s="92">
        <f>-H15*H10</f>
        <v/>
      </c>
      <c r="I30" s="92">
        <f>-I15*I10</f>
        <v/>
      </c>
      <c r="J30" s="92">
        <f>-J15*J10</f>
        <v/>
      </c>
      <c r="K30" s="92">
        <f>-K15*K10</f>
        <v/>
      </c>
      <c r="L30" s="92">
        <f>-L15*L10</f>
        <v/>
      </c>
      <c r="M30" s="78">
        <f> Revenue × CapEx % assumption  (negative = cash outflow)</f>
        <v/>
      </c>
    </row>
    <row r="31" ht="20" customHeight="1">
      <c r="A31" s="87" t="inlineStr">
        <is>
          <t xml:space="preserve">  (−) Increase in Net Working Capital</t>
        </is>
      </c>
      <c r="B31" s="91" t="n"/>
      <c r="C31" s="91" t="n"/>
      <c r="D31" s="91" t="n"/>
      <c r="E31" s="91" t="n"/>
      <c r="F31" s="91" t="n"/>
      <c r="G31" s="92">
        <f>-G15*G11</f>
        <v/>
      </c>
      <c r="H31" s="92">
        <f>-H15*H11</f>
        <v/>
      </c>
      <c r="I31" s="92">
        <f>-I15*I11</f>
        <v/>
      </c>
      <c r="J31" s="92">
        <f>-J15*J11</f>
        <v/>
      </c>
      <c r="K31" s="92">
        <f>-K15*K11</f>
        <v/>
      </c>
      <c r="L31" s="92">
        <f>-L15*L11</f>
        <v/>
      </c>
      <c r="M31" s="78">
        <f> Revenue × NWC % (positive revenue growth ties up cash in working capital)</f>
        <v/>
      </c>
    </row>
    <row r="32" ht="20" customHeight="1">
      <c r="A32" s="74" t="inlineStr">
        <is>
          <t>UNLEVERED FREE CASH FLOW  (UFCF)</t>
        </is>
      </c>
      <c r="B32" s="89" t="n">
        <v>54356.6</v>
      </c>
      <c r="C32" s="89" t="n">
        <v>65104.5</v>
      </c>
      <c r="D32" s="89" t="n">
        <v>59709.5</v>
      </c>
      <c r="E32" s="89" t="n">
        <v>68345.89999999999</v>
      </c>
      <c r="F32" s="89" t="n">
        <v>73398.5</v>
      </c>
      <c r="G32" s="93">
        <f>G28+G29+G30+G31</f>
        <v/>
      </c>
      <c r="H32" s="93">
        <f>H28+H29+H30+H31</f>
        <v/>
      </c>
      <c r="I32" s="93">
        <f>I28+I29+I30+I31</f>
        <v/>
      </c>
      <c r="J32" s="93">
        <f>J28+J29+J30+J31</f>
        <v/>
      </c>
      <c r="K32" s="93">
        <f>K28+K29+K30+K31</f>
        <v/>
      </c>
      <c r="L32" s="93">
        <f>L28+L29+L30+L31</f>
        <v/>
      </c>
      <c r="M32" s="78">
        <f> NOPAT + D&amp;A − CapEx − ΔNWC  (pre-debt, pre-interest free cash flow)</f>
        <v/>
      </c>
    </row>
    <row r="33" ht="20" customHeight="1">
      <c r="A33" s="79" t="inlineStr">
        <is>
          <t xml:space="preserve">  UFCF Margin %</t>
        </is>
      </c>
      <c r="B33" s="84" t="n">
        <v>0.3234</v>
      </c>
      <c r="C33" s="84" t="n">
        <v>0.3284</v>
      </c>
      <c r="D33" s="84" t="n">
        <v>0.2818</v>
      </c>
      <c r="E33" s="84" t="n">
        <v>0.2788</v>
      </c>
      <c r="F33" s="84" t="n">
        <v>0.2605</v>
      </c>
      <c r="G33" s="94">
        <f>IFERROR(G32/G15,"")</f>
        <v/>
      </c>
      <c r="H33" s="94">
        <f>IFERROR(H32/H15,"")</f>
        <v/>
      </c>
      <c r="I33" s="94">
        <f>IFERROR(I32/I15,"")</f>
        <v/>
      </c>
      <c r="J33" s="94">
        <f>IFERROR(J32/J15,"")</f>
        <v/>
      </c>
      <c r="K33" s="94">
        <f>IFERROR(K32/K15,"")</f>
        <v/>
      </c>
      <c r="L33" s="94">
        <f>IFERROR(L32/L15,"")</f>
        <v/>
      </c>
      <c r="M33" s="78" t="inlineStr">
        <is>
          <t>Sense check — should approximate EBITDA margin less capex intensity</t>
        </is>
      </c>
    </row>
    <row r="34" ht="6" customHeight="1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</row>
    <row r="35" ht="18" customHeight="1">
      <c r="A35" s="3" t="inlineStr">
        <is>
          <t>SECTION 4 — TERMINAL VALUE  ($mm)</t>
        </is>
      </c>
    </row>
    <row r="36" ht="20" customHeight="1">
      <c r="A36" s="67" t="inlineStr">
        <is>
          <t>WACC  (from WACC tab)</t>
        </is>
      </c>
      <c r="B36" s="95">
        <f>WACC!B46</f>
        <v/>
      </c>
      <c r="C36" s="96" t="n"/>
      <c r="D36" s="96" t="n"/>
      <c r="E36" s="96" t="n"/>
      <c r="F36" s="96" t="n"/>
      <c r="G36" s="96" t="n"/>
      <c r="H36" s="96" t="n"/>
      <c r="I36" s="96" t="n"/>
      <c r="J36" s="96" t="n"/>
      <c r="K36" s="96" t="n"/>
      <c r="L36" s="96" t="n"/>
      <c r="M36" s="72" t="inlineStr">
        <is>
          <t>Auto-linked from WACC tab selected output.  Override manually if needed.</t>
        </is>
      </c>
    </row>
    <row r="37" ht="20" customHeight="1">
      <c r="A37" s="67" t="inlineStr">
        <is>
          <t>Terminal Growth Rate  (g)</t>
        </is>
      </c>
      <c r="B37" s="97" t="n">
        <v>0.03</v>
      </c>
      <c r="C37" s="96" t="n"/>
      <c r="D37" s="96" t="n"/>
      <c r="E37" s="96" t="n"/>
      <c r="F37" s="96" t="n"/>
      <c r="G37" s="96" t="n"/>
      <c r="H37" s="96" t="n"/>
      <c r="I37" s="96" t="n"/>
      <c r="J37" s="96" t="n"/>
      <c r="K37" s="96" t="n"/>
      <c r="L37" s="96" t="n"/>
      <c r="M37" s="72" t="inlineStr">
        <is>
          <t>Long-run nominal GDP growth rate — typically 2-4% for US.  Keep below WACC.</t>
        </is>
      </c>
    </row>
    <row r="38" ht="20" customHeight="1">
      <c r="A38" s="67" t="inlineStr">
        <is>
          <t>Terminal EV/EBITDA Multiple  (exit multiple method)</t>
        </is>
      </c>
      <c r="B38" s="98" t="n">
        <v>20</v>
      </c>
      <c r="C38" s="96" t="n"/>
      <c r="D38" s="96" t="n"/>
      <c r="E38" s="96" t="n"/>
      <c r="F38" s="96" t="n"/>
      <c r="G38" s="96" t="n"/>
      <c r="H38" s="96" t="n"/>
      <c r="I38" s="96" t="n"/>
      <c r="J38" s="96" t="n"/>
      <c r="K38" s="96" t="n"/>
      <c r="L38" s="96" t="n"/>
      <c r="M38" s="72" t="inlineStr">
        <is>
          <t>Use current or peer NTM EV/EBITDA.  Cross-check vs Gordon Growth TV.</t>
        </is>
      </c>
    </row>
    <row r="39" ht="6" customHeight="1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</row>
    <row r="40" ht="20" customHeight="1">
      <c r="A40" s="99" t="inlineStr">
        <is>
          <t>Terminal Year UFCF  (grown by g)</t>
        </is>
      </c>
      <c r="B40" s="100">
        <f>L32</f>
        <v/>
      </c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78" t="inlineStr">
        <is>
          <t>Cross-ref from Section 3 — terminal year UFCF (already grown by g in assumptions)</t>
        </is>
      </c>
    </row>
    <row r="41" ht="20" customHeight="1">
      <c r="A41" s="74" t="inlineStr">
        <is>
          <t>Terminal Value  [Gordon Growth:  UFCF / (WACC − g)]</t>
        </is>
      </c>
      <c r="B41" s="93">
        <f>B40/(B36-B37)</f>
        <v/>
      </c>
      <c r="C41" s="102" t="n"/>
      <c r="D41" s="102" t="n"/>
      <c r="E41" s="102" t="n"/>
      <c r="F41" s="102" t="n"/>
      <c r="G41" s="102" t="n"/>
      <c r="H41" s="102" t="n"/>
      <c r="I41" s="102" t="n"/>
      <c r="J41" s="102" t="n"/>
      <c r="K41" s="102" t="n"/>
      <c r="L41" s="102" t="n"/>
      <c r="M41" s="78" t="inlineStr">
        <is>
          <t>Sensitive to g — always cross-check vs Exit Multiple below</t>
        </is>
      </c>
    </row>
    <row r="42" ht="20" customHeight="1">
      <c r="A42" s="74" t="inlineStr">
        <is>
          <t>Terminal Value  [Exit Multiple:  Terminal EBITDA × Multiple]</t>
        </is>
      </c>
      <c r="B42" s="93">
        <f>L20*B38</f>
        <v/>
      </c>
      <c r="C42" s="102" t="n"/>
      <c r="D42" s="102" t="n"/>
      <c r="E42" s="102" t="n"/>
      <c r="F42" s="102" t="n"/>
      <c r="G42" s="102" t="n"/>
      <c r="H42" s="102" t="n"/>
      <c r="I42" s="102" t="n"/>
      <c r="J42" s="102" t="n"/>
      <c r="K42" s="102" t="n"/>
      <c r="L42" s="102" t="n"/>
      <c r="M42" s="78" t="inlineStr">
        <is>
          <t>Anchored to observable market multiples — less model-sensitive than Gordon Growth</t>
        </is>
      </c>
    </row>
    <row r="43" ht="6" customHeight="1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</row>
    <row r="44" ht="18" customHeight="1">
      <c r="A44" s="24" t="inlineStr">
        <is>
          <t>SECTION 5 — DISCOUNTING  &amp;  ENTERPRISE VALUE  ($mm)</t>
        </is>
      </c>
    </row>
    <row r="45" ht="20" customHeight="1">
      <c r="A45" s="99" t="inlineStr">
        <is>
          <t>Discount Period  (mid-year convention)</t>
        </is>
      </c>
      <c r="G45" s="103" t="n">
        <v>0.5</v>
      </c>
      <c r="H45" s="103" t="n">
        <v>1.5</v>
      </c>
      <c r="I45" s="103" t="n">
        <v>2.5</v>
      </c>
      <c r="J45" s="103" t="n">
        <v>3.5</v>
      </c>
      <c r="K45" s="103" t="n">
        <v>4.5</v>
      </c>
      <c r="L45" s="104" t="n">
        <v>5</v>
      </c>
      <c r="M45" s="78" t="inlineStr">
        <is>
          <t>Mid-year: 0.5, 1.5, 2.5...  assumes FCF received evenly through each year</t>
        </is>
      </c>
    </row>
    <row r="46" ht="20" customHeight="1">
      <c r="A46" s="99" t="inlineStr">
        <is>
          <t>Discount Factor  =  1 / (1 + WACC) ^ period</t>
        </is>
      </c>
      <c r="G46" s="105">
        <f>1/(1+B36)^G45</f>
        <v/>
      </c>
      <c r="H46" s="105">
        <f>1/(1+B36)^H45</f>
        <v/>
      </c>
      <c r="I46" s="105">
        <f>1/(1+B36)^I45</f>
        <v/>
      </c>
      <c r="J46" s="105">
        <f>1/(1+B36)^J45</f>
        <v/>
      </c>
      <c r="K46" s="105">
        <f>1/(1+B36)^K45</f>
        <v/>
      </c>
      <c r="L46" s="106">
        <f>1/(1+B36)^L45</f>
        <v/>
      </c>
      <c r="M46" s="78">
        <f> 1 / (1 + WACC) ^ discount period</f>
        <v/>
      </c>
    </row>
    <row r="47" ht="20" customHeight="1">
      <c r="A47" s="74" t="inlineStr">
        <is>
          <t>PV of UFCF</t>
        </is>
      </c>
      <c r="G47" s="93">
        <f>G32*G46</f>
        <v/>
      </c>
      <c r="H47" s="93">
        <f>H32*H46</f>
        <v/>
      </c>
      <c r="I47" s="93">
        <f>I32*I46</f>
        <v/>
      </c>
      <c r="J47" s="93">
        <f>J32*J46</f>
        <v/>
      </c>
      <c r="K47" s="93">
        <f>K32*K46</f>
        <v/>
      </c>
      <c r="L47" s="102" t="n"/>
      <c r="M47" s="78">
        <f> UFCF × discount factor</f>
        <v/>
      </c>
    </row>
    <row r="48" ht="20" customHeight="1">
      <c r="A48" s="62" t="inlineStr">
        <is>
          <t>Sum of PV of FCFs  (explicit period)</t>
        </is>
      </c>
      <c r="B48" s="90">
        <f>G47+H47+I47+J47+K47</f>
        <v/>
      </c>
      <c r="C48" s="107" t="n"/>
      <c r="D48" s="107" t="n"/>
      <c r="E48" s="107" t="n"/>
      <c r="F48" s="107" t="n"/>
      <c r="G48" s="107" t="n"/>
      <c r="H48" s="107" t="n"/>
      <c r="I48" s="107" t="n"/>
      <c r="J48" s="107" t="n"/>
      <c r="K48" s="107" t="n"/>
      <c r="L48" s="107" t="n"/>
      <c r="M48" s="78" t="inlineStr">
        <is>
          <t>Sum of 5 discounted annual FCFs</t>
        </is>
      </c>
    </row>
    <row r="49" ht="20" customHeight="1">
      <c r="A49" s="62" t="inlineStr">
        <is>
          <t>PV of Terminal Value  [Gordon Growth]</t>
        </is>
      </c>
      <c r="B49" s="90">
        <f>B41*L46</f>
        <v/>
      </c>
      <c r="C49" s="107" t="n"/>
      <c r="D49" s="107" t="n"/>
      <c r="E49" s="107" t="n"/>
      <c r="F49" s="107" t="n"/>
      <c r="G49" s="107" t="n"/>
      <c r="H49" s="107" t="n"/>
      <c r="I49" s="107" t="n"/>
      <c r="J49" s="107" t="n"/>
      <c r="K49" s="107" t="n"/>
      <c r="L49" s="107" t="n"/>
      <c r="M49" s="78" t="inlineStr">
        <is>
          <t>Terminal value × terminal-year discount factor</t>
        </is>
      </c>
    </row>
    <row r="50" ht="20" customHeight="1">
      <c r="A50" s="62" t="inlineStr">
        <is>
          <t>PV of Terminal Value  [Exit Multiple]</t>
        </is>
      </c>
      <c r="B50" s="90">
        <f>B42*L46</f>
        <v/>
      </c>
      <c r="C50" s="107" t="n"/>
      <c r="D50" s="107" t="n"/>
      <c r="E50" s="107" t="n"/>
      <c r="F50" s="107" t="n"/>
      <c r="G50" s="107" t="n"/>
      <c r="H50" s="107" t="n"/>
      <c r="I50" s="107" t="n"/>
      <c r="J50" s="107" t="n"/>
      <c r="K50" s="107" t="n"/>
      <c r="L50" s="107" t="n"/>
      <c r="M50" s="78" t="inlineStr">
        <is>
          <t>Terminal value × terminal-year discount factor</t>
        </is>
      </c>
    </row>
    <row r="51" ht="6" customHeight="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8" customHeight="1">
      <c r="A52" s="3" t="inlineStr">
        <is>
          <t>SECTION 6 — EQUITY VALUE BRIDGE  &amp;  IMPLIED SHARE PRICE</t>
        </is>
      </c>
    </row>
    <row r="53">
      <c r="A53" s="74" t="inlineStr">
        <is>
          <t>Enterprise Value  [Gordon Growth]</t>
        </is>
      </c>
      <c r="B53" s="93">
        <f>B48+B49</f>
        <v/>
      </c>
      <c r="C53" s="102" t="n"/>
      <c r="D53" s="102" t="n"/>
      <c r="E53" s="102" t="n"/>
      <c r="F53" s="102" t="n"/>
      <c r="G53" s="102" t="n"/>
      <c r="H53" s="102" t="n"/>
      <c r="I53" s="102" t="n"/>
      <c r="J53" s="102" t="n"/>
      <c r="K53" s="102" t="n"/>
      <c r="L53" s="102" t="n"/>
      <c r="M53" s="102" t="n"/>
    </row>
    <row r="54">
      <c r="A54" s="74" t="inlineStr">
        <is>
          <t>Enterprise Value  [Exit Multiple]</t>
        </is>
      </c>
      <c r="B54" s="93">
        <f>B48+B50</f>
        <v/>
      </c>
      <c r="C54" s="102" t="n"/>
      <c r="D54" s="102" t="n"/>
      <c r="E54" s="102" t="n"/>
      <c r="F54" s="102" t="n"/>
      <c r="G54" s="102" t="n"/>
      <c r="H54" s="102" t="n"/>
      <c r="I54" s="102" t="n"/>
      <c r="J54" s="102" t="n"/>
      <c r="K54" s="102" t="n"/>
      <c r="L54" s="102" t="n"/>
      <c r="M54" s="102" t="n"/>
    </row>
    <row r="55" ht="20" customHeight="1">
      <c r="A55" s="87" t="inlineStr">
        <is>
          <t xml:space="preserve">  Less: Net Debt  (Debt − Cash)</t>
        </is>
      </c>
      <c r="B55" s="100" t="n">
        <v>12909</v>
      </c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78" t="inlineStr">
        <is>
          <t>Auto-linked from Balance Sheet: Debt $43,151mm − Cash $30,242mm = $12,909mm  (negative = net cash)</t>
        </is>
      </c>
    </row>
    <row r="56" ht="20" customHeight="1">
      <c r="A56" s="87" t="inlineStr">
        <is>
          <t xml:space="preserve">  Less: Minority Interest</t>
        </is>
      </c>
      <c r="B56" s="100" t="n">
        <v>0</v>
      </c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78" t="inlineStr">
        <is>
          <t>Auto-linked from Balance Sheet: minorityInterest</t>
        </is>
      </c>
    </row>
    <row r="57" ht="20" customHeight="1">
      <c r="A57" s="87" t="inlineStr">
        <is>
          <t xml:space="preserve">  Shares Outstanding — Diluted  (mm)</t>
        </is>
      </c>
      <c r="B57" s="100" t="n">
        <v>7465</v>
      </c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78" t="inlineStr">
        <is>
          <t>Auto-linked: weightedAverageShsOutDil from income statement (diluted)</t>
        </is>
      </c>
    </row>
    <row r="58" ht="6" customHeight="1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>
      <c r="A59" s="74" t="inlineStr">
        <is>
          <t>Implied Share Price  [Gordon Growth]  ($)</t>
        </is>
      </c>
      <c r="B59" s="108">
        <f>IFERROR((B53-B55-B56)/B57,"")</f>
        <v/>
      </c>
      <c r="C59" s="102" t="n"/>
      <c r="D59" s="102" t="n"/>
      <c r="E59" s="102" t="n"/>
      <c r="F59" s="102" t="n"/>
      <c r="G59" s="102" t="n"/>
      <c r="H59" s="102" t="n"/>
      <c r="I59" s="102" t="n"/>
      <c r="J59" s="102" t="n"/>
      <c r="K59" s="102" t="n"/>
      <c r="L59" s="102" t="n"/>
      <c r="M59" s="102" t="n"/>
    </row>
    <row r="60">
      <c r="A60" s="74" t="inlineStr">
        <is>
          <t>Implied Share Price  [Exit Multiple]  ($)</t>
        </is>
      </c>
      <c r="B60" s="108">
        <f>IFERROR((B54-B55-B56)/B57,"")</f>
        <v/>
      </c>
      <c r="C60" s="102" t="n"/>
      <c r="D60" s="102" t="n"/>
      <c r="E60" s="102" t="n"/>
      <c r="F60" s="102" t="n"/>
      <c r="G60" s="102" t="n"/>
      <c r="H60" s="102" t="n"/>
      <c r="I60" s="102" t="n"/>
      <c r="J60" s="102" t="n"/>
      <c r="K60" s="102" t="n"/>
      <c r="L60" s="102" t="n"/>
      <c r="M60" s="102" t="n"/>
    </row>
    <row r="61" ht="20" customHeight="1">
      <c r="A61" s="99" t="inlineStr">
        <is>
          <t>Current Market Price  ($)</t>
        </is>
      </c>
      <c r="B61" s="109" t="n">
        <v>411.22</v>
      </c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78" t="inlineStr">
        <is>
          <t>Auto-linked from FMP company profile — price</t>
        </is>
      </c>
    </row>
    <row r="62">
      <c r="A62" s="62" t="inlineStr">
        <is>
          <t>Upside / (Downside)  [Gordon Growth]</t>
        </is>
      </c>
      <c r="B62" s="110">
        <f>IFERROR(B59/B61-1,"")</f>
        <v/>
      </c>
      <c r="C62" s="107" t="n"/>
      <c r="D62" s="107" t="n"/>
      <c r="E62" s="107" t="n"/>
      <c r="F62" s="107" t="n"/>
      <c r="G62" s="107" t="n"/>
      <c r="H62" s="107" t="n"/>
      <c r="I62" s="107" t="n"/>
      <c r="J62" s="107" t="n"/>
      <c r="K62" s="107" t="n"/>
      <c r="L62" s="107" t="n"/>
      <c r="M62" s="107" t="n"/>
    </row>
    <row r="63">
      <c r="A63" s="62" t="inlineStr">
        <is>
          <t>Upside / (Downside)  [Exit Multiple]</t>
        </is>
      </c>
      <c r="B63" s="110">
        <f>IFERROR(B60/B61-1,"")</f>
        <v/>
      </c>
      <c r="C63" s="107" t="n"/>
      <c r="D63" s="107" t="n"/>
      <c r="E63" s="107" t="n"/>
      <c r="F63" s="107" t="n"/>
      <c r="G63" s="107" t="n"/>
      <c r="H63" s="107" t="n"/>
      <c r="I63" s="107" t="n"/>
      <c r="J63" s="107" t="n"/>
      <c r="K63" s="107" t="n"/>
      <c r="L63" s="107" t="n"/>
      <c r="M63" s="107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2026-04-16T09:33:20Z</dcterms:created>
  <dcterms:modified xsi:type="dcterms:W3CDTF">2026-04-16T09:33:33Z</dcterms:modified>
</cp:coreProperties>
</file>