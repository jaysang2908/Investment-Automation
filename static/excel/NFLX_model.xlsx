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color rgb="001B5E20"/>
      <sz val="10"/>
    </font>
    <font>
      <name val="Arial"/>
      <color rgb="00444444"/>
      <sz val="8"/>
    </font>
  </fonts>
  <fills count="1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NFLX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45183.04</v>
      </c>
    </row>
    <row r="8">
      <c r="A8" s="3" t="inlineStr">
        <is>
          <t>Gross Profit ($mm)</t>
        </is>
      </c>
      <c r="B8" s="7" t="n">
        <v>21907.71</v>
      </c>
    </row>
    <row r="9">
      <c r="A9" s="3" t="inlineStr">
        <is>
          <t>EBITDA ($mm)</t>
        </is>
      </c>
      <c r="B9" s="7" t="n">
        <v>30254.62</v>
      </c>
    </row>
    <row r="10">
      <c r="A10" s="3" t="inlineStr">
        <is>
          <t>EBIT ($mm)</t>
        </is>
      </c>
      <c r="B10" s="7" t="n">
        <v>13326.6</v>
      </c>
    </row>
    <row r="11">
      <c r="A11" s="3" t="inlineStr">
        <is>
          <t>Net Income ($mm)</t>
        </is>
      </c>
      <c r="B11" s="7" t="n">
        <v>10981.2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NFLX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29697.84</v>
      </c>
      <c r="C5" s="16" t="n">
        <v>31615.55</v>
      </c>
      <c r="D5" s="16" t="n">
        <v>33723.3</v>
      </c>
      <c r="E5" s="16" t="n">
        <v>39000.97</v>
      </c>
      <c r="F5" s="16" t="n">
        <v>45183.04</v>
      </c>
    </row>
    <row r="6">
      <c r="A6" s="17" t="inlineStr">
        <is>
          <t>(2)  Cost of Revenue (COGS)</t>
        </is>
      </c>
      <c r="B6" s="18" t="n">
        <v>17332.68</v>
      </c>
      <c r="C6" s="18" t="n">
        <v>19168.28</v>
      </c>
      <c r="D6" s="18" t="n">
        <v>19715.37</v>
      </c>
      <c r="E6" s="18" t="n">
        <v>21038.46</v>
      </c>
      <c r="F6" s="18" t="n">
        <v>23275.33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3896.77</v>
      </c>
      <c r="C9" s="18" t="n">
        <v>4103.39</v>
      </c>
      <c r="D9" s="18" t="n">
        <v>4378.17</v>
      </c>
      <c r="E9" s="18" t="n">
        <v>4619.59</v>
      </c>
      <c r="F9" s="18" t="n">
        <v>5189.71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6170.65</v>
      </c>
      <c r="C11" s="18" t="n">
        <v>6814.43</v>
      </c>
      <c r="D11" s="18" t="n">
        <v>7053.93</v>
      </c>
      <c r="E11" s="18" t="n">
        <v>7544.89</v>
      </c>
      <c r="F11" s="18" t="n">
        <v>8581.1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12438.78</v>
      </c>
      <c r="C14" s="18" t="n">
        <v>14362.81</v>
      </c>
      <c r="D14" s="18" t="n">
        <v>14554.38</v>
      </c>
      <c r="E14" s="18" t="n">
        <v>15630.43</v>
      </c>
      <c r="F14" s="18" t="n">
        <v>16755.56</v>
      </c>
    </row>
    <row r="15">
      <c r="A15" s="19" t="inlineStr">
        <is>
          <t>(8)  EBIT (Operating Income)</t>
        </is>
      </c>
      <c r="B15" s="24" t="n">
        <v>6194.51</v>
      </c>
      <c r="C15" s="24" t="n">
        <v>5632.83</v>
      </c>
      <c r="D15" s="24" t="n">
        <v>6954</v>
      </c>
      <c r="E15" s="24" t="n">
        <v>10417.61</v>
      </c>
      <c r="F15" s="24" t="n">
        <v>13326.6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765.62</v>
      </c>
      <c r="C17" s="18" t="n">
        <v>706.21</v>
      </c>
      <c r="D17" s="18" t="n">
        <v>748.6</v>
      </c>
      <c r="E17" s="18" t="n">
        <v>718.73</v>
      </c>
      <c r="F17" s="18" t="n">
        <v>776.51</v>
      </c>
    </row>
    <row r="18">
      <c r="A18" s="21" t="inlineStr">
        <is>
          <t xml:space="preserve">     Interest Income</t>
        </is>
      </c>
      <c r="B18" s="18" t="n">
        <v>411.21</v>
      </c>
      <c r="C18" s="18" t="n">
        <v>337.31</v>
      </c>
      <c r="D18" s="18" t="n">
        <v>0</v>
      </c>
      <c r="E18" s="18" t="n">
        <v>266.78</v>
      </c>
      <c r="F18" s="18" t="n">
        <v>172.46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5840.1</v>
      </c>
      <c r="C21" s="24" t="n">
        <v>5263.93</v>
      </c>
      <c r="D21" s="24" t="n">
        <v>6205.4</v>
      </c>
      <c r="E21" s="24" t="n">
        <v>9965.66</v>
      </c>
      <c r="F21" s="24" t="n">
        <v>12722.55</v>
      </c>
    </row>
    <row r="22">
      <c r="A22" s="17" t="inlineStr">
        <is>
          <t>(11) Income Tax Expense</t>
        </is>
      </c>
      <c r="B22" s="18" t="n">
        <v>723.88</v>
      </c>
      <c r="C22" s="18" t="n">
        <v>772</v>
      </c>
      <c r="D22" s="18" t="n">
        <v>797.41</v>
      </c>
      <c r="E22" s="18" t="n">
        <v>1254.03</v>
      </c>
      <c r="F22" s="18" t="n">
        <v>1741.35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5116.23</v>
      </c>
      <c r="C24" s="24" t="n">
        <v>4491.92</v>
      </c>
      <c r="D24" s="24" t="n">
        <v>5407.99</v>
      </c>
      <c r="E24" s="24" t="n">
        <v>8711.629999999999</v>
      </c>
      <c r="F24" s="24" t="n">
        <v>10981.2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29697.84</v>
      </c>
      <c r="C30" s="16" t="n">
        <v>31615.55</v>
      </c>
      <c r="D30" s="16" t="n">
        <v>33723.3</v>
      </c>
      <c r="E30" s="16" t="n">
        <v>39000.97</v>
      </c>
      <c r="F30" s="16" t="n">
        <v>45183.04</v>
      </c>
    </row>
    <row r="31">
      <c r="A31" s="17" t="inlineStr">
        <is>
          <t>Cost of Revenue</t>
        </is>
      </c>
      <c r="B31" s="18" t="n">
        <v>17332.68</v>
      </c>
      <c r="C31" s="18" t="n">
        <v>19168.28</v>
      </c>
      <c r="D31" s="18" t="n">
        <v>19715.37</v>
      </c>
      <c r="E31" s="18" t="n">
        <v>21038.46</v>
      </c>
      <c r="F31" s="18" t="n">
        <v>23275.33</v>
      </c>
    </row>
    <row r="32">
      <c r="A32" s="26" t="inlineStr">
        <is>
          <t>Gross Profit</t>
        </is>
      </c>
      <c r="B32" s="27" t="n">
        <v>12365.16</v>
      </c>
      <c r="C32" s="27" t="n">
        <v>12447.26</v>
      </c>
      <c r="D32" s="27" t="n">
        <v>14007.93</v>
      </c>
      <c r="E32" s="27" t="n">
        <v>17962.5</v>
      </c>
      <c r="F32" s="27" t="n">
        <v>21907.71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2273.89</v>
      </c>
      <c r="C34" s="18" t="n">
        <v>2711.04</v>
      </c>
      <c r="D34" s="18" t="n">
        <v>2675.76</v>
      </c>
      <c r="E34" s="18" t="n">
        <v>2925.3</v>
      </c>
      <c r="F34" s="18" t="n">
        <v>3391.39</v>
      </c>
    </row>
    <row r="35">
      <c r="A35" s="17" t="inlineStr">
        <is>
          <t>General &amp; Administrative</t>
        </is>
      </c>
      <c r="B35" s="18" t="n">
        <v>1351.62</v>
      </c>
      <c r="C35" s="18" t="n">
        <v>1572.89</v>
      </c>
      <c r="D35" s="18" t="n">
        <v>1720.29</v>
      </c>
      <c r="E35" s="18" t="n">
        <v>1702.04</v>
      </c>
      <c r="F35" s="18" t="n">
        <v>1888.41</v>
      </c>
    </row>
    <row r="36">
      <c r="A36" s="17" t="inlineStr">
        <is>
          <t>Selling &amp; Marketing</t>
        </is>
      </c>
      <c r="B36" s="18" t="n">
        <v>2545.15</v>
      </c>
      <c r="C36" s="18" t="n">
        <v>2530.5</v>
      </c>
      <c r="D36" s="18" t="n">
        <v>2657.88</v>
      </c>
      <c r="E36" s="18" t="n">
        <v>2917.55</v>
      </c>
      <c r="F36" s="18" t="n">
        <v>3301.31</v>
      </c>
    </row>
    <row r="37">
      <c r="A37" s="17" t="inlineStr">
        <is>
          <t>SG&amp;A (Combined)</t>
        </is>
      </c>
      <c r="B37" s="18" t="n">
        <v>3896.77</v>
      </c>
      <c r="C37" s="18" t="n">
        <v>4103.39</v>
      </c>
      <c r="D37" s="18" t="n">
        <v>4378.17</v>
      </c>
      <c r="E37" s="18" t="n">
        <v>4619.59</v>
      </c>
      <c r="F37" s="18" t="n">
        <v>5189.71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6170.65</v>
      </c>
      <c r="C39" s="27" t="n">
        <v>6814.43</v>
      </c>
      <c r="D39" s="27" t="n">
        <v>7053.93</v>
      </c>
      <c r="E39" s="27" t="n">
        <v>7544.89</v>
      </c>
      <c r="F39" s="27" t="n">
        <v>8581.1</v>
      </c>
    </row>
    <row r="40">
      <c r="A40" s="17" t="inlineStr">
        <is>
          <t>Cost &amp; Expenses (COGS + Opex)</t>
        </is>
      </c>
      <c r="B40" s="18" t="n">
        <v>23503.33</v>
      </c>
      <c r="C40" s="18" t="n">
        <v>25982.72</v>
      </c>
      <c r="D40" s="18" t="n">
        <v>26769.29</v>
      </c>
      <c r="E40" s="18" t="n">
        <v>28583.35</v>
      </c>
      <c r="F40" s="18" t="n">
        <v>31856.43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6194.51</v>
      </c>
      <c r="C42" s="16" t="n">
        <v>5632.83</v>
      </c>
      <c r="D42" s="16" t="n">
        <v>6954</v>
      </c>
      <c r="E42" s="16" t="n">
        <v>10417.61</v>
      </c>
      <c r="F42" s="16" t="n">
        <v>13326.6</v>
      </c>
    </row>
    <row r="43">
      <c r="A43" s="17" t="inlineStr">
        <is>
          <t>EBIT (FMP field)</t>
        </is>
      </c>
      <c r="B43" s="18" t="n">
        <v>6605.72</v>
      </c>
      <c r="C43" s="18" t="n">
        <v>5970.14</v>
      </c>
      <c r="D43" s="18" t="n">
        <v>6954</v>
      </c>
      <c r="E43" s="18" t="n">
        <v>10684.39</v>
      </c>
      <c r="F43" s="18" t="n">
        <v>13499.06</v>
      </c>
    </row>
    <row r="44">
      <c r="A44" s="26" t="inlineStr">
        <is>
          <t>EBITDA</t>
        </is>
      </c>
      <c r="B44" s="27" t="n">
        <v>19044.5</v>
      </c>
      <c r="C44" s="27" t="n">
        <v>20332.96</v>
      </c>
      <c r="D44" s="27" t="n">
        <v>21508.39</v>
      </c>
      <c r="E44" s="27" t="n">
        <v>26314.82</v>
      </c>
      <c r="F44" s="27" t="n">
        <v>30254.62</v>
      </c>
    </row>
    <row r="45">
      <c r="A45" s="17" t="inlineStr">
        <is>
          <t>Depreciation &amp; Amortisation</t>
        </is>
      </c>
      <c r="B45" s="18" t="n">
        <v>12438.78</v>
      </c>
      <c r="C45" s="18" t="n">
        <v>14362.81</v>
      </c>
      <c r="D45" s="18" t="n">
        <v>14554.38</v>
      </c>
      <c r="E45" s="18" t="n">
        <v>15630.43</v>
      </c>
      <c r="F45" s="18" t="n">
        <v>16755.56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411.21</v>
      </c>
      <c r="C47" s="18" t="n">
        <v>337.31</v>
      </c>
      <c r="D47" s="18" t="n">
        <v>0</v>
      </c>
      <c r="E47" s="18" t="n">
        <v>266.78</v>
      </c>
      <c r="F47" s="18" t="n">
        <v>172.46</v>
      </c>
    </row>
    <row r="48">
      <c r="A48" s="17" t="inlineStr">
        <is>
          <t>Interest Expense</t>
        </is>
      </c>
      <c r="B48" s="18" t="n">
        <v>765.62</v>
      </c>
      <c r="C48" s="18" t="n">
        <v>706.21</v>
      </c>
      <c r="D48" s="18" t="n">
        <v>748.6</v>
      </c>
      <c r="E48" s="18" t="n">
        <v>718.73</v>
      </c>
      <c r="F48" s="18" t="n">
        <v>776.51</v>
      </c>
    </row>
    <row r="49">
      <c r="A49" s="17" t="inlineStr">
        <is>
          <t>Net Interest Income</t>
        </is>
      </c>
      <c r="B49" s="18" t="n">
        <v>-354.41</v>
      </c>
      <c r="C49" s="18" t="n">
        <v>-368.9</v>
      </c>
      <c r="D49" s="18" t="n">
        <v>-748.6</v>
      </c>
      <c r="E49" s="18" t="n">
        <v>-451.96</v>
      </c>
      <c r="F49" s="18" t="n">
        <v>-604.05</v>
      </c>
    </row>
    <row r="50">
      <c r="A50" s="17" t="inlineStr">
        <is>
          <t>Non-Operating Income (ex-interest)</t>
        </is>
      </c>
      <c r="B50" s="18" t="n">
        <v>-411.21</v>
      </c>
      <c r="C50" s="18" t="n">
        <v>-337.31</v>
      </c>
      <c r="D50" s="18" t="n">
        <v>0</v>
      </c>
      <c r="E50" s="18" t="n">
        <v>-266.78</v>
      </c>
      <c r="F50" s="18" t="n">
        <v>-172.46</v>
      </c>
    </row>
    <row r="51">
      <c r="A51" s="17" t="inlineStr">
        <is>
          <t>Total Other Income / (Expenses)</t>
        </is>
      </c>
      <c r="B51" s="18" t="n">
        <v>-354.41</v>
      </c>
      <c r="C51" s="18" t="n">
        <v>-368.9</v>
      </c>
      <c r="D51" s="18" t="n">
        <v>-748.6</v>
      </c>
      <c r="E51" s="18" t="n">
        <v>-451.96</v>
      </c>
      <c r="F51" s="18" t="n">
        <v>-604.05</v>
      </c>
    </row>
    <row r="52">
      <c r="A52" s="26" t="inlineStr">
        <is>
          <t>EBT / Income Before Tax</t>
        </is>
      </c>
      <c r="B52" s="27" t="n">
        <v>5840.1</v>
      </c>
      <c r="C52" s="27" t="n">
        <v>5263.93</v>
      </c>
      <c r="D52" s="27" t="n">
        <v>6205.4</v>
      </c>
      <c r="E52" s="27" t="n">
        <v>9965.66</v>
      </c>
      <c r="F52" s="27" t="n">
        <v>12722.55</v>
      </c>
    </row>
    <row r="53">
      <c r="A53" s="17" t="inlineStr">
        <is>
          <t>Income Tax Expense</t>
        </is>
      </c>
      <c r="B53" s="18" t="n">
        <v>723.88</v>
      </c>
      <c r="C53" s="18" t="n">
        <v>772</v>
      </c>
      <c r="D53" s="18" t="n">
        <v>797.41</v>
      </c>
      <c r="E53" s="18" t="n">
        <v>1254.03</v>
      </c>
      <c r="F53" s="18" t="n">
        <v>1741.35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5116.23</v>
      </c>
      <c r="C55" s="18" t="n">
        <v>4491.92</v>
      </c>
      <c r="D55" s="18" t="n">
        <v>5407.99</v>
      </c>
      <c r="E55" s="18" t="n">
        <v>8711.629999999999</v>
      </c>
      <c r="F55" s="18" t="n">
        <v>10981.2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5116.23</v>
      </c>
      <c r="C59" s="27" t="n">
        <v>4491.92</v>
      </c>
      <c r="D59" s="27" t="n">
        <v>5407.99</v>
      </c>
      <c r="E59" s="27" t="n">
        <v>8711.629999999999</v>
      </c>
      <c r="F59" s="27" t="n">
        <v>10981.2</v>
      </c>
    </row>
    <row r="60">
      <c r="A60" s="15" t="inlineStr">
        <is>
          <t>Bottom Line Net Income</t>
        </is>
      </c>
      <c r="B60" s="16" t="n">
        <v>5116.23</v>
      </c>
      <c r="C60" s="16" t="n">
        <v>4491.92</v>
      </c>
      <c r="D60" s="16" t="n">
        <v>5407.99</v>
      </c>
      <c r="E60" s="16" t="n">
        <v>8711.629999999999</v>
      </c>
      <c r="F60" s="16" t="n">
        <v>10981.2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1.16</v>
      </c>
      <c r="C62" s="18" t="n">
        <v>1.01</v>
      </c>
      <c r="D62" s="18" t="n">
        <v>1.23</v>
      </c>
      <c r="E62" s="18" t="n">
        <v>2.03</v>
      </c>
      <c r="F62" s="18" t="n">
        <v>2.58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4431.55</v>
      </c>
      <c r="C64" s="18" t="n">
        <v>4446.98</v>
      </c>
      <c r="D64" s="18" t="n">
        <v>4415.71</v>
      </c>
      <c r="E64" s="18" t="n">
        <v>4295.19</v>
      </c>
      <c r="F64" s="18" t="n">
        <v>4229.22</v>
      </c>
    </row>
    <row r="65">
      <c r="A65" s="17" t="inlineStr">
        <is>
          <t>Shares Outstanding — Diluted (mm)</t>
        </is>
      </c>
      <c r="B65" s="18" t="n">
        <v>4553.72</v>
      </c>
      <c r="C65" s="18" t="n">
        <v>4512.9</v>
      </c>
      <c r="D65" s="18" t="n">
        <v>4494.98</v>
      </c>
      <c r="E65" s="18" t="n">
        <v>4392.61</v>
      </c>
      <c r="F65" s="18" t="n">
        <v>4317.14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NFLX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6027.8</v>
      </c>
      <c r="C5" s="18" t="n">
        <v>5147.18</v>
      </c>
      <c r="D5" s="18" t="n">
        <v>7116.91</v>
      </c>
      <c r="E5" s="18" t="n">
        <v>7804.73</v>
      </c>
      <c r="F5" s="18" t="n">
        <v>9033.68</v>
      </c>
    </row>
    <row r="6">
      <c r="A6" s="17" t="inlineStr">
        <is>
          <t>(2)  Receivables</t>
        </is>
      </c>
      <c r="B6" s="18" t="n">
        <v>804.3200000000001</v>
      </c>
      <c r="C6" s="18" t="n">
        <v>1586.9</v>
      </c>
      <c r="D6" s="18" t="n">
        <v>1842.05</v>
      </c>
      <c r="E6" s="18" t="n">
        <v>1988.3</v>
      </c>
      <c r="F6" s="18" t="n">
        <v>2583.48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8069.82</v>
      </c>
      <c r="C9" s="24" t="n">
        <v>9266.469999999999</v>
      </c>
      <c r="D9" s="24" t="n">
        <v>9918.129999999999</v>
      </c>
      <c r="E9" s="24" t="n">
        <v>13100.38</v>
      </c>
      <c r="F9" s="24" t="n">
        <v>13020.19</v>
      </c>
    </row>
    <row r="10">
      <c r="A10" s="17" t="inlineStr">
        <is>
          <t>(6)  PP&amp;E (Net)</t>
        </is>
      </c>
      <c r="B10" s="18" t="n">
        <v>1323.45</v>
      </c>
      <c r="C10" s="18" t="n">
        <v>1398.26</v>
      </c>
      <c r="D10" s="18" t="n">
        <v>1491.44</v>
      </c>
      <c r="E10" s="18" t="n">
        <v>1593.76</v>
      </c>
      <c r="F10" s="18" t="n">
        <v>2004.35</v>
      </c>
    </row>
    <row r="11">
      <c r="A11" s="17" t="inlineStr">
        <is>
          <t>(7)  Goodwill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36514.84</v>
      </c>
      <c r="C14" s="24" t="n">
        <v>39328.29</v>
      </c>
      <c r="D14" s="24" t="n">
        <v>38813.86</v>
      </c>
      <c r="E14" s="24" t="n">
        <v>40530</v>
      </c>
      <c r="F14" s="24" t="n">
        <v>42576.8</v>
      </c>
    </row>
    <row r="15">
      <c r="A15" s="19" t="inlineStr">
        <is>
          <t>(11) Total Assets</t>
        </is>
      </c>
      <c r="B15" s="24" t="n">
        <v>44584.66</v>
      </c>
      <c r="C15" s="24" t="n">
        <v>48594.77</v>
      </c>
      <c r="D15" s="24" t="n">
        <v>48731.99</v>
      </c>
      <c r="E15" s="24" t="n">
        <v>53630.37</v>
      </c>
      <c r="F15" s="24" t="n">
        <v>55596.99</v>
      </c>
    </row>
    <row r="16" ht="6" customHeight="1"/>
    <row r="17">
      <c r="A17" s="17" t="inlineStr">
        <is>
          <t>(12) Accounts Payable</t>
        </is>
      </c>
      <c r="B17" s="18" t="n">
        <v>837.48</v>
      </c>
      <c r="C17" s="18" t="n">
        <v>671.51</v>
      </c>
      <c r="D17" s="18" t="n">
        <v>747.41</v>
      </c>
      <c r="E17" s="18" t="n">
        <v>899.91</v>
      </c>
      <c r="F17" s="18" t="n">
        <v>900.61</v>
      </c>
    </row>
    <row r="18">
      <c r="A18" s="17" t="inlineStr">
        <is>
          <t>(13) Short-Term Borrowings</t>
        </is>
      </c>
      <c r="B18" s="18" t="n">
        <v>699.8200000000001</v>
      </c>
      <c r="C18" s="18" t="n">
        <v>0</v>
      </c>
      <c r="D18" s="18" t="n">
        <v>399.84</v>
      </c>
      <c r="E18" s="18" t="n">
        <v>1784.45</v>
      </c>
      <c r="F18" s="18" t="n">
        <v>998.87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8488.969999999999</v>
      </c>
      <c r="C21" s="24" t="n">
        <v>7930.97</v>
      </c>
      <c r="D21" s="24" t="n">
        <v>8860.66</v>
      </c>
      <c r="E21" s="24" t="n">
        <v>10755.4</v>
      </c>
      <c r="F21" s="24" t="n">
        <v>10980.93</v>
      </c>
    </row>
    <row r="22">
      <c r="A22" s="17" t="inlineStr">
        <is>
          <t>(17) Long-Term Debt</t>
        </is>
      </c>
      <c r="B22" s="18" t="n">
        <v>14693.07</v>
      </c>
      <c r="C22" s="18" t="n">
        <v>14353.08</v>
      </c>
      <c r="D22" s="18" t="n">
        <v>14143.42</v>
      </c>
      <c r="E22" s="18" t="n">
        <v>13798.35</v>
      </c>
      <c r="F22" s="18" t="n">
        <v>13463.97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28735.42</v>
      </c>
      <c r="C25" s="24" t="n">
        <v>27817.37</v>
      </c>
      <c r="D25" s="24" t="n">
        <v>28143.68</v>
      </c>
      <c r="E25" s="24" t="n">
        <v>28886.81</v>
      </c>
      <c r="F25" s="24" t="n">
        <v>28981.51</v>
      </c>
    </row>
    <row r="26" ht="6" customHeight="1"/>
    <row r="27">
      <c r="A27" s="17" t="inlineStr">
        <is>
          <t>(21) Common Stock &amp; APIC</t>
        </is>
      </c>
      <c r="B27" s="18" t="n">
        <v>4024.56</v>
      </c>
      <c r="C27" s="18" t="n">
        <v>4637.6</v>
      </c>
      <c r="D27" s="18" t="n">
        <v>5145.17</v>
      </c>
      <c r="E27" s="18" t="n">
        <v>6252.13</v>
      </c>
      <c r="F27" s="18" t="n">
        <v>7286.41</v>
      </c>
    </row>
    <row r="28">
      <c r="A28" s="17" t="inlineStr">
        <is>
          <t>(22) Retained Earnings</t>
        </is>
      </c>
      <c r="B28" s="18" t="n">
        <v>12689.37</v>
      </c>
      <c r="C28" s="18" t="n">
        <v>17181.3</v>
      </c>
      <c r="D28" s="18" t="n">
        <v>22589.29</v>
      </c>
      <c r="E28" s="18" t="n">
        <v>31300.92</v>
      </c>
      <c r="F28" s="18" t="n">
        <v>42282.12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15849.25</v>
      </c>
      <c r="C30" s="24" t="n">
        <v>20777.4</v>
      </c>
      <c r="D30" s="24" t="n">
        <v>20588.31</v>
      </c>
      <c r="E30" s="24" t="n">
        <v>24743.57</v>
      </c>
      <c r="F30" s="24" t="n">
        <v>26615.49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6027.8</v>
      </c>
      <c r="C36" s="18" t="n">
        <v>5147.18</v>
      </c>
      <c r="D36" s="18" t="n">
        <v>7116.91</v>
      </c>
      <c r="E36" s="18" t="n">
        <v>7804.73</v>
      </c>
      <c r="F36" s="18" t="n">
        <v>9033.68</v>
      </c>
    </row>
    <row r="37">
      <c r="A37" s="17" t="inlineStr">
        <is>
          <t>Short-Term Investments</t>
        </is>
      </c>
      <c r="B37" s="18" t="n">
        <v>0</v>
      </c>
      <c r="C37" s="18" t="n">
        <v>911.28</v>
      </c>
      <c r="D37" s="18" t="n">
        <v>20.97</v>
      </c>
      <c r="E37" s="18" t="n">
        <v>1779.01</v>
      </c>
      <c r="F37" s="18" t="n">
        <v>28.68</v>
      </c>
    </row>
    <row r="38">
      <c r="A38" s="28" t="inlineStr">
        <is>
          <t>Cash &amp; Short-Term Investments</t>
        </is>
      </c>
      <c r="B38" s="29" t="n">
        <v>6027.8</v>
      </c>
      <c r="C38" s="29" t="n">
        <v>6058.45</v>
      </c>
      <c r="D38" s="29" t="n">
        <v>7137.89</v>
      </c>
      <c r="E38" s="29" t="n">
        <v>9583.74</v>
      </c>
      <c r="F38" s="29" t="n">
        <v>9062.360000000001</v>
      </c>
    </row>
    <row r="39">
      <c r="A39" s="17" t="inlineStr">
        <is>
          <t>Accounts Receivable (Trade)</t>
        </is>
      </c>
      <c r="B39" s="18" t="n">
        <v>804.3200000000001</v>
      </c>
      <c r="C39" s="18" t="n">
        <v>988.9</v>
      </c>
      <c r="D39" s="18" t="n">
        <v>1287.05</v>
      </c>
      <c r="E39" s="18" t="n">
        <v>1335.3</v>
      </c>
      <c r="F39" s="18" t="n">
        <v>2031.48</v>
      </c>
    </row>
    <row r="40">
      <c r="A40" s="17" t="inlineStr">
        <is>
          <t>Other Receivables</t>
        </is>
      </c>
      <c r="B40" s="18" t="n">
        <v>0</v>
      </c>
      <c r="C40" s="18" t="n">
        <v>598</v>
      </c>
      <c r="D40" s="18" t="n">
        <v>555</v>
      </c>
      <c r="E40" s="18" t="n">
        <v>653</v>
      </c>
      <c r="F40" s="18" t="n">
        <v>552</v>
      </c>
    </row>
    <row r="41">
      <c r="A41" s="28" t="inlineStr">
        <is>
          <t>Net Receivables (Total)</t>
        </is>
      </c>
      <c r="B41" s="29" t="n">
        <v>804.3200000000001</v>
      </c>
      <c r="C41" s="29" t="n">
        <v>1586.9</v>
      </c>
      <c r="D41" s="29" t="n">
        <v>1842.05</v>
      </c>
      <c r="E41" s="29" t="n">
        <v>1988.3</v>
      </c>
      <c r="F41" s="29" t="n">
        <v>2583.48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323.82</v>
      </c>
      <c r="C43" s="18" t="n">
        <v>392.74</v>
      </c>
      <c r="D43" s="18" t="n">
        <v>408.94</v>
      </c>
      <c r="E43" s="18" t="n">
        <v>431.92</v>
      </c>
      <c r="F43" s="18" t="n">
        <v>498.05</v>
      </c>
    </row>
    <row r="44">
      <c r="A44" s="17" t="inlineStr">
        <is>
          <t>Other Current Assets</t>
        </is>
      </c>
      <c r="B44" s="18" t="n">
        <v>913.88</v>
      </c>
      <c r="C44" s="18" t="n">
        <v>1228.39</v>
      </c>
      <c r="D44" s="18" t="n">
        <v>529.26</v>
      </c>
      <c r="E44" s="18" t="n">
        <v>1096.41</v>
      </c>
      <c r="F44" s="18" t="n">
        <v>876.3</v>
      </c>
    </row>
    <row r="45">
      <c r="A45" s="26" t="inlineStr">
        <is>
          <t>Total Current Assets</t>
        </is>
      </c>
      <c r="B45" s="27" t="n">
        <v>8069.82</v>
      </c>
      <c r="C45" s="27" t="n">
        <v>9266.469999999999</v>
      </c>
      <c r="D45" s="27" t="n">
        <v>9918.129999999999</v>
      </c>
      <c r="E45" s="27" t="n">
        <v>13100.38</v>
      </c>
      <c r="F45" s="27" t="n">
        <v>13020.19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1323.45</v>
      </c>
      <c r="C47" s="18" t="n">
        <v>1398.26</v>
      </c>
      <c r="D47" s="18" t="n">
        <v>1491.44</v>
      </c>
      <c r="E47" s="18" t="n">
        <v>1593.76</v>
      </c>
      <c r="F47" s="18" t="n">
        <v>2004.35</v>
      </c>
    </row>
    <row r="48">
      <c r="A48" s="17" t="inlineStr">
        <is>
          <t>Goodwill</t>
        </is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v>0</v>
      </c>
    </row>
    <row r="49">
      <c r="A49" s="17" t="inlineStr">
        <is>
          <t>Intangible Assets</t>
        </is>
      </c>
      <c r="B49" s="18" t="n">
        <v>30919.54</v>
      </c>
      <c r="C49" s="18" t="n">
        <v>32736.71</v>
      </c>
      <c r="D49" s="18" t="n">
        <v>31658.06</v>
      </c>
      <c r="E49" s="18" t="n">
        <v>32452.46</v>
      </c>
      <c r="F49" s="18" t="n">
        <v>32778.39</v>
      </c>
    </row>
    <row r="50">
      <c r="A50" s="17" t="inlineStr">
        <is>
          <t>Long-Term Investments</t>
        </is>
      </c>
      <c r="B50" s="18" t="n">
        <v>24.12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24.12</v>
      </c>
      <c r="C52" s="18" t="n">
        <v>911.28</v>
      </c>
      <c r="D52" s="18" t="n">
        <v>20.97</v>
      </c>
      <c r="E52" s="18" t="n">
        <v>1779.01</v>
      </c>
      <c r="F52" s="18" t="n">
        <v>28.68</v>
      </c>
    </row>
    <row r="53">
      <c r="A53" s="17" t="inlineStr">
        <is>
          <t>Other Non-Current Assets</t>
        </is>
      </c>
      <c r="B53" s="18" t="n">
        <v>4247.73</v>
      </c>
      <c r="C53" s="18" t="n">
        <v>5173.33</v>
      </c>
      <c r="D53" s="18" t="n">
        <v>5664.36</v>
      </c>
      <c r="E53" s="18" t="n">
        <v>6483.78</v>
      </c>
      <c r="F53" s="18" t="n">
        <v>7794.06</v>
      </c>
    </row>
    <row r="54">
      <c r="A54" s="26" t="inlineStr">
        <is>
          <t>Total Non-Current Assets</t>
        </is>
      </c>
      <c r="B54" s="27" t="n">
        <v>36514.84</v>
      </c>
      <c r="C54" s="27" t="n">
        <v>39328.29</v>
      </c>
      <c r="D54" s="27" t="n">
        <v>38813.86</v>
      </c>
      <c r="E54" s="27" t="n">
        <v>40530</v>
      </c>
      <c r="F54" s="27" t="n">
        <v>42576.8</v>
      </c>
    </row>
    <row r="55">
      <c r="A55" s="13" t="inlineStr">
        <is>
          <t>TOTAL ASSETS</t>
        </is>
      </c>
      <c r="B55" s="30" t="n">
        <v>44584.66</v>
      </c>
      <c r="C55" s="30" t="n">
        <v>48594.77</v>
      </c>
      <c r="D55" s="30" t="n">
        <v>48731.99</v>
      </c>
      <c r="E55" s="30" t="n">
        <v>53630.37</v>
      </c>
      <c r="F55" s="30" t="n">
        <v>55596.99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837.48</v>
      </c>
      <c r="C57" s="18" t="n">
        <v>671.51</v>
      </c>
      <c r="D57" s="18" t="n">
        <v>747.41</v>
      </c>
      <c r="E57" s="18" t="n">
        <v>899.91</v>
      </c>
      <c r="F57" s="18" t="n">
        <v>900.61</v>
      </c>
    </row>
    <row r="58">
      <c r="A58" s="17" t="inlineStr">
        <is>
          <t>Short-Term Debt</t>
        </is>
      </c>
      <c r="B58" s="18" t="n">
        <v>699.8200000000001</v>
      </c>
      <c r="C58" s="18" t="n">
        <v>0</v>
      </c>
      <c r="D58" s="18" t="n">
        <v>399.84</v>
      </c>
      <c r="E58" s="18" t="n">
        <v>1784.45</v>
      </c>
      <c r="F58" s="18" t="n">
        <v>998.87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1209.34</v>
      </c>
      <c r="C60" s="18" t="n">
        <v>1264.66</v>
      </c>
      <c r="D60" s="18" t="n">
        <v>1442.97</v>
      </c>
      <c r="E60" s="18" t="n">
        <v>1520.81</v>
      </c>
      <c r="F60" s="18" t="n">
        <v>1775.73</v>
      </c>
    </row>
    <row r="61">
      <c r="A61" s="17" t="inlineStr">
        <is>
          <t>Accrued &amp; Other Current Liabilities</t>
        </is>
      </c>
      <c r="B61" s="18" t="n">
        <v>3977.78</v>
      </c>
      <c r="C61" s="18" t="n">
        <v>4480.15</v>
      </c>
      <c r="D61" s="18" t="n">
        <v>4083.16</v>
      </c>
      <c r="E61" s="18" t="n">
        <v>3965.2</v>
      </c>
      <c r="F61" s="18" t="n">
        <v>4084.85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8488.969999999999</v>
      </c>
      <c r="C63" s="27" t="n">
        <v>7930.97</v>
      </c>
      <c r="D63" s="27" t="n">
        <v>8860.66</v>
      </c>
      <c r="E63" s="27" t="n">
        <v>10755.4</v>
      </c>
      <c r="F63" s="27" t="n">
        <v>10980.93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14693.07</v>
      </c>
      <c r="C65" s="18" t="n">
        <v>14353.08</v>
      </c>
      <c r="D65" s="18" t="n">
        <v>14143.42</v>
      </c>
      <c r="E65" s="18" t="n">
        <v>13798.35</v>
      </c>
      <c r="F65" s="18" t="n">
        <v>13463.97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3144.89</v>
      </c>
      <c r="C69" s="18" t="n">
        <v>5533.32</v>
      </c>
      <c r="D69" s="18" t="n">
        <v>3092.81</v>
      </c>
      <c r="E69" s="18" t="n">
        <v>2349.37</v>
      </c>
      <c r="F69" s="18" t="n">
        <v>4536.6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28735.42</v>
      </c>
      <c r="C71" s="30" t="n">
        <v>27817.37</v>
      </c>
      <c r="D71" s="30" t="n">
        <v>28143.68</v>
      </c>
      <c r="E71" s="30" t="n">
        <v>28886.81</v>
      </c>
      <c r="F71" s="30" t="n">
        <v>28981.51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4024.56</v>
      </c>
      <c r="C73" s="18" t="n">
        <v>4637.6</v>
      </c>
      <c r="D73" s="18" t="n">
        <v>5145.17</v>
      </c>
      <c r="E73" s="18" t="n">
        <v>6252.13</v>
      </c>
      <c r="F73" s="18" t="n">
        <v>7286.41</v>
      </c>
    </row>
    <row r="74">
      <c r="A74" s="17" t="inlineStr">
        <is>
          <t>Retained Earnings</t>
        </is>
      </c>
      <c r="B74" s="18" t="n">
        <v>12689.37</v>
      </c>
      <c r="C74" s="18" t="n">
        <v>17181.3</v>
      </c>
      <c r="D74" s="18" t="n">
        <v>22589.29</v>
      </c>
      <c r="E74" s="18" t="n">
        <v>31300.92</v>
      </c>
      <c r="F74" s="18" t="n">
        <v>42282.12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15849.25</v>
      </c>
      <c r="C78" s="27" t="n">
        <v>20777.4</v>
      </c>
      <c r="D78" s="27" t="n">
        <v>20588.31</v>
      </c>
      <c r="E78" s="27" t="n">
        <v>24743.57</v>
      </c>
      <c r="F78" s="27" t="n">
        <v>26615.49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NFLX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392.61</v>
      </c>
      <c r="C5" s="24" t="n">
        <v>2026.26</v>
      </c>
      <c r="D5" s="24" t="n">
        <v>7274.3</v>
      </c>
      <c r="E5" s="24" t="n">
        <v>7361.36</v>
      </c>
      <c r="F5" s="24" t="n">
        <v>10149.27</v>
      </c>
    </row>
    <row r="6">
      <c r="A6" s="17" t="inlineStr">
        <is>
          <t>(2)  Capital Expenditures</t>
        </is>
      </c>
      <c r="B6" s="18" t="n">
        <v>-524.59</v>
      </c>
      <c r="C6" s="18" t="n">
        <v>-407.73</v>
      </c>
      <c r="D6" s="18" t="n">
        <v>-348.55</v>
      </c>
      <c r="E6" s="18" t="n">
        <v>-439.54</v>
      </c>
      <c r="F6" s="18" t="n">
        <v>-688.22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-500</v>
      </c>
      <c r="C9" s="18" t="n">
        <v>-700</v>
      </c>
      <c r="D9" s="18" t="n">
        <v>0</v>
      </c>
      <c r="E9" s="18" t="n">
        <v>1394.46</v>
      </c>
      <c r="F9" s="18" t="n">
        <v>-1833.45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174.41</v>
      </c>
      <c r="C11" s="18" t="n">
        <v>35.75</v>
      </c>
      <c r="D11" s="18" t="n">
        <v>169.99</v>
      </c>
      <c r="E11" s="18" t="n">
        <v>832.89</v>
      </c>
      <c r="F11" s="18" t="n">
        <v>666.97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-131.97</v>
      </c>
      <c r="C15" s="24" t="n">
        <v>1618.53</v>
      </c>
      <c r="D15" s="24" t="n">
        <v>6925.75</v>
      </c>
      <c r="E15" s="24" t="n">
        <v>6921.83</v>
      </c>
      <c r="F15" s="24" t="n">
        <v>9461.049999999999</v>
      </c>
    </row>
    <row r="16">
      <c r="A16" s="15" t="inlineStr">
        <is>
          <t xml:space="preserve">     Net Change in Cash</t>
        </is>
      </c>
      <c r="B16" s="16" t="n">
        <v>-2183.76</v>
      </c>
      <c r="C16" s="16" t="n">
        <v>-884.53</v>
      </c>
      <c r="D16" s="16" t="n">
        <v>1947.93</v>
      </c>
      <c r="E16" s="16" t="n">
        <v>688.8200000000001</v>
      </c>
      <c r="F16" s="16" t="n">
        <v>1231.86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5116.23</v>
      </c>
      <c r="C21" s="18" t="n">
        <v>4491.92</v>
      </c>
      <c r="D21" s="18" t="n">
        <v>5407.99</v>
      </c>
      <c r="E21" s="18" t="n">
        <v>8711.629999999999</v>
      </c>
      <c r="F21" s="18" t="n">
        <v>10981.2</v>
      </c>
    </row>
    <row r="22">
      <c r="A22" s="17" t="inlineStr">
        <is>
          <t>Depreciation &amp; Amortisation</t>
        </is>
      </c>
      <c r="B22" s="18" t="n">
        <v>12438.78</v>
      </c>
      <c r="C22" s="18" t="n">
        <v>14362.81</v>
      </c>
      <c r="D22" s="18" t="n">
        <v>14554.38</v>
      </c>
      <c r="E22" s="18" t="n">
        <v>15630.43</v>
      </c>
      <c r="F22" s="18" t="n">
        <v>16755.56</v>
      </c>
    </row>
    <row r="23">
      <c r="A23" s="17" t="inlineStr">
        <is>
          <t>Deferred Income Tax</t>
        </is>
      </c>
      <c r="B23" s="18" t="n">
        <v>199.55</v>
      </c>
      <c r="C23" s="18" t="n">
        <v>-166.55</v>
      </c>
      <c r="D23" s="18" t="n">
        <v>-459.36</v>
      </c>
      <c r="E23" s="18" t="n">
        <v>-590.7</v>
      </c>
      <c r="F23" s="18" t="n">
        <v>-442.06</v>
      </c>
    </row>
    <row r="24">
      <c r="A24" s="17" t="inlineStr">
        <is>
          <t>Stock-Based Compensation</t>
        </is>
      </c>
      <c r="B24" s="18" t="n">
        <v>403.22</v>
      </c>
      <c r="C24" s="18" t="n">
        <v>575.45</v>
      </c>
      <c r="D24" s="18" t="n">
        <v>339.37</v>
      </c>
      <c r="E24" s="18" t="n">
        <v>272.59</v>
      </c>
      <c r="F24" s="18" t="n">
        <v>368.45</v>
      </c>
    </row>
    <row r="25">
      <c r="A25" s="17" t="inlineStr">
        <is>
          <t>Change in Working Capital</t>
        </is>
      </c>
      <c r="B25" s="18" t="n">
        <v>-241.98</v>
      </c>
      <c r="C25" s="18" t="n">
        <v>-758.09</v>
      </c>
      <c r="D25" s="18" t="n">
        <v>-116.15</v>
      </c>
      <c r="E25" s="18" t="n">
        <v>-33.08</v>
      </c>
      <c r="F25" s="18" t="n">
        <v>-456.22</v>
      </c>
    </row>
    <row r="26">
      <c r="A26" s="21" t="inlineStr">
        <is>
          <t xml:space="preserve">  — Accounts Receivable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145.12</v>
      </c>
      <c r="C28" s="18" t="n">
        <v>-158.54</v>
      </c>
      <c r="D28" s="18" t="n">
        <v>93.5</v>
      </c>
      <c r="E28" s="18" t="n">
        <v>121.35</v>
      </c>
      <c r="F28" s="18" t="n">
        <v>-8.039999999999999</v>
      </c>
    </row>
    <row r="29">
      <c r="A29" s="21" t="inlineStr">
        <is>
          <t xml:space="preserve">  — Other Working Capital</t>
        </is>
      </c>
      <c r="B29" s="18" t="n">
        <v>-387.09</v>
      </c>
      <c r="C29" s="18" t="n">
        <v>-599.54</v>
      </c>
      <c r="D29" s="18" t="n">
        <v>-209.65</v>
      </c>
      <c r="E29" s="18" t="n">
        <v>-154.43</v>
      </c>
      <c r="F29" s="18" t="n">
        <v>-448.18</v>
      </c>
    </row>
    <row r="30">
      <c r="A30" s="17" t="inlineStr">
        <is>
          <t>Other Non-Cash Items</t>
        </is>
      </c>
      <c r="B30" s="18" t="n">
        <v>-17523.19</v>
      </c>
      <c r="C30" s="18" t="n">
        <v>-16479.3</v>
      </c>
      <c r="D30" s="18" t="n">
        <v>-12451.93</v>
      </c>
      <c r="E30" s="18" t="n">
        <v>-16629.51</v>
      </c>
      <c r="F30" s="18" t="n">
        <v>-17057.66</v>
      </c>
    </row>
    <row r="31">
      <c r="A31" s="26" t="inlineStr">
        <is>
          <t>Net Cash from Operations (CFO)</t>
        </is>
      </c>
      <c r="B31" s="27" t="n">
        <v>392.61</v>
      </c>
      <c r="C31" s="27" t="n">
        <v>2026.26</v>
      </c>
      <c r="D31" s="27" t="n">
        <v>7274.3</v>
      </c>
      <c r="E31" s="27" t="n">
        <v>7361.36</v>
      </c>
      <c r="F31" s="27" t="n">
        <v>10149.27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-524.59</v>
      </c>
      <c r="C33" s="18" t="n">
        <v>-407.73</v>
      </c>
      <c r="D33" s="18" t="n">
        <v>-348.55</v>
      </c>
      <c r="E33" s="18" t="n">
        <v>-439.54</v>
      </c>
      <c r="F33" s="18" t="n">
        <v>-688.22</v>
      </c>
    </row>
    <row r="34">
      <c r="A34" s="21" t="inlineStr">
        <is>
          <t xml:space="preserve">  (Alt: Invest. in PP&amp;E)</t>
        </is>
      </c>
      <c r="B34" s="18" t="n">
        <v>-524.59</v>
      </c>
      <c r="C34" s="18" t="n">
        <v>-407.73</v>
      </c>
      <c r="D34" s="18" t="n">
        <v>-348.55</v>
      </c>
      <c r="E34" s="18" t="n">
        <v>-439.54</v>
      </c>
      <c r="F34" s="18" t="n">
        <v>-688.22</v>
      </c>
    </row>
    <row r="35">
      <c r="A35" s="17" t="inlineStr">
        <is>
          <t>Acquisitions (Net)</t>
        </is>
      </c>
      <c r="B35" s="18" t="n">
        <v>-788.35</v>
      </c>
      <c r="C35" s="18" t="n">
        <v>-757.39</v>
      </c>
      <c r="D35" s="18" t="n">
        <v>0</v>
      </c>
      <c r="E35" s="18" t="n">
        <v>0</v>
      </c>
      <c r="F35" s="18" t="n">
        <v>-17.19</v>
      </c>
    </row>
    <row r="36">
      <c r="A36" s="17" t="inlineStr">
        <is>
          <t>Purchases of Investments</t>
        </is>
      </c>
      <c r="B36" s="18" t="n">
        <v>0</v>
      </c>
      <c r="C36" s="18" t="n">
        <v>-911.28</v>
      </c>
      <c r="D36" s="18" t="n">
        <v>-504.86</v>
      </c>
      <c r="E36" s="18" t="n">
        <v>-1742.25</v>
      </c>
      <c r="F36" s="18" t="n">
        <v>-169.97</v>
      </c>
    </row>
    <row r="37">
      <c r="A37" s="17" t="inlineStr">
        <is>
          <t>Sales / Maturities of Investments</t>
        </is>
      </c>
      <c r="B37" s="18" t="n">
        <v>0</v>
      </c>
      <c r="C37" s="18" t="n">
        <v>757.39</v>
      </c>
      <c r="D37" s="18" t="n">
        <v>1395.16</v>
      </c>
      <c r="E37" s="18" t="n">
        <v>0</v>
      </c>
      <c r="F37" s="18" t="n">
        <v>1917.07</v>
      </c>
    </row>
    <row r="38">
      <c r="A38" s="17" t="inlineStr">
        <is>
          <t>Other Investing Activities</t>
        </is>
      </c>
      <c r="B38" s="18" t="n">
        <v>-26.92</v>
      </c>
      <c r="C38" s="18" t="n">
        <v>-757.39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-500</v>
      </c>
      <c r="C41" s="18" t="n">
        <v>-700</v>
      </c>
      <c r="D41" s="18" t="n">
        <v>0</v>
      </c>
      <c r="E41" s="18" t="n">
        <v>1394.46</v>
      </c>
      <c r="F41" s="18" t="n">
        <v>-1833.45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174.41</v>
      </c>
      <c r="C43" s="18" t="n">
        <v>35.75</v>
      </c>
      <c r="D43" s="18" t="n">
        <v>169.99</v>
      </c>
      <c r="E43" s="18" t="n">
        <v>832.89</v>
      </c>
      <c r="F43" s="18" t="n">
        <v>666.97</v>
      </c>
    </row>
    <row r="44">
      <c r="A44" s="17" t="inlineStr">
        <is>
          <t>Common Stock Repurchased (Buybacks)</t>
        </is>
      </c>
      <c r="B44" s="18" t="n">
        <v>-600.02</v>
      </c>
      <c r="C44" s="18" t="n">
        <v>0</v>
      </c>
      <c r="D44" s="18" t="n">
        <v>-6045.35</v>
      </c>
      <c r="E44" s="18" t="n">
        <v>-6263.75</v>
      </c>
      <c r="F44" s="18" t="n">
        <v>-9127.17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-224.17</v>
      </c>
      <c r="C46" s="18" t="n">
        <v>0</v>
      </c>
      <c r="D46" s="18" t="n">
        <v>-75.45</v>
      </c>
      <c r="E46" s="18" t="n">
        <v>-38.03</v>
      </c>
      <c r="F46" s="18" t="n">
        <v>-51.97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-86.73999999999999</v>
      </c>
      <c r="C49" s="18" t="n">
        <v>-170.14</v>
      </c>
      <c r="D49" s="18" t="n">
        <v>82.68000000000001</v>
      </c>
      <c r="E49" s="18" t="n">
        <v>-416.33</v>
      </c>
      <c r="F49" s="18" t="n">
        <v>386.52</v>
      </c>
    </row>
    <row r="50">
      <c r="A50" s="15" t="inlineStr">
        <is>
          <t>Net Change in Cash</t>
        </is>
      </c>
      <c r="B50" s="16" t="n">
        <v>-2183.76</v>
      </c>
      <c r="C50" s="16" t="n">
        <v>-884.53</v>
      </c>
      <c r="D50" s="16" t="n">
        <v>1947.93</v>
      </c>
      <c r="E50" s="16" t="n">
        <v>688.8200000000001</v>
      </c>
      <c r="F50" s="16" t="n">
        <v>1231.86</v>
      </c>
    </row>
    <row r="51">
      <c r="A51" s="17" t="inlineStr">
        <is>
          <t>Cash at Beginning of Period</t>
        </is>
      </c>
      <c r="B51" s="18" t="n">
        <v>8238.870000000001</v>
      </c>
      <c r="C51" s="18" t="n">
        <v>6055.11</v>
      </c>
      <c r="D51" s="18" t="n">
        <v>5170.58</v>
      </c>
      <c r="E51" s="18" t="n">
        <v>7118.52</v>
      </c>
      <c r="F51" s="18" t="n">
        <v>7807.34</v>
      </c>
    </row>
    <row r="52">
      <c r="A52" s="26" t="inlineStr">
        <is>
          <t>Cash at End of Period</t>
        </is>
      </c>
      <c r="B52" s="27" t="n">
        <v>6055.11</v>
      </c>
      <c r="C52" s="27" t="n">
        <v>5170.58</v>
      </c>
      <c r="D52" s="27" t="n">
        <v>7118.52</v>
      </c>
      <c r="E52" s="27" t="n">
        <v>7807.34</v>
      </c>
      <c r="F52" s="27" t="n">
        <v>9039.190000000001</v>
      </c>
    </row>
    <row r="53">
      <c r="A53" s="26" t="inlineStr">
        <is>
          <t>Free Cash Flow</t>
        </is>
      </c>
      <c r="B53" s="27" t="n">
        <v>-131.97</v>
      </c>
      <c r="C53" s="27" t="n">
        <v>1618.53</v>
      </c>
      <c r="D53" s="27" t="n">
        <v>6925.75</v>
      </c>
      <c r="E53" s="27" t="n">
        <v>6921.83</v>
      </c>
      <c r="F53" s="27" t="n">
        <v>9461.049999999999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NFLX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4553.72</v>
      </c>
      <c r="C61" s="18" t="n">
        <v>4512.9</v>
      </c>
      <c r="D61" s="18" t="n">
        <v>4494.98</v>
      </c>
      <c r="E61" s="18" t="n">
        <v>4392.61</v>
      </c>
      <c r="F61" s="18" t="n">
        <v>4317.14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NFLX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45183.04</v>
      </c>
      <c r="C5" s="18" t="n">
        <v>39000.97</v>
      </c>
      <c r="D5" s="18" t="n">
        <v>33640.46</v>
      </c>
      <c r="E5" s="18" t="n">
        <v>100</v>
      </c>
      <c r="F5" s="18" t="n">
        <v>200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NFLX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375729.684</v>
      </c>
      <c r="C5" s="44" t="inlineStr">
        <is>
          <t>FMP marketCap  |  price $89.23</t>
        </is>
      </c>
    </row>
    <row r="6">
      <c r="A6" s="17" t="inlineStr">
        <is>
          <t>Debt  (gross book value, $mm)</t>
        </is>
      </c>
      <c r="B6" s="43" t="n">
        <v>14462.836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0.0467</v>
      </c>
      <c r="C12" s="44" t="inlineStr">
        <is>
          <t>FRED series DGS10  |  latest: 2026-05-19</t>
        </is>
      </c>
    </row>
    <row r="13">
      <c r="A13" s="47" t="inlineStr">
        <is>
          <t>► Selected Rf  (override if needed)</t>
        </is>
      </c>
      <c r="B13" s="48" t="n">
        <v>0.0467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1.548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1.367</v>
      </c>
      <c r="C17" s="44" t="inlineStr">
        <is>
          <t>Mean-reversion toward market beta of 1.0</t>
        </is>
      </c>
    </row>
    <row r="18">
      <c r="A18" s="17" t="inlineStr">
        <is>
          <t>Damodaran industry unlevered  (Entertainment)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0.04x,  t = 13.7%)</t>
        </is>
      </c>
      <c r="B19" s="50" t="n">
        <v>1.033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1.316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17.2</v>
      </c>
      <c r="C33" s="44" t="inlineStr">
        <is>
          <t>EBIT $13327mm  /  Int Exp $777mm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17.2x  →  AAA</t>
        </is>
      </c>
    </row>
    <row r="35">
      <c r="A35" s="17" t="inlineStr">
        <is>
          <t>Synthetic Rd  (Rf + Damodaran default spread)</t>
        </is>
      </c>
      <c r="B35" s="46" t="n">
        <v>0.0521</v>
      </c>
      <c r="C35" s="44" t="inlineStr">
        <is>
          <t>Rf 4.67% + spread 0.54%</t>
        </is>
      </c>
    </row>
    <row r="36">
      <c r="A36" s="17" t="inlineStr">
        <is>
          <t>Accounting Rd  (Gross int exp / Avg gross debt)</t>
        </is>
      </c>
      <c r="B36" s="46" t="n">
        <v>0.05168869759472589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0.0519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0.1369</v>
      </c>
      <c r="C40" s="44" t="inlineStr">
        <is>
          <t>FMP: $1741mm  /  $12723mm</t>
        </is>
      </c>
    </row>
    <row r="41">
      <c r="A41" s="47" t="inlineStr">
        <is>
          <t>► Selected tax rate  (user override)</t>
        </is>
      </c>
      <c r="B41" s="48" t="n">
        <v>0.1369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(E/V × Re)  +  (D/V × Rd × (1 − t))</t>
        </is>
      </c>
      <c r="B44" s="55">
        <f>B8*B28+B9*B37*(1-B41)</f>
        <v/>
      </c>
      <c r="C44" s="56" t="inlineStr">
        <is>
          <t>Used as discount rate in DCF tab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NFLX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0.1377</v>
      </c>
      <c r="H7" s="71" t="n">
        <v>0.116</v>
      </c>
      <c r="I7" s="71" t="n">
        <v>0.0998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0.6533</v>
      </c>
      <c r="H8" s="71" t="n">
        <v>0.6533</v>
      </c>
      <c r="I8" s="71" t="n">
        <v>0.6533</v>
      </c>
      <c r="J8" s="72">
        <f>I8</f>
        <v/>
      </c>
      <c r="K8" s="72">
        <f>I8</f>
        <v/>
      </c>
      <c r="L8" s="73" t="n">
        <v>0.6696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51403.3</v>
      </c>
      <c r="H15" s="77" t="n">
        <v>57364.7</v>
      </c>
      <c r="I15" s="77" t="n">
        <v>63087.7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50,983 — 51,653</t>
        </is>
      </c>
      <c r="H16" s="82" t="inlineStr">
        <is>
          <t>56,157 — 58,293</t>
        </is>
      </c>
      <c r="I16" s="82" t="inlineStr">
        <is>
          <t>63,009 — 63,166</t>
        </is>
      </c>
      <c r="J16" s="82" t="inlineStr">
        <is>
          <t>67,181 — 69,578</t>
        </is>
      </c>
      <c r="K16" s="82" t="inlineStr">
        <is>
          <t>72,558 — 75,148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35</v>
      </c>
      <c r="H17" s="84" t="n">
        <v>35</v>
      </c>
      <c r="I17" s="84" t="n">
        <v>30</v>
      </c>
      <c r="J17" s="84" t="n">
        <v>15</v>
      </c>
      <c r="K17" s="84" t="n">
        <v>21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33582</v>
      </c>
      <c r="H20" s="77" t="n">
        <v>37476.6</v>
      </c>
      <c r="I20" s="77" t="n">
        <v>41215.4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33,308 — 33,745</t>
        </is>
      </c>
      <c r="H21" s="82" t="inlineStr">
        <is>
          <t>36,688 — 38,083</t>
        </is>
      </c>
      <c r="I21" s="82" t="inlineStr">
        <is>
          <t>41,164 — 41,267</t>
        </is>
      </c>
      <c r="J21" s="82" t="inlineStr">
        <is>
          <t>43,890 — 45,456</t>
        </is>
      </c>
      <c r="K21" s="82" t="inlineStr">
        <is>
          <t>47,403 — 49,094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WACC!B44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0.04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HIGH (12.7% 3yr avg rev growth).  Bear 3.00% / Base 4.0% / Bull 5.00%.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18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HIGH (12.7%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4317.1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89.20999999999999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NFLX  |  Master Prompt v2  |  22 May 2026  |  Sector bucket: Tech Growth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48.5% ✓ (&gt;40%)  |  GM trend +9.1% ✓ (&gt;+1pp)  |  ROIC-WACC +24.9% ✓ (&gt;+5pp)  |  Rev consistency σ=4.6% ✓ (&lt;8%)  [4/4 indicators positive — proxy score]</t>
        </is>
      </c>
      <c r="E9" s="130" t="inlineStr">
        <is>
          <t>HIGH</t>
        </is>
      </c>
      <c r="F9" s="131" t="n">
        <v>10</v>
      </c>
      <c r="G9" s="132">
        <f>IF(F9="",0,C9*F9*10)</f>
        <v/>
      </c>
      <c r="H9" s="133" t="inlineStr">
        <is>
          <t>GM 48.5% ✓ (&gt;40%)  |  GM trend +9.1% ✓ (&gt;+1pp)  |  ROIC-WACC +24.9% ✓ (&gt;+5pp)  |  Rev consistency σ=4.6% ✓ (&lt;8%)  [4/4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+19.9% ✓ (&gt;=-2pp)  |  GM maintained +9.1% ✓  |  Op margin +11.7% ✓ (≥-2pp)  |  Capital returns MOD-HIGH ✓  |  Share count -1.2%/yr ✓ (net buyback)  |  Goodwill/Equity 0% ✓ (organic)  [6/6 indicators positive — proxy score]</t>
        </is>
      </c>
      <c r="E11" s="130" t="inlineStr">
        <is>
          <t>HIGH</t>
        </is>
      </c>
      <c r="F11" s="131" t="n">
        <v>10</v>
      </c>
      <c r="G11" s="132">
        <f>IF(F11="",0,C11*F11*10)</f>
        <v/>
      </c>
      <c r="H11" s="133" t="inlineStr">
        <is>
          <t>ROIC trend +19.9% ✓ (&gt;=-2pp)  |  GM maintained +9.1% ✓  |  Op margin +11.7% ✓ (≥-2pp)  |  Capital returns MOD-HIGH ✓  |  Share count -1.2%/yr ✓ (net buyback)  |  Goodwill/Equity 0% ✓ (organic)  [6/6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12.6%</t>
        </is>
      </c>
      <c r="E13" s="134" t="inlineStr">
        <is>
          <t>MOD-HIGH</t>
        </is>
      </c>
      <c r="F13" s="131" t="n">
        <v>8.58</v>
      </c>
      <c r="G13" s="132">
        <f>IF(F13="",0,C13*F13*10)</f>
        <v/>
      </c>
      <c r="H13" s="133" t="inlineStr">
        <is>
          <t>12.6%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84%  [through-cycle: 70/30 latest+5yr median, latest 86.2% → smoothed 84.1%]</t>
        </is>
      </c>
      <c r="E14" s="130" t="inlineStr">
        <is>
          <t>HIGH</t>
        </is>
      </c>
      <c r="F14" s="131" t="n">
        <v>10</v>
      </c>
      <c r="G14" s="132">
        <f>IF(F14="",0,C14*F14*10)</f>
        <v/>
      </c>
      <c r="H14" s="133" t="inlineStr">
        <is>
          <t>84%  [through-cycle: 70/30 latest+5yr median, latest 86.2% → smoothed 84.1%]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$9,127mm latest FY — 4yr equity-funded  [payout 96% of FCF]</t>
        </is>
      </c>
      <c r="E15" s="134" t="inlineStr">
        <is>
          <t>MOD-HIGH</t>
        </is>
      </c>
      <c r="F15" s="131" t="n">
        <v>7</v>
      </c>
      <c r="G15" s="132">
        <f>IF(F15="",0,C15*F15*10)</f>
        <v/>
      </c>
      <c r="H15" s="133" t="inlineStr">
        <is>
          <t>$9,127mm latest FY — 4yr equity-funded  [payout 96%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31.6%  [through-cycle: 70/30 latest+5yr median, latest 35.9% → smoothed 31.6%]</t>
        </is>
      </c>
      <c r="E16" s="130" t="inlineStr">
        <is>
          <t>HIGH</t>
        </is>
      </c>
      <c r="F16" s="131" t="n">
        <v>10</v>
      </c>
      <c r="G16" s="132">
        <f>IF(F16="",0,C16*F16*10)</f>
        <v/>
      </c>
      <c r="H16" s="133" t="inlineStr">
        <is>
          <t>31.6%  [through-cycle: 70/30 latest+5yr median, latest 35.9% → smoothed 31.6%]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0.5x  [through-cycle: 70/30 latest+5yr median, latest 0.5x → smoothed 0.5x]</t>
        </is>
      </c>
      <c r="E18" s="130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0.5x  [through-cycle: 70/30 latest+5yr median, latest 0.5x → smoothed 0.5x]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17.2x</t>
        </is>
      </c>
      <c r="E19" s="130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17.2x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σ=4.6%  |  OM trend +8.6%, σ=4.3%  [quality = direction + stability]</t>
        </is>
      </c>
      <c r="E20" s="130" t="inlineStr">
        <is>
          <t>HIGH</t>
        </is>
      </c>
      <c r="F20" s="131" t="n">
        <v>10</v>
      </c>
      <c r="G20" s="132">
        <f>IF(F20="",0,C20*F20*10)</f>
        <v/>
      </c>
      <c r="H20" s="133" t="inlineStr">
        <is>
          <t>Rev growth σ=4.6%  |  OM trend +8.6%, σ=4.3%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Current 36.1x  |  5yr avg 40.2x  |  DCF-implied 55.4x [ref only — not used as benchmark]  [-10% vs benchmark]  [trail=8.53 | no_fwd_data(fallback) | abs=1.5 → blended 40/40/20=7.12]  PEG≈285.61 (trailing_pe=36.1x / rev_cagr=13%, revenue proxy)</t>
        </is>
      </c>
      <c r="E22" s="130" t="inlineStr">
        <is>
          <t>HIGH</t>
        </is>
      </c>
      <c r="F22" s="131" t="n">
        <v>7.12</v>
      </c>
      <c r="G22" s="132">
        <f>IF(F22="",0,C22*F22*10)</f>
        <v/>
      </c>
      <c r="H22" s="133" t="inlineStr">
        <is>
          <t>Current 36.1x  |  5yr avg 40.2x  |  DCF-implied 55.4x [ref only — not used as benchmark]  [-10% vs benchmark]  [trail=8.53 | no_fwd_data(fallback) | abs=1.5 → blended 40/40/20=7.12]  PEG≈285.61 (trailing_pe=36.1x / rev_cagr=13%, revenue proxy)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41.9x  |  5yr avg 52.3x  |  DCF-implied 64.3x [ref only — not used as benchmark]  [-20% vs benchmark]  [trail=9.98 | no_fwd_data(fallback) | abs=1.5 → blended 40/40/20=8.29]  [fcf_yield=2.4% vs rf=4.7%  spread=-2.3%→modifier=-0.50]</t>
        </is>
      </c>
      <c r="E23" s="130" t="inlineStr">
        <is>
          <t>HIGH</t>
        </is>
      </c>
      <c r="F23" s="131" t="n">
        <v>7.79</v>
      </c>
      <c r="G23" s="132">
        <f>IF(F23="",0,C23*F23*10)</f>
        <v/>
      </c>
      <c r="H23" s="133" t="inlineStr">
        <is>
          <t>Current 41.9x  |  5yr avg 52.3x  |  DCF-implied 64.3x [ref only — not used as benchmark]  [-20% vs benchmark]  [trail=9.98 | no_fwd_data(fallback) | abs=1.5 → blended 40/40/20=8.29]  [fcf_yield=2.4% vs rf=4.7%  spread=-2.3%→modifier=-0.50]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5" t="inlineStr">
        <is>
          <t>TOTAL SCORE  (max = 100.0)</t>
        </is>
      </c>
      <c r="B25" s="136" t="n"/>
      <c r="C25" s="136" t="n"/>
      <c r="D25" s="136" t="n"/>
      <c r="E25" s="136" t="n"/>
      <c r="F25" s="136" t="n"/>
      <c r="G25" s="137">
        <f>G8+G9+G10+G11+G13+G14+G15+G16+G18+G19+G20+G22+G23</f>
        <v/>
      </c>
      <c r="H25" s="138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9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0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2026-05-21T15:28:24Z</dcterms:created>
  <dcterms:modified xmlns:dcterms="http://purl.org/dc/terms/" xmlns:xsi="http://www.w3.org/2001/XMLSchema-instance" xsi:type="dcterms:W3CDTF">2026-05-21T15:28:37Z</dcterms:modified>
</cp:coreProperties>
</file>