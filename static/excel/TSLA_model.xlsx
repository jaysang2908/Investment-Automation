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171" fontId="13" fillId="7" borderId="1" applyAlignment="1" pivotButton="0" quotePrefix="0" xfId="0">
      <alignment horizontal="right"/>
    </xf>
    <xf numFmtId="0" fontId="14" fillId="7" borderId="1" applyAlignment="1" pivotButton="0" quotePrefix="0" xfId="0">
      <alignment horizontal="left" indent="1"/>
    </xf>
    <xf numFmtId="0" fontId="15" fillId="5" borderId="1" applyAlignment="1" pivotButton="0" quotePrefix="0" xfId="0">
      <alignment horizontal="center"/>
    </xf>
    <xf numFmtId="0" fontId="16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0" fontId="15" fillId="7" borderId="1" applyAlignment="1" pivotButton="0" quotePrefix="0" xfId="0">
      <alignment horizontal="center"/>
    </xf>
    <xf numFmtId="171" fontId="16" fillId="7" borderId="1" applyAlignment="1" pivotButton="0" quotePrefix="0" xfId="0">
      <alignment horizontal="right"/>
    </xf>
    <xf numFmtId="171" fontId="15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6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8" fontId="18" fillId="16" borderId="1" applyAlignment="1" pivotButton="0" quotePrefix="0" xfId="0">
      <alignment horizontal="right" vertical="center"/>
    </xf>
    <xf numFmtId="168" fontId="19" fillId="14" borderId="1" applyAlignment="1" pivotButton="0" quotePrefix="0" xfId="0">
      <alignment horizontal="right" vertical="center"/>
    </xf>
    <xf numFmtId="168" fontId="5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left" vertical="center" indent="1"/>
    </xf>
    <xf numFmtId="167" fontId="5" fillId="16" borderId="1" applyAlignment="1" pivotButton="0" quotePrefix="0" xfId="0">
      <alignment horizontal="right" vertical="center"/>
    </xf>
    <xf numFmtId="167" fontId="19" fillId="14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0" fontId="20" fillId="6" borderId="1" applyAlignment="1" pivotButton="0" quotePrefix="0" xfId="0">
      <alignment horizontal="left" wrapText="1" indent="1"/>
    </xf>
    <xf numFmtId="0" fontId="21" fillId="6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8" fontId="21" fillId="16" borderId="1" applyAlignment="1" pivotButton="0" quotePrefix="0" xfId="0">
      <alignment horizontal="right" vertical="center"/>
    </xf>
    <xf numFmtId="168" fontId="21" fillId="14" borderId="1" applyAlignment="1" pivotButton="0" quotePrefix="0" xfId="0">
      <alignment horizontal="right" vertical="center"/>
    </xf>
    <xf numFmtId="168" fontId="21" fillId="1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4" borderId="1" applyAlignment="1" pivotButton="0" quotePrefix="0" xfId="0">
      <alignment horizontal="right" vertical="center"/>
    </xf>
    <xf numFmtId="167" fontId="6" fillId="16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6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4" borderId="1" applyAlignment="1" pivotButton="0" quotePrefix="0" xfId="0">
      <alignment horizontal="right" vertical="center"/>
    </xf>
    <xf numFmtId="168" fontId="21" fillId="6" borderId="1" applyAlignment="1" pivotButton="0" quotePrefix="0" xfId="0">
      <alignment horizontal="right" vertical="center"/>
    </xf>
    <xf numFmtId="171" fontId="23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right" vertical="center"/>
    </xf>
    <xf numFmtId="171" fontId="8" fillId="15" borderId="1" applyAlignment="1" pivotButton="0" quotePrefix="0" xfId="0">
      <alignment horizontal="right" vertical="center"/>
    </xf>
    <xf numFmtId="173" fontId="8" fillId="1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5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4" borderId="1" applyAlignment="1" pivotButton="0" quotePrefix="0" xfId="0">
      <alignment horizontal="right" vertical="center"/>
    </xf>
    <xf numFmtId="165" fontId="24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6" fillId="7" borderId="0" applyAlignment="1" pivotButton="0" quotePrefix="0" xfId="0">
      <alignment horizontal="left" vertical="center" wrapText="1" indent="1"/>
    </xf>
    <xf numFmtId="0" fontId="26" fillId="17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left" vertical="center" indent="1"/>
    </xf>
    <xf numFmtId="0" fontId="27" fillId="4" borderId="1" applyAlignment="1" pivotButton="0" quotePrefix="0" xfId="0">
      <alignment horizontal="center" vertical="center" indent="1"/>
    </xf>
    <xf numFmtId="0" fontId="4" fillId="18" borderId="1" applyAlignment="1" pivotButton="0" quotePrefix="0" xfId="0">
      <alignment horizontal="left" vertical="center"/>
    </xf>
    <xf numFmtId="0" fontId="28" fillId="18" borderId="1" applyAlignment="1" pivotButton="0" quotePrefix="0" xfId="0">
      <alignment horizontal="center" vertical="center"/>
    </xf>
    <xf numFmtId="166" fontId="4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177" fontId="4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6" fillId="15" borderId="1" applyAlignment="1" pivotButton="0" quotePrefix="0" xfId="0">
      <alignment horizontal="left" vertical="center"/>
    </xf>
    <xf numFmtId="0" fontId="28" fillId="15" borderId="1" applyAlignment="1" pivotButton="0" quotePrefix="0" xfId="0">
      <alignment horizontal="center" vertical="center"/>
    </xf>
    <xf numFmtId="166" fontId="4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/>
    </xf>
    <xf numFmtId="0" fontId="30" fillId="19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177" fontId="4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1" fillId="20" borderId="1" applyAlignment="1" pivotButton="0" quotePrefix="0" xfId="0">
      <alignment horizontal="center" vertical="center"/>
    </xf>
    <xf numFmtId="0" fontId="32" fillId="17" borderId="1" applyAlignment="1" pivotButton="0" quotePrefix="0" xfId="0">
      <alignment horizontal="center" vertical="center"/>
    </xf>
    <xf numFmtId="0" fontId="33" fillId="21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3" fillId="5" borderId="1" applyAlignment="1" pivotButton="0" quotePrefix="0" xfId="0">
      <alignment horizontal="center" vertical="center"/>
    </xf>
    <xf numFmtId="0" fontId="34" fillId="5" borderId="1" applyAlignment="1" pivotButton="0" quotePrefix="0" xfId="0">
      <alignment horizontal="left" vertical="center" indent="1"/>
    </xf>
    <xf numFmtId="0" fontId="25" fillId="3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TSLA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94827</v>
      </c>
    </row>
    <row r="7">
      <c r="A7" s="4" t="inlineStr">
        <is>
          <t>Gross Profit ($mm)</t>
        </is>
      </c>
      <c r="B7" s="6" t="n">
        <v>17094</v>
      </c>
    </row>
    <row r="8">
      <c r="A8" s="4" t="inlineStr">
        <is>
          <t>EBITDA ($mm)</t>
        </is>
      </c>
      <c r="B8" s="6" t="n">
        <v>11764</v>
      </c>
    </row>
    <row r="9">
      <c r="A9" s="4" t="inlineStr">
        <is>
          <t>EBIT ($mm)</t>
        </is>
      </c>
      <c r="B9" s="6" t="n">
        <v>4355</v>
      </c>
    </row>
    <row r="10">
      <c r="A10" s="4" t="inlineStr">
        <is>
          <t>Net Income ($mm)</t>
        </is>
      </c>
      <c r="B10" s="6" t="n">
        <v>3794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53823</v>
      </c>
      <c r="C5" s="15" t="n">
        <v>81462</v>
      </c>
      <c r="D5" s="15" t="n">
        <v>96773</v>
      </c>
      <c r="E5" s="15" t="n">
        <v>97690</v>
      </c>
      <c r="F5" s="15" t="n">
        <v>94827</v>
      </c>
    </row>
    <row r="6">
      <c r="A6" s="16" t="inlineStr">
        <is>
          <t>(2)  Cost of Revenue (COGS)</t>
        </is>
      </c>
      <c r="B6" s="17" t="n">
        <v>40217</v>
      </c>
      <c r="C6" s="17" t="n">
        <v>60609</v>
      </c>
      <c r="D6" s="17" t="n">
        <v>79113</v>
      </c>
      <c r="E6" s="17" t="n">
        <v>80240</v>
      </c>
      <c r="F6" s="17" t="n">
        <v>77733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4517</v>
      </c>
      <c r="C9" s="17" t="n">
        <v>3946</v>
      </c>
      <c r="D9" s="17" t="n">
        <v>4800</v>
      </c>
      <c r="E9" s="17" t="n">
        <v>5150</v>
      </c>
      <c r="F9" s="17" t="n">
        <v>5834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7110</v>
      </c>
      <c r="C11" s="17" t="n">
        <v>7197</v>
      </c>
      <c r="D11" s="17" t="n">
        <v>8769</v>
      </c>
      <c r="E11" s="17" t="n">
        <v>10374</v>
      </c>
      <c r="F11" s="17" t="n">
        <v>12739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2911</v>
      </c>
      <c r="C14" s="17" t="n">
        <v>3747</v>
      </c>
      <c r="D14" s="17" t="n">
        <v>4667</v>
      </c>
      <c r="E14" s="17" t="n">
        <v>5368</v>
      </c>
      <c r="F14" s="17" t="n">
        <v>6148</v>
      </c>
    </row>
    <row r="15">
      <c r="A15" s="18" t="inlineStr">
        <is>
          <t>(8)  EBIT (Operating Income)</t>
        </is>
      </c>
      <c r="B15" s="23" t="n">
        <v>6523</v>
      </c>
      <c r="C15" s="23" t="n">
        <v>13656</v>
      </c>
      <c r="D15" s="23" t="n">
        <v>8891</v>
      </c>
      <c r="E15" s="23" t="n">
        <v>7076</v>
      </c>
      <c r="F15" s="23" t="n">
        <v>4355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371</v>
      </c>
      <c r="C17" s="17" t="n">
        <v>191</v>
      </c>
      <c r="D17" s="17" t="n">
        <v>156</v>
      </c>
      <c r="E17" s="17" t="n">
        <v>350</v>
      </c>
      <c r="F17" s="17" t="n">
        <v>338</v>
      </c>
    </row>
    <row r="18">
      <c r="A18" s="20" t="inlineStr">
        <is>
          <t xml:space="preserve">     Interest Income</t>
        </is>
      </c>
      <c r="B18" s="17" t="n">
        <v>56</v>
      </c>
      <c r="C18" s="17" t="n">
        <v>297</v>
      </c>
      <c r="D18" s="17" t="n">
        <v>1066</v>
      </c>
      <c r="E18" s="17" t="n">
        <v>1569</v>
      </c>
      <c r="F18" s="17" t="n">
        <v>1680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6343</v>
      </c>
      <c r="C21" s="23" t="n">
        <v>13719</v>
      </c>
      <c r="D21" s="23" t="n">
        <v>9973</v>
      </c>
      <c r="E21" s="23" t="n">
        <v>8990</v>
      </c>
      <c r="F21" s="23" t="n">
        <v>5278</v>
      </c>
    </row>
    <row r="22">
      <c r="A22" s="16" t="inlineStr">
        <is>
          <t>(11) Income Tax Expense</t>
        </is>
      </c>
      <c r="B22" s="17" t="n">
        <v>699</v>
      </c>
      <c r="C22" s="17" t="n">
        <v>1132</v>
      </c>
      <c r="D22" s="17" t="n">
        <v>-5001</v>
      </c>
      <c r="E22" s="17" t="n">
        <v>1837</v>
      </c>
      <c r="F22" s="17" t="n">
        <v>1423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5524</v>
      </c>
      <c r="C24" s="23" t="n">
        <v>12583</v>
      </c>
      <c r="D24" s="23" t="n">
        <v>14999</v>
      </c>
      <c r="E24" s="23" t="n">
        <v>7130</v>
      </c>
      <c r="F24" s="23" t="n">
        <v>3794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53823</v>
      </c>
      <c r="C30" s="15" t="n">
        <v>81462</v>
      </c>
      <c r="D30" s="15" t="n">
        <v>96773</v>
      </c>
      <c r="E30" s="15" t="n">
        <v>97690</v>
      </c>
      <c r="F30" s="15" t="n">
        <v>94827</v>
      </c>
    </row>
    <row r="31">
      <c r="A31" s="16" t="inlineStr">
        <is>
          <t>Cost of Revenue</t>
        </is>
      </c>
      <c r="B31" s="17" t="n">
        <v>40217</v>
      </c>
      <c r="C31" s="17" t="n">
        <v>60609</v>
      </c>
      <c r="D31" s="17" t="n">
        <v>79113</v>
      </c>
      <c r="E31" s="17" t="n">
        <v>80240</v>
      </c>
      <c r="F31" s="17" t="n">
        <v>77733</v>
      </c>
    </row>
    <row r="32">
      <c r="A32" s="25" t="inlineStr">
        <is>
          <t>Gross Profit</t>
        </is>
      </c>
      <c r="B32" s="26" t="n">
        <v>13606</v>
      </c>
      <c r="C32" s="26" t="n">
        <v>20853</v>
      </c>
      <c r="D32" s="26" t="n">
        <v>17660</v>
      </c>
      <c r="E32" s="26" t="n">
        <v>17450</v>
      </c>
      <c r="F32" s="26" t="n">
        <v>17094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2593</v>
      </c>
      <c r="C34" s="17" t="n">
        <v>3075</v>
      </c>
      <c r="D34" s="17" t="n">
        <v>3969</v>
      </c>
      <c r="E34" s="17" t="n">
        <v>4540</v>
      </c>
      <c r="F34" s="17" t="n">
        <v>6411</v>
      </c>
    </row>
    <row r="35">
      <c r="A35" s="16" t="inlineStr">
        <is>
          <t>General &amp; Administrative</t>
        </is>
      </c>
      <c r="B35" s="17" t="n">
        <v>4517</v>
      </c>
      <c r="C35" s="17" t="n">
        <v>3946</v>
      </c>
      <c r="D35" s="17" t="n">
        <v>4800</v>
      </c>
      <c r="E35" s="17" t="n">
        <v>5150</v>
      </c>
      <c r="F35" s="17" t="n">
        <v>5834</v>
      </c>
    </row>
    <row r="36">
      <c r="A36" s="16" t="inlineStr">
        <is>
          <t>Selling &amp; Marketing</t>
        </is>
      </c>
      <c r="B36" s="17" t="n">
        <v>0</v>
      </c>
      <c r="C36" s="17" t="n">
        <v>0</v>
      </c>
      <c r="D36" s="17" t="n">
        <v>0</v>
      </c>
      <c r="E36" s="17" t="n">
        <v>0</v>
      </c>
      <c r="F36" s="17" t="n">
        <v>0</v>
      </c>
    </row>
    <row r="37">
      <c r="A37" s="16" t="inlineStr">
        <is>
          <t>SG&amp;A (Combined)</t>
        </is>
      </c>
      <c r="B37" s="17" t="n">
        <v>4517</v>
      </c>
      <c r="C37" s="17" t="n">
        <v>3946</v>
      </c>
      <c r="D37" s="17" t="n">
        <v>4800</v>
      </c>
      <c r="E37" s="17" t="n">
        <v>5150</v>
      </c>
      <c r="F37" s="17" t="n">
        <v>5834</v>
      </c>
    </row>
    <row r="38">
      <c r="A38" s="16" t="inlineStr">
        <is>
          <t>Other Expenses</t>
        </is>
      </c>
      <c r="B38" s="17" t="n">
        <v>0</v>
      </c>
      <c r="C38" s="17" t="n">
        <v>176</v>
      </c>
      <c r="D38" s="17" t="n">
        <v>0</v>
      </c>
      <c r="E38" s="17" t="n">
        <v>684</v>
      </c>
      <c r="F38" s="17" t="n">
        <v>494</v>
      </c>
    </row>
    <row r="39">
      <c r="A39" s="25" t="inlineStr">
        <is>
          <t>Total Operating Expenses</t>
        </is>
      </c>
      <c r="B39" s="26" t="n">
        <v>7110</v>
      </c>
      <c r="C39" s="26" t="n">
        <v>7197</v>
      </c>
      <c r="D39" s="26" t="n">
        <v>8769</v>
      </c>
      <c r="E39" s="26" t="n">
        <v>10374</v>
      </c>
      <c r="F39" s="26" t="n">
        <v>12739</v>
      </c>
    </row>
    <row r="40">
      <c r="A40" s="16" t="inlineStr">
        <is>
          <t>Cost &amp; Expenses (COGS + Opex)</t>
        </is>
      </c>
      <c r="B40" s="17" t="n">
        <v>47327</v>
      </c>
      <c r="C40" s="17" t="n">
        <v>67806</v>
      </c>
      <c r="D40" s="17" t="n">
        <v>87882</v>
      </c>
      <c r="E40" s="17" t="n">
        <v>90614</v>
      </c>
      <c r="F40" s="17" t="n">
        <v>90472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6523</v>
      </c>
      <c r="C42" s="15" t="n">
        <v>13656</v>
      </c>
      <c r="D42" s="15" t="n">
        <v>8891</v>
      </c>
      <c r="E42" s="15" t="n">
        <v>7076</v>
      </c>
      <c r="F42" s="15" t="n">
        <v>4355</v>
      </c>
    </row>
    <row r="43">
      <c r="A43" s="16" t="inlineStr">
        <is>
          <t>EBIT (FMP field)</t>
        </is>
      </c>
      <c r="B43" s="17" t="n">
        <v>6714</v>
      </c>
      <c r="C43" s="17" t="n">
        <v>13910</v>
      </c>
      <c r="D43" s="17" t="n">
        <v>10129</v>
      </c>
      <c r="E43" s="17" t="n">
        <v>9340</v>
      </c>
      <c r="F43" s="17" t="n">
        <v>5616</v>
      </c>
    </row>
    <row r="44">
      <c r="A44" s="25" t="inlineStr">
        <is>
          <t>EBITDA</t>
        </is>
      </c>
      <c r="B44" s="26" t="n">
        <v>9625</v>
      </c>
      <c r="C44" s="26" t="n">
        <v>17657</v>
      </c>
      <c r="D44" s="26" t="n">
        <v>14796</v>
      </c>
      <c r="E44" s="26" t="n">
        <v>14708</v>
      </c>
      <c r="F44" s="26" t="n">
        <v>11764</v>
      </c>
    </row>
    <row r="45">
      <c r="A45" s="16" t="inlineStr">
        <is>
          <t>Depreciation &amp; Amortisation</t>
        </is>
      </c>
      <c r="B45" s="17" t="n">
        <v>2911</v>
      </c>
      <c r="C45" s="17" t="n">
        <v>3747</v>
      </c>
      <c r="D45" s="17" t="n">
        <v>4667</v>
      </c>
      <c r="E45" s="17" t="n">
        <v>5368</v>
      </c>
      <c r="F45" s="17" t="n">
        <v>6148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56</v>
      </c>
      <c r="C47" s="17" t="n">
        <v>297</v>
      </c>
      <c r="D47" s="17" t="n">
        <v>1066</v>
      </c>
      <c r="E47" s="17" t="n">
        <v>1569</v>
      </c>
      <c r="F47" s="17" t="n">
        <v>1680</v>
      </c>
    </row>
    <row r="48">
      <c r="A48" s="16" t="inlineStr">
        <is>
          <t>Interest Expense</t>
        </is>
      </c>
      <c r="B48" s="17" t="n">
        <v>371</v>
      </c>
      <c r="C48" s="17" t="n">
        <v>191</v>
      </c>
      <c r="D48" s="17" t="n">
        <v>156</v>
      </c>
      <c r="E48" s="17" t="n">
        <v>350</v>
      </c>
      <c r="F48" s="17" t="n">
        <v>338</v>
      </c>
    </row>
    <row r="49">
      <c r="A49" s="16" t="inlineStr">
        <is>
          <t>Net Interest Income</t>
        </is>
      </c>
      <c r="B49" s="17" t="n">
        <v>-315</v>
      </c>
      <c r="C49" s="17" t="n">
        <v>106</v>
      </c>
      <c r="D49" s="17" t="n">
        <v>910</v>
      </c>
      <c r="E49" s="17" t="n">
        <v>1219</v>
      </c>
      <c r="F49" s="17" t="n">
        <v>1342</v>
      </c>
    </row>
    <row r="50">
      <c r="A50" s="16" t="inlineStr">
        <is>
          <t>Non-Operating Income (ex-interest)</t>
        </is>
      </c>
      <c r="B50" s="17" t="n">
        <v>-191</v>
      </c>
      <c r="C50" s="17" t="n">
        <v>-254</v>
      </c>
      <c r="D50" s="17" t="n">
        <v>-1238</v>
      </c>
      <c r="E50" s="17" t="n">
        <v>-2264</v>
      </c>
      <c r="F50" s="17" t="n">
        <v>-1261</v>
      </c>
    </row>
    <row r="51">
      <c r="A51" s="16" t="inlineStr">
        <is>
          <t>Total Other Income / (Expenses)</t>
        </is>
      </c>
      <c r="B51" s="17" t="n">
        <v>-180</v>
      </c>
      <c r="C51" s="17" t="n">
        <v>63</v>
      </c>
      <c r="D51" s="17" t="n">
        <v>1082</v>
      </c>
      <c r="E51" s="17" t="n">
        <v>1914</v>
      </c>
      <c r="F51" s="17" t="n">
        <v>923</v>
      </c>
    </row>
    <row r="52">
      <c r="A52" s="25" t="inlineStr">
        <is>
          <t>EBT / Income Before Tax</t>
        </is>
      </c>
      <c r="B52" s="26" t="n">
        <v>6343</v>
      </c>
      <c r="C52" s="26" t="n">
        <v>13719</v>
      </c>
      <c r="D52" s="26" t="n">
        <v>9973</v>
      </c>
      <c r="E52" s="26" t="n">
        <v>8990</v>
      </c>
      <c r="F52" s="26" t="n">
        <v>5278</v>
      </c>
    </row>
    <row r="53">
      <c r="A53" s="16" t="inlineStr">
        <is>
          <t>Income Tax Expense</t>
        </is>
      </c>
      <c r="B53" s="17" t="n">
        <v>699</v>
      </c>
      <c r="C53" s="17" t="n">
        <v>1132</v>
      </c>
      <c r="D53" s="17" t="n">
        <v>-5001</v>
      </c>
      <c r="E53" s="17" t="n">
        <v>1837</v>
      </c>
      <c r="F53" s="17" t="n">
        <v>1423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5644</v>
      </c>
      <c r="C55" s="17" t="n">
        <v>12587</v>
      </c>
      <c r="D55" s="17" t="n">
        <v>14974</v>
      </c>
      <c r="E55" s="17" t="n">
        <v>7153</v>
      </c>
      <c r="F55" s="17" t="n">
        <v>3855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5</v>
      </c>
      <c r="C57" s="17" t="n">
        <v>27</v>
      </c>
      <c r="D57" s="17" t="n">
        <v>2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-4</v>
      </c>
      <c r="C58" s="17" t="n">
        <v>-1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5524</v>
      </c>
      <c r="C59" s="26" t="n">
        <v>12583</v>
      </c>
      <c r="D59" s="26" t="n">
        <v>14999</v>
      </c>
      <c r="E59" s="26" t="n">
        <v>7130</v>
      </c>
      <c r="F59" s="26" t="n">
        <v>3794</v>
      </c>
    </row>
    <row r="60">
      <c r="A60" s="14" t="inlineStr">
        <is>
          <t>Bottom Line Net Income</t>
        </is>
      </c>
      <c r="B60" s="15" t="n">
        <v>5533</v>
      </c>
      <c r="C60" s="15" t="n">
        <v>12584</v>
      </c>
      <c r="D60" s="15" t="n">
        <v>14999</v>
      </c>
      <c r="E60" s="15" t="n">
        <v>7130</v>
      </c>
      <c r="F60" s="15" t="n">
        <v>3794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1.87</v>
      </c>
      <c r="C62" s="17" t="n">
        <v>4.02</v>
      </c>
      <c r="D62" s="17" t="n">
        <v>4.73</v>
      </c>
      <c r="E62" s="17" t="n">
        <v>2.2302</v>
      </c>
      <c r="F62" s="17" t="n">
        <v>1.18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2959</v>
      </c>
      <c r="C64" s="17" t="n">
        <v>3130</v>
      </c>
      <c r="D64" s="17" t="n">
        <v>3173.5</v>
      </c>
      <c r="E64" s="17" t="n">
        <v>3197</v>
      </c>
      <c r="F64" s="17" t="n">
        <v>3225</v>
      </c>
    </row>
    <row r="65">
      <c r="A65" s="16" t="inlineStr">
        <is>
          <t>Shares Outstanding — Diluted (mm)</t>
        </is>
      </c>
      <c r="B65" s="17" t="n">
        <v>3386</v>
      </c>
      <c r="C65" s="17" t="n">
        <v>3475</v>
      </c>
      <c r="D65" s="17" t="n">
        <v>3482.75</v>
      </c>
      <c r="E65" s="17" t="n">
        <v>3498</v>
      </c>
      <c r="F65" s="17" t="n">
        <v>3528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17576</v>
      </c>
      <c r="C5" s="17" t="n">
        <v>16253</v>
      </c>
      <c r="D5" s="17" t="n">
        <v>16398</v>
      </c>
      <c r="E5" s="17" t="n">
        <v>16139</v>
      </c>
      <c r="F5" s="17" t="n">
        <v>16513</v>
      </c>
    </row>
    <row r="6">
      <c r="A6" s="16" t="inlineStr">
        <is>
          <t>(2)  Receivables</t>
        </is>
      </c>
      <c r="B6" s="17" t="n">
        <v>1913</v>
      </c>
      <c r="C6" s="17" t="n">
        <v>2952</v>
      </c>
      <c r="D6" s="17" t="n">
        <v>3508</v>
      </c>
      <c r="E6" s="17" t="n">
        <v>4418</v>
      </c>
      <c r="F6" s="17" t="n">
        <v>4576</v>
      </c>
    </row>
    <row r="7">
      <c r="A7" s="16" t="inlineStr">
        <is>
          <t>(3)  Inventory</t>
        </is>
      </c>
      <c r="B7" s="17" t="n">
        <v>5757</v>
      </c>
      <c r="C7" s="17" t="n">
        <v>12839</v>
      </c>
      <c r="D7" s="17" t="n">
        <v>13626</v>
      </c>
      <c r="E7" s="17" t="n">
        <v>12017</v>
      </c>
      <c r="F7" s="17" t="n">
        <v>12392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27100</v>
      </c>
      <c r="C9" s="23" t="n">
        <v>40917</v>
      </c>
      <c r="D9" s="23" t="n">
        <v>49616</v>
      </c>
      <c r="E9" s="23" t="n">
        <v>58360</v>
      </c>
      <c r="F9" s="23" t="n">
        <v>68642</v>
      </c>
    </row>
    <row r="10">
      <c r="A10" s="16" t="inlineStr">
        <is>
          <t>(6)  PP&amp;E (Net)</t>
        </is>
      </c>
      <c r="B10" s="17" t="n">
        <v>31176</v>
      </c>
      <c r="C10" s="17" t="n">
        <v>36635</v>
      </c>
      <c r="D10" s="17" t="n">
        <v>45123</v>
      </c>
      <c r="E10" s="17" t="n">
        <v>51507</v>
      </c>
      <c r="F10" s="17" t="n">
        <v>40643</v>
      </c>
    </row>
    <row r="11">
      <c r="A11" s="16" t="inlineStr">
        <is>
          <t>(7)  Goodwill</t>
        </is>
      </c>
      <c r="B11" s="17" t="n">
        <v>200</v>
      </c>
      <c r="C11" s="17" t="n">
        <v>194</v>
      </c>
      <c r="D11" s="17" t="n">
        <v>253</v>
      </c>
      <c r="E11" s="17" t="n">
        <v>244</v>
      </c>
      <c r="F11" s="17" t="n">
        <v>257</v>
      </c>
    </row>
    <row r="12">
      <c r="A12" s="16" t="inlineStr">
        <is>
          <t>(8)  Deferred Tax Assets</t>
        </is>
      </c>
      <c r="B12" s="17" t="n">
        <v>0</v>
      </c>
      <c r="C12" s="17" t="n">
        <v>328</v>
      </c>
      <c r="D12" s="17" t="n">
        <v>6733</v>
      </c>
      <c r="E12" s="17" t="n">
        <v>6524</v>
      </c>
      <c r="F12" s="17" t="n">
        <v>6925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35027</v>
      </c>
      <c r="C14" s="23" t="n">
        <v>41421</v>
      </c>
      <c r="D14" s="23" t="n">
        <v>57003</v>
      </c>
      <c r="E14" s="23" t="n">
        <v>63716</v>
      </c>
      <c r="F14" s="23" t="n">
        <v>69164</v>
      </c>
    </row>
    <row r="15">
      <c r="A15" s="18" t="inlineStr">
        <is>
          <t>(11) Total Assets</t>
        </is>
      </c>
      <c r="B15" s="23" t="n">
        <v>62131</v>
      </c>
      <c r="C15" s="23" t="n">
        <v>82338</v>
      </c>
      <c r="D15" s="23" t="n">
        <v>106618</v>
      </c>
      <c r="E15" s="23" t="n">
        <v>122070</v>
      </c>
      <c r="F15" s="23" t="n">
        <v>137806</v>
      </c>
    </row>
    <row r="16" ht="6" customHeight="1"/>
    <row r="17">
      <c r="A17" s="16" t="inlineStr">
        <is>
          <t>(12) Accounts Payable</t>
        </is>
      </c>
      <c r="B17" s="17" t="n">
        <v>10025</v>
      </c>
      <c r="C17" s="17" t="n">
        <v>15255</v>
      </c>
      <c r="D17" s="17" t="n">
        <v>14431</v>
      </c>
      <c r="E17" s="17" t="n">
        <v>12474</v>
      </c>
      <c r="F17" s="17" t="n">
        <v>13371</v>
      </c>
    </row>
    <row r="18">
      <c r="A18" s="16" t="inlineStr">
        <is>
          <t>(13) Short-Term Borrowings</t>
        </is>
      </c>
      <c r="B18" s="17" t="n">
        <v>1088</v>
      </c>
      <c r="C18" s="17" t="n">
        <v>1016</v>
      </c>
      <c r="D18" s="17" t="n">
        <v>1975</v>
      </c>
      <c r="E18" s="17" t="n">
        <v>2343</v>
      </c>
      <c r="F18" s="17" t="n">
        <v>1640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19705</v>
      </c>
      <c r="C21" s="23" t="n">
        <v>26709</v>
      </c>
      <c r="D21" s="23" t="n">
        <v>28748</v>
      </c>
      <c r="E21" s="23" t="n">
        <v>28821</v>
      </c>
      <c r="F21" s="23" t="n">
        <v>31714</v>
      </c>
    </row>
    <row r="22">
      <c r="A22" s="16" t="inlineStr">
        <is>
          <t>(17) Long-Term Debt</t>
        </is>
      </c>
      <c r="B22" s="17" t="n">
        <v>4254</v>
      </c>
      <c r="C22" s="17" t="n">
        <v>1029</v>
      </c>
      <c r="D22" s="17" t="n">
        <v>2682</v>
      </c>
      <c r="E22" s="17" t="n">
        <v>5535</v>
      </c>
      <c r="F22" s="17" t="n">
        <v>6736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30548</v>
      </c>
      <c r="C25" s="23" t="n">
        <v>36440</v>
      </c>
      <c r="D25" s="23" t="n">
        <v>43009</v>
      </c>
      <c r="E25" s="23" t="n">
        <v>48390</v>
      </c>
      <c r="F25" s="23" t="n">
        <v>54941</v>
      </c>
    </row>
    <row r="26" ht="6" customHeight="1"/>
    <row r="27">
      <c r="A27" s="16" t="inlineStr">
        <is>
          <t>(21) Common Stock &amp; APIC</t>
        </is>
      </c>
      <c r="B27" s="17" t="n">
        <v>3</v>
      </c>
      <c r="C27" s="17" t="n">
        <v>3</v>
      </c>
      <c r="D27" s="17" t="n">
        <v>3</v>
      </c>
      <c r="E27" s="17" t="n">
        <v>3</v>
      </c>
      <c r="F27" s="17" t="n">
        <v>3</v>
      </c>
    </row>
    <row r="28">
      <c r="A28" s="16" t="inlineStr">
        <is>
          <t>(22) Retained Earnings</t>
        </is>
      </c>
      <c r="B28" s="17" t="n">
        <v>329</v>
      </c>
      <c r="C28" s="17" t="n">
        <v>12885</v>
      </c>
      <c r="D28" s="17" t="n">
        <v>27882</v>
      </c>
      <c r="E28" s="17" t="n">
        <v>35209</v>
      </c>
      <c r="F28" s="17" t="n">
        <v>39003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30189</v>
      </c>
      <c r="C30" s="23" t="n">
        <v>44704</v>
      </c>
      <c r="D30" s="23" t="n">
        <v>62634</v>
      </c>
      <c r="E30" s="23" t="n">
        <v>72913</v>
      </c>
      <c r="F30" s="23" t="n">
        <v>82137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17576</v>
      </c>
      <c r="C36" s="17" t="n">
        <v>16253</v>
      </c>
      <c r="D36" s="17" t="n">
        <v>16398</v>
      </c>
      <c r="E36" s="17" t="n">
        <v>16139</v>
      </c>
      <c r="F36" s="17" t="n">
        <v>16513</v>
      </c>
    </row>
    <row r="37">
      <c r="A37" s="16" t="inlineStr">
        <is>
          <t>Short-Term Investments</t>
        </is>
      </c>
      <c r="B37" s="17" t="n">
        <v>131</v>
      </c>
      <c r="C37" s="17" t="n">
        <v>5932</v>
      </c>
      <c r="D37" s="17" t="n">
        <v>12696</v>
      </c>
      <c r="E37" s="17" t="n">
        <v>20424</v>
      </c>
      <c r="F37" s="17" t="n">
        <v>27546</v>
      </c>
    </row>
    <row r="38">
      <c r="A38" s="27" t="inlineStr">
        <is>
          <t>Cash &amp; Short-Term Investments</t>
        </is>
      </c>
      <c r="B38" s="28" t="n">
        <v>17707</v>
      </c>
      <c r="C38" s="28" t="n">
        <v>22185</v>
      </c>
      <c r="D38" s="28" t="n">
        <v>29094</v>
      </c>
      <c r="E38" s="28" t="n">
        <v>36563</v>
      </c>
      <c r="F38" s="28" t="n">
        <v>44059</v>
      </c>
    </row>
    <row r="39">
      <c r="A39" s="16" t="inlineStr">
        <is>
          <t>Accounts Receivable (Trade)</t>
        </is>
      </c>
      <c r="B39" s="17" t="n">
        <v>1913</v>
      </c>
      <c r="C39" s="17" t="n">
        <v>2952</v>
      </c>
      <c r="D39" s="17" t="n">
        <v>3508</v>
      </c>
      <c r="E39" s="17" t="n">
        <v>4418</v>
      </c>
      <c r="F39" s="17" t="n">
        <v>4576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1913</v>
      </c>
      <c r="C41" s="28" t="n">
        <v>2952</v>
      </c>
      <c r="D41" s="28" t="n">
        <v>3508</v>
      </c>
      <c r="E41" s="28" t="n">
        <v>4418</v>
      </c>
      <c r="F41" s="28" t="n">
        <v>4576</v>
      </c>
    </row>
    <row r="42">
      <c r="A42" s="16" t="inlineStr">
        <is>
          <t>Inventory</t>
        </is>
      </c>
      <c r="B42" s="17" t="n">
        <v>5757</v>
      </c>
      <c r="C42" s="17" t="n">
        <v>12839</v>
      </c>
      <c r="D42" s="17" t="n">
        <v>13626</v>
      </c>
      <c r="E42" s="17" t="n">
        <v>12017</v>
      </c>
      <c r="F42" s="17" t="n">
        <v>12392</v>
      </c>
    </row>
    <row r="43">
      <c r="A43" s="16" t="inlineStr">
        <is>
          <t>Prepaids</t>
        </is>
      </c>
      <c r="B43" s="17" t="n">
        <v>1723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2941</v>
      </c>
      <c r="D44" s="17" t="n">
        <v>3388</v>
      </c>
      <c r="E44" s="17" t="n">
        <v>5362</v>
      </c>
      <c r="F44" s="17" t="n">
        <v>7615</v>
      </c>
    </row>
    <row r="45">
      <c r="A45" s="25" t="inlineStr">
        <is>
          <t>Total Current Assets</t>
        </is>
      </c>
      <c r="B45" s="26" t="n">
        <v>27100</v>
      </c>
      <c r="C45" s="26" t="n">
        <v>40917</v>
      </c>
      <c r="D45" s="26" t="n">
        <v>49616</v>
      </c>
      <c r="E45" s="26" t="n">
        <v>58360</v>
      </c>
      <c r="F45" s="26" t="n">
        <v>68642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31176</v>
      </c>
      <c r="C47" s="17" t="n">
        <v>36635</v>
      </c>
      <c r="D47" s="17" t="n">
        <v>45123</v>
      </c>
      <c r="E47" s="17" t="n">
        <v>51507</v>
      </c>
      <c r="F47" s="17" t="n">
        <v>40643</v>
      </c>
    </row>
    <row r="48">
      <c r="A48" s="16" t="inlineStr">
        <is>
          <t>Goodwill</t>
        </is>
      </c>
      <c r="B48" s="17" t="n">
        <v>200</v>
      </c>
      <c r="C48" s="17" t="n">
        <v>194</v>
      </c>
      <c r="D48" s="17" t="n">
        <v>253</v>
      </c>
      <c r="E48" s="17" t="n">
        <v>244</v>
      </c>
      <c r="F48" s="17" t="n">
        <v>257</v>
      </c>
    </row>
    <row r="49">
      <c r="A49" s="16" t="inlineStr">
        <is>
          <t>Intangible Assets</t>
        </is>
      </c>
      <c r="B49" s="17" t="n">
        <v>1517</v>
      </c>
      <c r="C49" s="17" t="n">
        <v>399</v>
      </c>
      <c r="D49" s="17" t="n">
        <v>362</v>
      </c>
      <c r="E49" s="17" t="n">
        <v>1226</v>
      </c>
      <c r="F49" s="17" t="n">
        <v>135</v>
      </c>
    </row>
    <row r="50">
      <c r="A50" s="16" t="inlineStr">
        <is>
          <t>Long-Term Investments</t>
        </is>
      </c>
      <c r="B50" s="17" t="n">
        <v>522</v>
      </c>
      <c r="C50" s="17" t="n">
        <v>657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Tax Assets (Deferred)</t>
        </is>
      </c>
      <c r="B51" s="17" t="n">
        <v>0</v>
      </c>
      <c r="C51" s="17" t="n">
        <v>328</v>
      </c>
      <c r="D51" s="17" t="n">
        <v>6733</v>
      </c>
      <c r="E51" s="17" t="n">
        <v>6524</v>
      </c>
      <c r="F51" s="17" t="n">
        <v>6925</v>
      </c>
    </row>
    <row r="52">
      <c r="A52" s="16" t="inlineStr">
        <is>
          <t>Total Investments</t>
        </is>
      </c>
      <c r="B52" s="17" t="n">
        <v>653</v>
      </c>
      <c r="C52" s="17" t="n">
        <v>6589</v>
      </c>
      <c r="D52" s="17" t="n">
        <v>12696</v>
      </c>
      <c r="E52" s="17" t="n">
        <v>20424</v>
      </c>
      <c r="F52" s="17" t="n">
        <v>27546</v>
      </c>
    </row>
    <row r="53">
      <c r="A53" s="16" t="inlineStr">
        <is>
          <t>Other Non-Current Assets</t>
        </is>
      </c>
      <c r="B53" s="17" t="n">
        <v>1612</v>
      </c>
      <c r="C53" s="17" t="n">
        <v>3208</v>
      </c>
      <c r="D53" s="17" t="n">
        <v>4532</v>
      </c>
      <c r="E53" s="17" t="n">
        <v>4215</v>
      </c>
      <c r="F53" s="17" t="n">
        <v>21204</v>
      </c>
    </row>
    <row r="54">
      <c r="A54" s="25" t="inlineStr">
        <is>
          <t>Total Non-Current Assets</t>
        </is>
      </c>
      <c r="B54" s="26" t="n">
        <v>35027</v>
      </c>
      <c r="C54" s="26" t="n">
        <v>41421</v>
      </c>
      <c r="D54" s="26" t="n">
        <v>57003</v>
      </c>
      <c r="E54" s="26" t="n">
        <v>63716</v>
      </c>
      <c r="F54" s="26" t="n">
        <v>69164</v>
      </c>
    </row>
    <row r="55">
      <c r="A55" s="12" t="inlineStr">
        <is>
          <t>TOTAL ASSETS</t>
        </is>
      </c>
      <c r="B55" s="29" t="n">
        <v>62131</v>
      </c>
      <c r="C55" s="29" t="n">
        <v>82338</v>
      </c>
      <c r="D55" s="29" t="n">
        <v>106618</v>
      </c>
      <c r="E55" s="29" t="n">
        <v>122070</v>
      </c>
      <c r="F55" s="29" t="n">
        <v>137806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10025</v>
      </c>
      <c r="C57" s="17" t="n">
        <v>15255</v>
      </c>
      <c r="D57" s="17" t="n">
        <v>14431</v>
      </c>
      <c r="E57" s="17" t="n">
        <v>12474</v>
      </c>
      <c r="F57" s="17" t="n">
        <v>13371</v>
      </c>
    </row>
    <row r="58">
      <c r="A58" s="16" t="inlineStr">
        <is>
          <t>Short-Term Debt</t>
        </is>
      </c>
      <c r="B58" s="17" t="n">
        <v>1088</v>
      </c>
      <c r="C58" s="17" t="n">
        <v>1016</v>
      </c>
      <c r="D58" s="17" t="n">
        <v>1975</v>
      </c>
      <c r="E58" s="17" t="n">
        <v>2343</v>
      </c>
      <c r="F58" s="17" t="n">
        <v>1640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2372</v>
      </c>
      <c r="C60" s="17" t="n">
        <v>2810</v>
      </c>
      <c r="D60" s="17" t="n">
        <v>3740</v>
      </c>
      <c r="E60" s="17" t="n">
        <v>4161</v>
      </c>
      <c r="F60" s="17" t="n">
        <v>3424</v>
      </c>
    </row>
    <row r="61">
      <c r="A61" s="16" t="inlineStr">
        <is>
          <t>Accrued &amp; Other Current Liabilities</t>
        </is>
      </c>
      <c r="B61" s="17" t="n">
        <v>1278</v>
      </c>
      <c r="C61" s="17" t="n">
        <v>1649</v>
      </c>
      <c r="D61" s="17" t="n">
        <v>2282</v>
      </c>
      <c r="E61" s="17" t="n">
        <v>3771</v>
      </c>
      <c r="F61" s="17" t="n">
        <v>9494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19705</v>
      </c>
      <c r="C63" s="26" t="n">
        <v>26709</v>
      </c>
      <c r="D63" s="26" t="n">
        <v>28748</v>
      </c>
      <c r="E63" s="26" t="n">
        <v>28821</v>
      </c>
      <c r="F63" s="26" t="n">
        <v>31714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4254</v>
      </c>
      <c r="C65" s="17" t="n">
        <v>1029</v>
      </c>
      <c r="D65" s="17" t="n">
        <v>2682</v>
      </c>
      <c r="E65" s="17" t="n">
        <v>5535</v>
      </c>
      <c r="F65" s="17" t="n">
        <v>6736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2052</v>
      </c>
      <c r="C67" s="17" t="n">
        <v>2804</v>
      </c>
      <c r="D67" s="17" t="n">
        <v>3251</v>
      </c>
      <c r="E67" s="17" t="n">
        <v>3317</v>
      </c>
      <c r="F67" s="17" t="n">
        <v>3631</v>
      </c>
    </row>
    <row r="68">
      <c r="A68" s="16" t="inlineStr">
        <is>
          <t>Deferred Tax Liabilities</t>
        </is>
      </c>
      <c r="B68" s="17" t="n">
        <v>24</v>
      </c>
      <c r="C68" s="17" t="n">
        <v>82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1851</v>
      </c>
      <c r="C69" s="17" t="n">
        <v>3084</v>
      </c>
      <c r="D69" s="17" t="n">
        <v>4482</v>
      </c>
      <c r="E69" s="17" t="n">
        <v>5892</v>
      </c>
      <c r="F69" s="17" t="n">
        <v>12860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30548</v>
      </c>
      <c r="C71" s="29" t="n">
        <v>36440</v>
      </c>
      <c r="D71" s="29" t="n">
        <v>43009</v>
      </c>
      <c r="E71" s="29" t="n">
        <v>48390</v>
      </c>
      <c r="F71" s="29" t="n">
        <v>54941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3</v>
      </c>
      <c r="C73" s="17" t="n">
        <v>3</v>
      </c>
      <c r="D73" s="17" t="n">
        <v>3</v>
      </c>
      <c r="E73" s="17" t="n">
        <v>3</v>
      </c>
      <c r="F73" s="17" t="n">
        <v>3</v>
      </c>
    </row>
    <row r="74">
      <c r="A74" s="16" t="inlineStr">
        <is>
          <t>Retained Earnings</t>
        </is>
      </c>
      <c r="B74" s="17" t="n">
        <v>329</v>
      </c>
      <c r="C74" s="17" t="n">
        <v>12885</v>
      </c>
      <c r="D74" s="17" t="n">
        <v>27882</v>
      </c>
      <c r="E74" s="17" t="n">
        <v>35209</v>
      </c>
      <c r="F74" s="17" t="n">
        <v>39003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1394</v>
      </c>
      <c r="C77" s="17" t="n">
        <v>1194</v>
      </c>
      <c r="D77" s="17" t="n">
        <v>975</v>
      </c>
      <c r="E77" s="17" t="n">
        <v>767</v>
      </c>
      <c r="F77" s="17" t="n">
        <v>728</v>
      </c>
    </row>
    <row r="78">
      <c r="A78" s="25" t="inlineStr">
        <is>
          <t>Total Equity (inc. Minority)</t>
        </is>
      </c>
      <c r="B78" s="26" t="n">
        <v>31583</v>
      </c>
      <c r="C78" s="26" t="n">
        <v>45898</v>
      </c>
      <c r="D78" s="26" t="n">
        <v>63609</v>
      </c>
      <c r="E78" s="26" t="n">
        <v>73680</v>
      </c>
      <c r="F78" s="26" t="n">
        <v>82865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8873</v>
      </c>
      <c r="C80" s="15" t="n">
        <v>5748</v>
      </c>
      <c r="D80" s="15" t="n">
        <v>9573</v>
      </c>
      <c r="E80" s="15" t="n">
        <v>13623</v>
      </c>
      <c r="F80" s="15" t="n">
        <v>8376</v>
      </c>
    </row>
    <row r="81">
      <c r="A81" s="14" t="inlineStr">
        <is>
          <t>Net Debt</t>
        </is>
      </c>
      <c r="B81" s="15" t="n">
        <v>-8703</v>
      </c>
      <c r="C81" s="15" t="n">
        <v>-10505</v>
      </c>
      <c r="D81" s="15" t="n">
        <v>-6825</v>
      </c>
      <c r="E81" s="15" t="n">
        <v>-2516</v>
      </c>
      <c r="F81" s="15" t="n">
        <v>-8137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11497</v>
      </c>
      <c r="C5" s="23" t="n">
        <v>14724</v>
      </c>
      <c r="D5" s="23" t="n">
        <v>13256</v>
      </c>
      <c r="E5" s="23" t="n">
        <v>14923</v>
      </c>
      <c r="F5" s="23" t="n">
        <v>14747</v>
      </c>
    </row>
    <row r="6">
      <c r="A6" s="16" t="inlineStr">
        <is>
          <t>(2)  Capital Expenditures</t>
        </is>
      </c>
      <c r="B6" s="17" t="n">
        <v>-8014</v>
      </c>
      <c r="C6" s="17" t="n">
        <v>-7172</v>
      </c>
      <c r="D6" s="17" t="n">
        <v>-8899</v>
      </c>
      <c r="E6" s="17" t="n">
        <v>-11342</v>
      </c>
      <c r="F6" s="17" t="n">
        <v>-8527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-5732</v>
      </c>
      <c r="C9" s="17" t="n">
        <v>-3866</v>
      </c>
      <c r="D9" s="17" t="n">
        <v>2116</v>
      </c>
      <c r="E9" s="17" t="n">
        <v>2863</v>
      </c>
      <c r="F9" s="17" t="n">
        <v>-3158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707</v>
      </c>
      <c r="C11" s="17" t="n">
        <v>541</v>
      </c>
      <c r="D11" s="17" t="n">
        <v>700</v>
      </c>
      <c r="E11" s="17" t="n">
        <v>1241</v>
      </c>
      <c r="F11" s="17" t="n">
        <v>222</v>
      </c>
    </row>
    <row r="12">
      <c r="A12" s="16" t="inlineStr">
        <is>
          <t>(7)  Dividends Paid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3483</v>
      </c>
      <c r="C15" s="23" t="n">
        <v>7552</v>
      </c>
      <c r="D15" s="23" t="n">
        <v>4357</v>
      </c>
      <c r="E15" s="23" t="n">
        <v>3581</v>
      </c>
      <c r="F15" s="23" t="n">
        <v>6220</v>
      </c>
    </row>
    <row r="16">
      <c r="A16" s="14" t="inlineStr">
        <is>
          <t xml:space="preserve">     Net Change in Cash</t>
        </is>
      </c>
      <c r="B16" s="15" t="n">
        <v>-1757</v>
      </c>
      <c r="C16" s="15" t="n">
        <v>-1220</v>
      </c>
      <c r="D16" s="15" t="n">
        <v>265</v>
      </c>
      <c r="E16" s="15" t="n">
        <v>-152</v>
      </c>
      <c r="F16" s="15" t="n">
        <v>579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5519</v>
      </c>
      <c r="C21" s="17" t="n">
        <v>12583</v>
      </c>
      <c r="D21" s="17" t="n">
        <v>14999</v>
      </c>
      <c r="E21" s="17" t="n">
        <v>7130</v>
      </c>
      <c r="F21" s="17" t="n">
        <v>3855</v>
      </c>
    </row>
    <row r="22">
      <c r="A22" s="16" t="inlineStr">
        <is>
          <t>Depreciation &amp; Amortisation</t>
        </is>
      </c>
      <c r="B22" s="17" t="n">
        <v>2911</v>
      </c>
      <c r="C22" s="17" t="n">
        <v>3543</v>
      </c>
      <c r="D22" s="17" t="n">
        <v>4667</v>
      </c>
      <c r="E22" s="17" t="n">
        <v>5368</v>
      </c>
      <c r="F22" s="17" t="n">
        <v>6148</v>
      </c>
    </row>
    <row r="23">
      <c r="A23" s="16" t="inlineStr">
        <is>
          <t>Deferred Income Tax</t>
        </is>
      </c>
      <c r="B23" s="17" t="n">
        <v>-149</v>
      </c>
      <c r="C23" s="17" t="n">
        <v>0</v>
      </c>
      <c r="D23" s="17" t="n">
        <v>-6349</v>
      </c>
      <c r="E23" s="17" t="n">
        <v>477</v>
      </c>
      <c r="F23" s="17" t="n">
        <v>123</v>
      </c>
    </row>
    <row r="24">
      <c r="A24" s="16" t="inlineStr">
        <is>
          <t>Stock-Based Compensation</t>
        </is>
      </c>
      <c r="B24" s="17" t="n">
        <v>2121</v>
      </c>
      <c r="C24" s="17" t="n">
        <v>1560</v>
      </c>
      <c r="D24" s="17" t="n">
        <v>1812</v>
      </c>
      <c r="E24" s="17" t="n">
        <v>1999</v>
      </c>
      <c r="F24" s="17" t="n">
        <v>2825</v>
      </c>
    </row>
    <row r="25">
      <c r="A25" s="16" t="inlineStr">
        <is>
          <t>Change in Working Capital</t>
        </is>
      </c>
      <c r="B25" s="17" t="n">
        <v>667</v>
      </c>
      <c r="C25" s="17" t="n">
        <v>-3712</v>
      </c>
      <c r="D25" s="17" t="n">
        <v>-2248</v>
      </c>
      <c r="E25" s="17" t="n">
        <v>81</v>
      </c>
      <c r="F25" s="17" t="n">
        <v>642</v>
      </c>
    </row>
    <row r="26">
      <c r="A26" s="20" t="inlineStr">
        <is>
          <t xml:space="preserve">  — Accounts Receivable</t>
        </is>
      </c>
      <c r="B26" s="17" t="n">
        <v>-130</v>
      </c>
      <c r="C26" s="17" t="n">
        <v>-1124</v>
      </c>
      <c r="D26" s="17" t="n">
        <v>-586</v>
      </c>
      <c r="E26" s="17" t="n">
        <v>-1083</v>
      </c>
      <c r="F26" s="17" t="n">
        <v>-261</v>
      </c>
    </row>
    <row r="27">
      <c r="A27" s="20" t="inlineStr">
        <is>
          <t xml:space="preserve">  — Inventory</t>
        </is>
      </c>
      <c r="B27" s="17" t="n">
        <v>-1709</v>
      </c>
      <c r="C27" s="17" t="n">
        <v>-6465</v>
      </c>
      <c r="D27" s="17" t="n">
        <v>-1195</v>
      </c>
      <c r="E27" s="17" t="n">
        <v>937</v>
      </c>
      <c r="F27" s="17" t="n">
        <v>-630</v>
      </c>
    </row>
    <row r="28">
      <c r="A28" s="20" t="inlineStr">
        <is>
          <t xml:space="preserve">  — Accounts Payable</t>
        </is>
      </c>
      <c r="B28" s="17" t="n">
        <v>4578</v>
      </c>
      <c r="C28" s="17" t="n">
        <v>6029</v>
      </c>
      <c r="D28" s="17" t="n">
        <v>2605</v>
      </c>
      <c r="E28" s="17" t="n">
        <v>3588</v>
      </c>
      <c r="F28" s="17" t="n">
        <v>4376</v>
      </c>
    </row>
    <row r="29">
      <c r="A29" s="20" t="inlineStr">
        <is>
          <t xml:space="preserve">  — Other Working Capital</t>
        </is>
      </c>
      <c r="B29" s="17" t="n">
        <v>-2072</v>
      </c>
      <c r="C29" s="17" t="n">
        <v>-2152</v>
      </c>
      <c r="D29" s="17" t="n">
        <v>-3072</v>
      </c>
      <c r="E29" s="17" t="n">
        <v>-3361</v>
      </c>
      <c r="F29" s="17" t="n">
        <v>-2843</v>
      </c>
    </row>
    <row r="30">
      <c r="A30" s="16" t="inlineStr">
        <is>
          <t>Other Non-Cash Items</t>
        </is>
      </c>
      <c r="B30" s="17" t="n">
        <v>428</v>
      </c>
      <c r="C30" s="17" t="n">
        <v>777</v>
      </c>
      <c r="D30" s="17" t="n">
        <v>400</v>
      </c>
      <c r="E30" s="17" t="n">
        <v>-155</v>
      </c>
      <c r="F30" s="17" t="n">
        <v>1154</v>
      </c>
    </row>
    <row r="31">
      <c r="A31" s="25" t="inlineStr">
        <is>
          <t>Net Cash from Operations (CFO)</t>
        </is>
      </c>
      <c r="B31" s="26" t="n">
        <v>11497</v>
      </c>
      <c r="C31" s="26" t="n">
        <v>14724</v>
      </c>
      <c r="D31" s="26" t="n">
        <v>13256</v>
      </c>
      <c r="E31" s="26" t="n">
        <v>14923</v>
      </c>
      <c r="F31" s="26" t="n">
        <v>14747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-8014</v>
      </c>
      <c r="C33" s="17" t="n">
        <v>-7172</v>
      </c>
      <c r="D33" s="17" t="n">
        <v>-8899</v>
      </c>
      <c r="E33" s="17" t="n">
        <v>-11342</v>
      </c>
      <c r="F33" s="17" t="n">
        <v>-8527</v>
      </c>
    </row>
    <row r="34">
      <c r="A34" s="20" t="inlineStr">
        <is>
          <t xml:space="preserve">  (Alt: Invest. in PP&amp;E)</t>
        </is>
      </c>
      <c r="B34" s="17" t="n">
        <v>-6514</v>
      </c>
      <c r="C34" s="17" t="n">
        <v>-7163</v>
      </c>
      <c r="D34" s="17" t="n">
        <v>-8899</v>
      </c>
      <c r="E34" s="17" t="n">
        <v>-11342</v>
      </c>
      <c r="F34" s="17" t="n">
        <v>-8527</v>
      </c>
    </row>
    <row r="35">
      <c r="A35" s="16" t="inlineStr">
        <is>
          <t>Acquisitions (Net)</t>
        </is>
      </c>
      <c r="B35" s="17" t="n">
        <v>0</v>
      </c>
      <c r="C35" s="17" t="n">
        <v>0</v>
      </c>
      <c r="D35" s="17" t="n">
        <v>-64</v>
      </c>
      <c r="E35" s="17" t="n">
        <v>0</v>
      </c>
      <c r="F35" s="17" t="n">
        <v>0</v>
      </c>
    </row>
    <row r="36">
      <c r="A36" s="16" t="inlineStr">
        <is>
          <t>Purchases of Investments</t>
        </is>
      </c>
      <c r="B36" s="17" t="n">
        <v>-132</v>
      </c>
      <c r="C36" s="17" t="n">
        <v>-5835</v>
      </c>
      <c r="D36" s="17" t="n">
        <v>-19112</v>
      </c>
      <c r="E36" s="17" t="n">
        <v>-35955</v>
      </c>
      <c r="F36" s="17" t="n">
        <v>-37109</v>
      </c>
    </row>
    <row r="37">
      <c r="A37" s="16" t="inlineStr">
        <is>
          <t>Sales / Maturities of Investments</t>
        </is>
      </c>
      <c r="B37" s="17" t="n">
        <v>0</v>
      </c>
      <c r="C37" s="17" t="n">
        <v>22</v>
      </c>
      <c r="D37" s="17" t="n">
        <v>12491</v>
      </c>
      <c r="E37" s="17" t="n">
        <v>28510</v>
      </c>
      <c r="F37" s="17" t="n">
        <v>30158</v>
      </c>
    </row>
    <row r="38">
      <c r="A38" s="16" t="inlineStr">
        <is>
          <t>Other Investing Activities</t>
        </is>
      </c>
      <c r="B38" s="17" t="n">
        <v>-1222</v>
      </c>
      <c r="C38" s="17" t="n">
        <v>1003</v>
      </c>
      <c r="D38" s="17" t="n">
        <v>0</v>
      </c>
      <c r="E38" s="17" t="n">
        <v>0</v>
      </c>
      <c r="F38" s="17" t="n">
        <v>0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-5732</v>
      </c>
      <c r="C41" s="17" t="n">
        <v>-3866</v>
      </c>
      <c r="D41" s="17" t="n">
        <v>2116</v>
      </c>
      <c r="E41" s="17" t="n">
        <v>2863</v>
      </c>
      <c r="F41" s="17" t="n">
        <v>-3158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707</v>
      </c>
      <c r="C43" s="17" t="n">
        <v>541</v>
      </c>
      <c r="D43" s="17" t="n">
        <v>700</v>
      </c>
      <c r="E43" s="17" t="n">
        <v>1241</v>
      </c>
      <c r="F43" s="17" t="n">
        <v>222</v>
      </c>
    </row>
    <row r="44">
      <c r="A44" s="16" t="inlineStr">
        <is>
          <t>Common Stock Repurchased (Buybacks)</t>
        </is>
      </c>
      <c r="B44" s="17" t="n">
        <v>0</v>
      </c>
      <c r="C44" s="17" t="n">
        <v>0</v>
      </c>
      <c r="D44" s="17" t="n">
        <v>0</v>
      </c>
      <c r="E44" s="17" t="n">
        <v>0</v>
      </c>
      <c r="F44" s="17" t="n">
        <v>0</v>
      </c>
    </row>
    <row r="45">
      <c r="A45" s="16" t="inlineStr">
        <is>
          <t>Dividends Paid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Other Financing Activities</t>
        </is>
      </c>
      <c r="B46" s="17" t="n">
        <v>-178</v>
      </c>
      <c r="C46" s="17" t="n">
        <v>-202</v>
      </c>
      <c r="D46" s="17" t="n">
        <v>-227</v>
      </c>
      <c r="E46" s="17" t="n">
        <v>-251</v>
      </c>
      <c r="F46" s="17" t="n">
        <v>4075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-183</v>
      </c>
      <c r="C49" s="17" t="n">
        <v>-444</v>
      </c>
      <c r="D49" s="17" t="n">
        <v>4</v>
      </c>
      <c r="E49" s="17" t="n">
        <v>-141</v>
      </c>
      <c r="F49" s="17" t="n">
        <v>171</v>
      </c>
    </row>
    <row r="50">
      <c r="A50" s="14" t="inlineStr">
        <is>
          <t>Net Change in Cash</t>
        </is>
      </c>
      <c r="B50" s="15" t="n">
        <v>-1757</v>
      </c>
      <c r="C50" s="15" t="n">
        <v>-1220</v>
      </c>
      <c r="D50" s="15" t="n">
        <v>265</v>
      </c>
      <c r="E50" s="15" t="n">
        <v>-152</v>
      </c>
      <c r="F50" s="15" t="n">
        <v>579</v>
      </c>
    </row>
    <row r="51">
      <c r="A51" s="16" t="inlineStr">
        <is>
          <t>Cash at Beginning of Period</t>
        </is>
      </c>
      <c r="B51" s="17" t="n">
        <v>19901</v>
      </c>
      <c r="C51" s="17" t="n">
        <v>18144</v>
      </c>
      <c r="D51" s="17" t="n">
        <v>16924</v>
      </c>
      <c r="E51" s="17" t="n">
        <v>17189</v>
      </c>
      <c r="F51" s="17" t="n">
        <v>17037</v>
      </c>
    </row>
    <row r="52">
      <c r="A52" s="25" t="inlineStr">
        <is>
          <t>Cash at End of Period</t>
        </is>
      </c>
      <c r="B52" s="26" t="n">
        <v>18144</v>
      </c>
      <c r="C52" s="26" t="n">
        <v>16924</v>
      </c>
      <c r="D52" s="26" t="n">
        <v>17189</v>
      </c>
      <c r="E52" s="26" t="n">
        <v>17037</v>
      </c>
      <c r="F52" s="26" t="n">
        <v>17616</v>
      </c>
    </row>
    <row r="53">
      <c r="A53" s="25" t="inlineStr">
        <is>
          <t>Free Cash Flow</t>
        </is>
      </c>
      <c r="B53" s="26" t="n">
        <v>3483</v>
      </c>
      <c r="C53" s="26" t="n">
        <v>7552</v>
      </c>
      <c r="D53" s="26" t="n">
        <v>4357</v>
      </c>
      <c r="E53" s="26" t="n">
        <v>3581</v>
      </c>
      <c r="F53" s="26" t="n">
        <v>6220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3386</v>
      </c>
      <c r="C61" s="17" t="n">
        <v>3475</v>
      </c>
      <c r="D61" s="17" t="n">
        <v>3482.75</v>
      </c>
      <c r="E61" s="17" t="n">
        <v>3498</v>
      </c>
      <c r="F61" s="17" t="n">
        <v>3528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69526</v>
      </c>
      <c r="C5" s="17" t="n">
        <v>77070</v>
      </c>
      <c r="D5" s="17" t="n">
        <v>82419</v>
      </c>
      <c r="E5" s="17" t="n">
        <v>71462</v>
      </c>
      <c r="F5" s="17" t="n">
        <v>47232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TSLA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1503299.30143</v>
      </c>
      <c r="C5" s="43" t="inlineStr">
        <is>
          <t>FMP marketCap  |  price $400.62</t>
        </is>
      </c>
    </row>
    <row r="6">
      <c r="A6" s="16" t="inlineStr">
        <is>
          <t>Debt  (gross book value, $mm)</t>
        </is>
      </c>
      <c r="B6" s="42" t="n">
        <v>8376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1.915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1.613</v>
      </c>
      <c r="C17" s="43" t="inlineStr">
        <is>
          <t>Mean-reversion toward market beta of 1.0</t>
        </is>
      </c>
    </row>
    <row r="18">
      <c r="A18" s="16" t="inlineStr">
        <is>
          <t>Damodaran industry unlevered  (Auto - Manufacturers)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0.01x,  t = 27.0%)</t>
        </is>
      </c>
      <c r="B19" s="49" t="n">
        <v>1.004</v>
      </c>
      <c r="C19" s="43">
        <f> unlevered × (1 + (1 − t) × D/E)</f>
        <v/>
      </c>
    </row>
    <row r="20">
      <c r="A20" s="50" t="inlineStr">
        <is>
          <t>FLAG: Raw beta (1.92) is 1.9x Damodaran industry avg (1.00) — historical window may include structural break or regime change.</t>
        </is>
      </c>
    </row>
    <row r="21">
      <c r="A21" s="46" t="inlineStr">
        <is>
          <t>► Selected beta  (user override)</t>
        </is>
      </c>
      <c r="B21" s="51" t="n">
        <v>1.511</v>
      </c>
      <c r="C21" s="48" t="inlineStr">
        <is>
          <t>Default = average of 3 source(s) above — override freely</t>
        </is>
      </c>
    </row>
    <row r="22">
      <c r="A22" s="41" t="n"/>
      <c r="B22" s="41" t="n"/>
      <c r="C22" s="41" t="n"/>
    </row>
    <row r="23" ht="18" customHeight="1">
      <c r="A23" s="24" t="inlineStr">
        <is>
          <t>STEP 3 — EQUITY RISK PREMIUM  (ERP)</t>
        </is>
      </c>
    </row>
    <row r="24">
      <c r="A24" s="16" t="inlineStr">
        <is>
          <t>Damodaran implied ERP — US market (current)</t>
        </is>
      </c>
      <c r="B24" s="45" t="n">
        <v>0.0472</v>
      </c>
      <c r="C24" s="43" t="inlineStr">
        <is>
          <t>Damodaran.com implied ERP — Jan 2026</t>
        </is>
      </c>
    </row>
    <row r="25">
      <c r="A25" s="16" t="inlineStr">
        <is>
          <t>Damodaran historical avg — US 1928–2025</t>
        </is>
      </c>
      <c r="B25" s="45" t="n">
        <v>0.042</v>
      </c>
      <c r="C25" s="43" t="inlineStr">
        <is>
          <t>Arithmetic average excess return over T-bill</t>
        </is>
      </c>
    </row>
    <row r="26">
      <c r="A26" s="46" t="inlineStr">
        <is>
          <t>► Selected ERP  (user override)</t>
        </is>
      </c>
      <c r="B26" s="47" t="n">
        <v>0.0446</v>
      </c>
      <c r="C26" s="48" t="inlineStr">
        <is>
          <t>Default = average of Damodaran implied &amp; historical avg — override freely</t>
        </is>
      </c>
    </row>
    <row r="27">
      <c r="A27" s="41" t="n"/>
      <c r="B27" s="41" t="n"/>
      <c r="C27" s="41" t="n"/>
    </row>
    <row r="28" ht="18" customHeight="1">
      <c r="A28" s="24" t="inlineStr">
        <is>
          <t>STEP 4 — COST OF EQUITY  (CAPM:  Re = Rf + β × ERP)</t>
        </is>
      </c>
    </row>
    <row r="29">
      <c r="A29" s="18" t="inlineStr">
        <is>
          <t>Cost of equity  (Re)</t>
        </is>
      </c>
      <c r="B29" s="52">
        <f>B13+B21*B26</f>
        <v/>
      </c>
      <c r="C29" s="44" t="inlineStr">
        <is>
          <t>CAPM formula — references selected inputs above</t>
        </is>
      </c>
    </row>
    <row r="30">
      <c r="A30" s="41" t="n"/>
      <c r="B30" s="41" t="n"/>
      <c r="C30" s="41" t="n"/>
    </row>
    <row r="31" ht="18" customHeight="1">
      <c r="A31" s="24" t="inlineStr">
        <is>
          <t>STEP 5 — COST OF DEBT  (Pre-tax Rd)</t>
        </is>
      </c>
    </row>
    <row r="32">
      <c r="A32" s="16" t="inlineStr">
        <is>
          <t>Credit rating  (S&amp;P / Moody's)</t>
        </is>
      </c>
      <c r="B32" s="53" t="inlineStr">
        <is>
          <t>BBB</t>
        </is>
      </c>
      <c r="C32" s="43" t="inlineStr">
        <is>
          <t>User input</t>
        </is>
      </c>
    </row>
    <row r="33">
      <c r="A33" s="16" t="inlineStr">
        <is>
          <t>FRED matched yield  (rating-tier index)</t>
        </is>
      </c>
      <c r="B33" s="45" t="n">
        <v>0.0521</v>
      </c>
      <c r="C33" s="43" t="inlineStr">
        <is>
          <t>FRED BAMLC0A4CBBBEY — BBB</t>
        </is>
      </c>
    </row>
    <row r="34">
      <c r="A34" s="16" t="inlineStr">
        <is>
          <t>Interest Coverage Ratio  (EBIT / Gross Int Exp)</t>
        </is>
      </c>
      <c r="B34" s="49" t="n">
        <v>12.9</v>
      </c>
      <c r="C34" s="43" t="inlineStr">
        <is>
          <t>EBIT $4355mm  /  Int Exp $338mm</t>
        </is>
      </c>
    </row>
    <row r="35">
      <c r="A35" s="16" t="inlineStr">
        <is>
          <t>Synthetic rating  (Damodaran ICR table)</t>
        </is>
      </c>
      <c r="B35" s="53" t="inlineStr">
        <is>
          <t>AAA</t>
        </is>
      </c>
      <c r="C35" s="43" t="inlineStr">
        <is>
          <t>ICR 12.9x  →  AAA</t>
        </is>
      </c>
    </row>
    <row r="36">
      <c r="A36" s="16" t="inlineStr">
        <is>
          <t>Synthetic Rd  (Rf + Damodaran default spread)</t>
        </is>
      </c>
      <c r="B36" s="45" t="n">
        <v>0.0486</v>
      </c>
      <c r="C36" s="43" t="inlineStr">
        <is>
          <t>Rf 4.32% + spread 0.54%</t>
        </is>
      </c>
    </row>
    <row r="37">
      <c r="A37" s="16" t="inlineStr">
        <is>
          <t>Accounting Rd  (Gross int exp / Avg gross debt)</t>
        </is>
      </c>
      <c r="B37" s="45" t="n">
        <v>0.04158976251999508</v>
      </c>
      <c r="C37" s="43" t="inlineStr">
        <is>
          <t>Cross-check only — backward-looking</t>
        </is>
      </c>
    </row>
    <row r="38">
      <c r="A38" s="16" t="inlineStr">
        <is>
          <t xml:space="preserve">  Note: net interest INCOME of $1342mm  (int inc $1680mm &gt; int exp $338mm)</t>
        </is>
      </c>
      <c r="B38" s="53" t="n"/>
      <c r="C38" s="43" t="inlineStr">
        <is>
          <t>Gross Rd is the correct basis here — net figure is distorted</t>
        </is>
      </c>
    </row>
    <row r="39">
      <c r="A39" s="46" t="inlineStr">
        <is>
          <t>► Selected pre-tax Rd  (user override)</t>
        </is>
      </c>
      <c r="B39" s="47" t="n">
        <v>0.0474</v>
      </c>
      <c r="C39" s="48" t="inlineStr">
        <is>
          <t>Default = average of 3 source(s) above — override freely</t>
        </is>
      </c>
    </row>
    <row r="40">
      <c r="A40" s="41" t="n"/>
      <c r="B40" s="41" t="n"/>
      <c r="C40" s="41" t="n"/>
    </row>
    <row r="41" ht="18" customHeight="1">
      <c r="A41" s="24" t="inlineStr">
        <is>
          <t>STEP 6 — TAX RATE</t>
        </is>
      </c>
    </row>
    <row r="42">
      <c r="A42" s="16" t="inlineStr">
        <is>
          <t>Effective tax rate  (tax expense / pre-tax income)</t>
        </is>
      </c>
      <c r="B42" s="45" t="n">
        <v>0.2696</v>
      </c>
      <c r="C42" s="43" t="inlineStr">
        <is>
          <t>FMP: $1423mm  /  $5278mm</t>
        </is>
      </c>
    </row>
    <row r="43">
      <c r="A43" s="46" t="inlineStr">
        <is>
          <t>► Selected tax rate  (user override)</t>
        </is>
      </c>
      <c r="B43" s="47" t="n">
        <v>0.2696</v>
      </c>
      <c r="C43" s="48" t="inlineStr">
        <is>
          <t>Adjust to normalised / marginal rate if preferred</t>
        </is>
      </c>
    </row>
    <row r="44">
      <c r="A44" s="41" t="n"/>
      <c r="B44" s="41" t="n"/>
      <c r="C44" s="41" t="n"/>
    </row>
    <row r="45" ht="18" customHeight="1">
      <c r="A45" s="3" t="inlineStr">
        <is>
          <t>WACC OUTPUT</t>
        </is>
      </c>
    </row>
    <row r="46" ht="22" customHeight="1">
      <c r="A46" s="54" t="inlineStr">
        <is>
          <t>WACC  =  (E/V × Re)  +  (D/V × Rd × (1 − t))</t>
        </is>
      </c>
      <c r="B46" s="55">
        <f>B8*B29+B9*B39*(1-B43)</f>
        <v/>
      </c>
      <c r="C46" s="56" t="inlineStr">
        <is>
          <t>Used as discount rate in DCF tab</t>
        </is>
      </c>
    </row>
    <row r="47">
      <c r="A47" s="41" t="n"/>
      <c r="B47" s="41" t="n"/>
      <c r="C47" s="41" t="n"/>
    </row>
    <row r="48" ht="18" customHeight="1">
      <c r="A48" s="9" t="inlineStr">
        <is>
          <t>SENSITIVITY — WACC (%)  by Beta offset × ERP offset</t>
        </is>
      </c>
    </row>
    <row r="49">
      <c r="A49" s="57" t="inlineStr">
        <is>
          <t>Beta offset  \  ERP offset →</t>
        </is>
      </c>
      <c r="B49" s="57" t="inlineStr">
        <is>
          <t>-1.0%</t>
        </is>
      </c>
      <c r="C49" s="57" t="inlineStr">
        <is>
          <t>-0.5%</t>
        </is>
      </c>
      <c r="D49" s="57" t="inlineStr">
        <is>
          <t>Base ERP</t>
        </is>
      </c>
      <c r="E49" s="57" t="inlineStr">
        <is>
          <t>+0.5%</t>
        </is>
      </c>
      <c r="F49" s="57" t="inlineStr">
        <is>
          <t>+1.0%</t>
        </is>
      </c>
    </row>
    <row r="50">
      <c r="A50" s="58" t="inlineStr">
        <is>
          <t>-1.0</t>
        </is>
      </c>
      <c r="B50" s="59">
        <f>B8*(B13+(B21+(-1.0))*(B26+(-0.01)))+B9*B39*(1-B43)</f>
        <v/>
      </c>
      <c r="C50" s="59">
        <f>B8*(B13+(B21+(-1.0))*(B26+(-0.005)))+B9*B39*(1-B43)</f>
        <v/>
      </c>
      <c r="D50" s="59">
        <f>B8*(B13+(B21+(-1.0))*(B26+(0.0)))+B9*B39*(1-B43)</f>
        <v/>
      </c>
      <c r="E50" s="59">
        <f>B8*(B13+(B21+(-1.0))*(B26+(0.005)))+B9*B39*(1-B43)</f>
        <v/>
      </c>
      <c r="F50" s="59">
        <f>B8*(B13+(B21+(-1.0))*(B26+(0.01)))+B9*B39*(1-B43)</f>
        <v/>
      </c>
    </row>
    <row r="51">
      <c r="A51" s="58" t="inlineStr">
        <is>
          <t>-0.5</t>
        </is>
      </c>
      <c r="B51" s="59">
        <f>B8*(B13+(B21+(-0.5))*(B26+(-0.01)))+B9*B39*(1-B43)</f>
        <v/>
      </c>
      <c r="C51" s="59">
        <f>B8*(B13+(B21+(-0.5))*(B26+(-0.005)))+B9*B39*(1-B43)</f>
        <v/>
      </c>
      <c r="D51" s="59">
        <f>B8*(B13+(B21+(-0.5))*(B26+(0.0)))+B9*B39*(1-B43)</f>
        <v/>
      </c>
      <c r="E51" s="59">
        <f>B8*(B13+(B21+(-0.5))*(B26+(0.005)))+B9*B39*(1-B43)</f>
        <v/>
      </c>
      <c r="F51" s="59">
        <f>B8*(B13+(B21+(-0.5))*(B26+(0.01)))+B9*B39*(1-B43)</f>
        <v/>
      </c>
    </row>
    <row r="52">
      <c r="A52" s="60" t="inlineStr">
        <is>
          <t>Base β</t>
        </is>
      </c>
      <c r="B52" s="61">
        <f>B8*(B13+(B21+(0.0))*(B26+(-0.01)))+B9*B39*(1-B43)</f>
        <v/>
      </c>
      <c r="C52" s="61">
        <f>B8*(B13+(B21+(0.0))*(B26+(-0.005)))+B9*B39*(1-B43)</f>
        <v/>
      </c>
      <c r="D52" s="62">
        <f>B8*(B13+(B21+(0.0))*(B26+(0.0)))+B9*B39*(1-B43)</f>
        <v/>
      </c>
      <c r="E52" s="61">
        <f>B8*(B13+(B21+(0.0))*(B26+(0.005)))+B9*B39*(1-B43)</f>
        <v/>
      </c>
      <c r="F52" s="61">
        <f>B8*(B13+(B21+(0.0))*(B26+(0.01)))+B9*B39*(1-B43)</f>
        <v/>
      </c>
    </row>
    <row r="53">
      <c r="A53" s="58" t="inlineStr">
        <is>
          <t>+0.5</t>
        </is>
      </c>
      <c r="B53" s="59">
        <f>B8*(B13+(B21+(0.5))*(B26+(-0.01)))+B9*B39*(1-B43)</f>
        <v/>
      </c>
      <c r="C53" s="59">
        <f>B8*(B13+(B21+(0.5))*(B26+(-0.005)))+B9*B39*(1-B43)</f>
        <v/>
      </c>
      <c r="D53" s="59">
        <f>B8*(B13+(B21+(0.5))*(B26+(0.0)))+B9*B39*(1-B43)</f>
        <v/>
      </c>
      <c r="E53" s="59">
        <f>B8*(B13+(B21+(0.5))*(B26+(0.005)))+B9*B39*(1-B43)</f>
        <v/>
      </c>
      <c r="F53" s="59">
        <f>B8*(B13+(B21+(0.5))*(B26+(0.01)))+B9*B39*(1-B43)</f>
        <v/>
      </c>
    </row>
    <row r="54">
      <c r="A54" s="58" t="inlineStr">
        <is>
          <t>+1.0</t>
        </is>
      </c>
      <c r="B54" s="59">
        <f>B8*(B13+(B21+(1.0))*(B26+(-0.01)))+B9*B39*(1-B43)</f>
        <v/>
      </c>
      <c r="C54" s="59">
        <f>B8*(B13+(B21+(1.0))*(B26+(-0.005)))+B9*B39*(1-B43)</f>
        <v/>
      </c>
      <c r="D54" s="59">
        <f>B8*(B13+(B21+(1.0))*(B26+(0.0)))+B9*B39*(1-B43)</f>
        <v/>
      </c>
      <c r="E54" s="59">
        <f>B8*(B13+(B21+(1.0))*(B26+(0.005)))+B9*B39*(1-B43)</f>
        <v/>
      </c>
      <c r="F54" s="59">
        <f>B8*(B13+(B21+(1.0))*(B26+(0.01)))+B9*B39*(1-B43)</f>
        <v/>
      </c>
    </row>
  </sheetData>
  <mergeCells count="12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0:C20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TSLA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 t="n">
        <v>0.5135</v>
      </c>
      <c r="D7" s="70" t="n">
        <v>0.188</v>
      </c>
      <c r="E7" s="70" t="n">
        <v>0.0095</v>
      </c>
      <c r="F7" s="70" t="n">
        <v>-0.0293</v>
      </c>
      <c r="G7" s="71" t="n">
        <v>0.0881</v>
      </c>
      <c r="H7" s="71" t="n">
        <v>0.1625</v>
      </c>
      <c r="I7" s="71" t="n">
        <v>0.1857</v>
      </c>
      <c r="J7" s="71" t="n">
        <v>0.4805</v>
      </c>
      <c r="K7" s="71" t="n">
        <v>0.3236</v>
      </c>
      <c r="L7" s="72" t="n">
        <v>0.03</v>
      </c>
      <c r="M7" s="73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8" t="inlineStr">
        <is>
          <t>EBITDA Margin %</t>
        </is>
      </c>
      <c r="B8" s="70" t="n">
        <v>0.1788</v>
      </c>
      <c r="C8" s="70" t="n">
        <v>0.2168</v>
      </c>
      <c r="D8" s="70" t="n">
        <v>0.1529</v>
      </c>
      <c r="E8" s="70" t="n">
        <v>0.1506</v>
      </c>
      <c r="F8" s="70" t="n">
        <v>0.1241</v>
      </c>
      <c r="G8" s="71" t="n">
        <v>0.1646</v>
      </c>
      <c r="H8" s="71" t="n">
        <v>0.1646</v>
      </c>
      <c r="I8" s="71" t="n">
        <v>0.1646</v>
      </c>
      <c r="J8" s="71" t="n">
        <v>0.1646</v>
      </c>
      <c r="K8" s="71" t="n">
        <v>0.1646</v>
      </c>
      <c r="L8" s="72" t="n">
        <v>0.1241</v>
      </c>
      <c r="M8" s="73" t="inlineStr">
        <is>
          <t>FMP consensus years: margin back-calculated from analyst EBITDA / Revenue.  Terminal: enter your long-run normalised EBITDA margin.</t>
        </is>
      </c>
    </row>
    <row r="9" ht="20" customHeight="1">
      <c r="A9" s="68" t="inlineStr">
        <is>
          <t>D&amp;A as % of Revenue  (user input — FMP does not estimate)</t>
        </is>
      </c>
      <c r="B9" s="70" t="n">
        <v>0.0541</v>
      </c>
      <c r="C9" s="70" t="n">
        <v>0.046</v>
      </c>
      <c r="D9" s="70" t="n">
        <v>0.0482</v>
      </c>
      <c r="E9" s="70" t="n">
        <v>0.0549</v>
      </c>
      <c r="F9" s="70" t="n">
        <v>0.0648</v>
      </c>
      <c r="G9" s="74" t="n">
        <v>0.0648</v>
      </c>
      <c r="H9" s="74" t="n">
        <v>0.0648</v>
      </c>
      <c r="I9" s="74" t="n">
        <v>0.0648</v>
      </c>
      <c r="J9" s="74" t="n">
        <v>0.0648</v>
      </c>
      <c r="K9" s="74" t="n">
        <v>0.0648</v>
      </c>
      <c r="L9" s="72" t="n">
        <v>0.0648</v>
      </c>
      <c r="M9" s="73" t="inlineStr">
        <is>
          <t>Historical from 3-statement model.  FMP provides no forward D&amp;A estimate — enter your own.</t>
        </is>
      </c>
    </row>
    <row r="10" ht="20" customHeight="1">
      <c r="A10" s="68" t="inlineStr">
        <is>
          <t>CapEx as % of Revenue  (user input)</t>
        </is>
      </c>
      <c r="B10" s="70" t="n">
        <v>0.1489</v>
      </c>
      <c r="C10" s="70" t="n">
        <v>0.08799999999999999</v>
      </c>
      <c r="D10" s="70" t="n">
        <v>0.092</v>
      </c>
      <c r="E10" s="70" t="n">
        <v>0.1161</v>
      </c>
      <c r="F10" s="70" t="n">
        <v>0.08989999999999999</v>
      </c>
      <c r="G10" s="74" t="n">
        <v>0.08989999999999999</v>
      </c>
      <c r="H10" s="74" t="n">
        <v>0.08989999999999999</v>
      </c>
      <c r="I10" s="74" t="n">
        <v>0.08989999999999999</v>
      </c>
      <c r="J10" s="74" t="n">
        <v>0.08989999999999999</v>
      </c>
      <c r="K10" s="74" t="n">
        <v>0.08989999999999999</v>
      </c>
      <c r="L10" s="72" t="n">
        <v>0.08989999999999999</v>
      </c>
      <c r="M10" s="73" t="inlineStr">
        <is>
          <t>Historical from cash flow statement.  Adjust for known capex programmes.</t>
        </is>
      </c>
    </row>
    <row r="11" ht="20" customHeight="1">
      <c r="A11" s="68" t="inlineStr">
        <is>
          <t>Change in NWC as % of Revenue  (user input)</t>
        </is>
      </c>
      <c r="B11" s="70" t="n">
        <v>0.01</v>
      </c>
      <c r="C11" s="70" t="n">
        <v>0.01</v>
      </c>
      <c r="D11" s="70" t="n">
        <v>0.01</v>
      </c>
      <c r="E11" s="70" t="n">
        <v>0.01</v>
      </c>
      <c r="F11" s="70" t="n">
        <v>0.01</v>
      </c>
      <c r="G11" s="74" t="n">
        <v>0.01</v>
      </c>
      <c r="H11" s="74" t="n">
        <v>0.01</v>
      </c>
      <c r="I11" s="74" t="n">
        <v>0.01</v>
      </c>
      <c r="J11" s="74" t="n">
        <v>0.01</v>
      </c>
      <c r="K11" s="74" t="n">
        <v>0.01</v>
      </c>
      <c r="L11" s="72" t="n">
        <v>0.01</v>
      </c>
      <c r="M11" s="73" t="inlineStr">
        <is>
          <t>Cross-ref historical NWC change from Ratios &amp; FCF tab.</t>
        </is>
      </c>
    </row>
    <row r="12" ht="20" customHeight="1">
      <c r="A12" s="68" t="inlineStr">
        <is>
          <t>Effective Tax Rate  (user input — adjust to normalised if needed)</t>
        </is>
      </c>
      <c r="B12" s="70" t="n">
        <v>0.1102</v>
      </c>
      <c r="C12" s="70" t="n">
        <v>0.0825</v>
      </c>
      <c r="D12" s="70" t="n">
        <v>0.5014999999999999</v>
      </c>
      <c r="E12" s="70" t="n">
        <v>0.2043</v>
      </c>
      <c r="F12" s="70" t="n">
        <v>0.2696</v>
      </c>
      <c r="G12" s="74" t="n">
        <v>0.2696</v>
      </c>
      <c r="H12" s="74" t="n">
        <v>0.2696</v>
      </c>
      <c r="I12" s="74" t="n">
        <v>0.2696</v>
      </c>
      <c r="J12" s="74" t="n">
        <v>0.2696</v>
      </c>
      <c r="K12" s="74" t="n">
        <v>0.2696</v>
      </c>
      <c r="L12" s="72" t="n">
        <v>0.2696</v>
      </c>
      <c r="M12" s="73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 t="n">
        <v>53823</v>
      </c>
      <c r="C15" s="76" t="n">
        <v>81462</v>
      </c>
      <c r="D15" s="76" t="n">
        <v>96773</v>
      </c>
      <c r="E15" s="76" t="n">
        <v>97690</v>
      </c>
      <c r="F15" s="76" t="n">
        <v>94827</v>
      </c>
      <c r="G15" s="77" t="n">
        <v>103183.5</v>
      </c>
      <c r="H15" s="77" t="n">
        <v>119951.6</v>
      </c>
      <c r="I15" s="77" t="n">
        <v>142226.4</v>
      </c>
      <c r="J15" s="77" t="n">
        <v>210565.6</v>
      </c>
      <c r="K15" s="77" t="n">
        <v>278697.6</v>
      </c>
      <c r="L15" s="78">
        <f>K15*(1+L7)</f>
        <v/>
      </c>
      <c r="M15" s="79" t="inlineStr">
        <is>
          <t>FMP consensus years: analyst revenue average ($mm).  Range: Low–High shown below.  User years: prior × (1+growth).</t>
        </is>
      </c>
    </row>
    <row r="16" ht="20" customHeight="1">
      <c r="A16" s="80" t="inlineStr">
        <is>
          <t xml:space="preserve">  Analyst Range:  Low — High  ($mm)</t>
        </is>
      </c>
      <c r="G16" s="81" t="inlineStr">
        <is>
          <t>92,519 — 114,001</t>
        </is>
      </c>
      <c r="H16" s="81" t="inlineStr">
        <is>
          <t>107,564 — 135,507</t>
        </is>
      </c>
      <c r="I16" s="81" t="inlineStr">
        <is>
          <t>141,136 — 143,317</t>
        </is>
      </c>
      <c r="J16" s="81" t="inlineStr">
        <is>
          <t>184,565 — 256,615</t>
        </is>
      </c>
      <c r="K16" s="81" t="inlineStr">
        <is>
          <t>244,284 — 339,647</t>
        </is>
      </c>
      <c r="L16" s="82" t="inlineStr">
        <is>
          <t>—</t>
        </is>
      </c>
      <c r="M16" s="79" t="inlineStr">
        <is>
          <t>Sell-side analyst low / high revenue estimates for consensus years</t>
        </is>
      </c>
    </row>
    <row r="17" ht="20" customHeight="1">
      <c r="A17" s="80" t="inlineStr">
        <is>
          <t xml:space="preserve">  Number of Analysts</t>
        </is>
      </c>
      <c r="G17" s="83" t="n">
        <v>34</v>
      </c>
      <c r="H17" s="83" t="n">
        <v>34</v>
      </c>
      <c r="I17" s="83" t="n">
        <v>25</v>
      </c>
      <c r="J17" s="83" t="n">
        <v>12</v>
      </c>
      <c r="K17" s="83" t="n">
        <v>12</v>
      </c>
      <c r="L17" s="82" t="inlineStr">
        <is>
          <t>—</t>
        </is>
      </c>
      <c r="M17" s="79" t="inlineStr">
        <is>
          <t>Red &lt; 5 analysts — treat estimate with caution.  Orange &lt; 10.</t>
        </is>
      </c>
    </row>
    <row r="18" ht="20" customHeight="1">
      <c r="A18" s="80" t="inlineStr">
        <is>
          <t xml:space="preserve">  YoY Revenue Growth %</t>
        </is>
      </c>
      <c r="B18" s="84" t="inlineStr">
        <is>
          <t>—</t>
        </is>
      </c>
      <c r="C18" s="85">
        <f>IFERROR(C15/B15-1,"")</f>
        <v/>
      </c>
      <c r="D18" s="85">
        <f>IFERROR(D15/C15-1,"")</f>
        <v/>
      </c>
      <c r="E18" s="85">
        <f>IFERROR(E15/D15-1,"")</f>
        <v/>
      </c>
      <c r="F18" s="85">
        <f>IFERROR(F15/E15-1,"")</f>
        <v/>
      </c>
      <c r="G18" s="86">
        <f>IFERROR(G15/F15-1,"")</f>
        <v/>
      </c>
      <c r="H18" s="86">
        <f>IFERROR(H15/G15-1,"")</f>
        <v/>
      </c>
      <c r="I18" s="86">
        <f>IFERROR(I15/H15-1,"")</f>
        <v/>
      </c>
      <c r="J18" s="86">
        <f>IFERROR(J15/I15-1,"")</f>
        <v/>
      </c>
      <c r="K18" s="86">
        <f>IFERROR(K15/J15-1,"")</f>
        <v/>
      </c>
      <c r="L18" s="87">
        <f>L7</f>
        <v/>
      </c>
      <c r="M18" s="79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5" t="inlineStr">
        <is>
          <t>EBITDA</t>
        </is>
      </c>
      <c r="B20" s="76" t="n">
        <v>9625</v>
      </c>
      <c r="C20" s="76" t="n">
        <v>17657</v>
      </c>
      <c r="D20" s="76" t="n">
        <v>14796</v>
      </c>
      <c r="E20" s="76" t="n">
        <v>14708</v>
      </c>
      <c r="F20" s="76" t="n">
        <v>11764</v>
      </c>
      <c r="G20" s="77" t="n">
        <v>16985.8</v>
      </c>
      <c r="H20" s="77" t="n">
        <v>19746.1</v>
      </c>
      <c r="I20" s="77" t="n">
        <v>23413</v>
      </c>
      <c r="J20" s="77" t="n">
        <v>34662.8</v>
      </c>
      <c r="K20" s="77" t="n">
        <v>45878.5</v>
      </c>
      <c r="L20" s="78">
        <f>L15*L8</f>
        <v/>
      </c>
      <c r="M20" s="79" t="inlineStr">
        <is>
          <t>FMP consensus years: analyst EBITDA average.  User years: Revenue × EBITDA margin assumption.</t>
        </is>
      </c>
    </row>
    <row r="21" ht="20" customHeight="1">
      <c r="A21" s="80" t="inlineStr">
        <is>
          <t xml:space="preserve">  Analyst Range:  Low — High  ($mm)</t>
        </is>
      </c>
      <c r="G21" s="81" t="inlineStr">
        <is>
          <t>15,230 — 18,767</t>
        </is>
      </c>
      <c r="H21" s="81" t="inlineStr">
        <is>
          <t>17,707 — 22,307</t>
        </is>
      </c>
      <c r="I21" s="81" t="inlineStr">
        <is>
          <t>23,233 — 23,592</t>
        </is>
      </c>
      <c r="J21" s="81" t="inlineStr">
        <is>
          <t>30,383 — 42,243</t>
        </is>
      </c>
      <c r="K21" s="81" t="inlineStr">
        <is>
          <t>40,213 — 55,912</t>
        </is>
      </c>
      <c r="L21" s="82" t="inlineStr">
        <is>
          <t>—</t>
        </is>
      </c>
      <c r="M21" s="79" t="inlineStr">
        <is>
          <t>Sell-side analyst low / high EBITDA estimates for consensus years</t>
        </is>
      </c>
    </row>
    <row r="22" ht="20" customHeight="1">
      <c r="A22" s="80" t="inlineStr">
        <is>
          <t xml:space="preserve">  EBITDA Margin %</t>
        </is>
      </c>
      <c r="B22" s="85">
        <f>IFERROR(B20/B15,"")</f>
        <v/>
      </c>
      <c r="C22" s="85">
        <f>IFERROR(C20/C15,"")</f>
        <v/>
      </c>
      <c r="D22" s="85">
        <f>IFERROR(D20/D15,"")</f>
        <v/>
      </c>
      <c r="E22" s="85">
        <f>IFERROR(E20/E15,"")</f>
        <v/>
      </c>
      <c r="F22" s="85">
        <f>IFERROR(F20/F15,"")</f>
        <v/>
      </c>
      <c r="G22" s="86">
        <f>IFERROR(G20/G15,"")</f>
        <v/>
      </c>
      <c r="H22" s="86">
        <f>IFERROR(H20/H15,"")</f>
        <v/>
      </c>
      <c r="I22" s="86">
        <f>IFERROR(I20/I15,"")</f>
        <v/>
      </c>
      <c r="J22" s="86">
        <f>IFERROR(J20/J15,"")</f>
        <v/>
      </c>
      <c r="K22" s="86">
        <f>IFERROR(K20/K15,"")</f>
        <v/>
      </c>
      <c r="L22" s="87">
        <f>IFERROR(L20/L15,"")</f>
        <v/>
      </c>
      <c r="M22" s="79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8" t="inlineStr">
        <is>
          <t xml:space="preserve">  Less: D&amp;A</t>
        </is>
      </c>
      <c r="B25" s="76" t="n">
        <v>-2911</v>
      </c>
      <c r="C25" s="76" t="n">
        <v>-3747</v>
      </c>
      <c r="D25" s="76" t="n">
        <v>-4667</v>
      </c>
      <c r="E25" s="76" t="n">
        <v>-5368</v>
      </c>
      <c r="F25" s="76" t="n">
        <v>-6148</v>
      </c>
      <c r="G25" s="89">
        <f>-G15*G9</f>
        <v/>
      </c>
      <c r="H25" s="89">
        <f>-H15*H9</f>
        <v/>
      </c>
      <c r="I25" s="89">
        <f>-I15*I9</f>
        <v/>
      </c>
      <c r="J25" s="89">
        <f>-J15*J9</f>
        <v/>
      </c>
      <c r="K25" s="89">
        <f>-K15*K9</f>
        <v/>
      </c>
      <c r="L25" s="78">
        <f>-L15*L9</f>
        <v/>
      </c>
      <c r="M25" s="79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0" t="n">
        <v>6714</v>
      </c>
      <c r="C26" s="90" t="n">
        <v>13910</v>
      </c>
      <c r="D26" s="90" t="n">
        <v>10129</v>
      </c>
      <c r="E26" s="90" t="n">
        <v>9340</v>
      </c>
      <c r="F26" s="90" t="n">
        <v>5616</v>
      </c>
      <c r="G26" s="91">
        <f>G20+G25</f>
        <v/>
      </c>
      <c r="H26" s="91">
        <f>H20+H25</f>
        <v/>
      </c>
      <c r="I26" s="91">
        <f>I20+I25</f>
        <v/>
      </c>
      <c r="J26" s="91">
        <f>J20+J25</f>
        <v/>
      </c>
      <c r="K26" s="91">
        <f>K20+K25</f>
        <v/>
      </c>
      <c r="L26" s="91">
        <f>L20+L25</f>
        <v/>
      </c>
      <c r="M26" s="79">
        <f> EBITDA + D&amp;A  (GAAP operating income, EBIT)</f>
        <v/>
      </c>
    </row>
    <row r="27" ht="20" customHeight="1">
      <c r="A27" s="88" t="inlineStr">
        <is>
          <t xml:space="preserve">  Less: Tax on EBIT  (unlevered)</t>
        </is>
      </c>
      <c r="B27" s="92" t="n">
        <v>-739.9</v>
      </c>
      <c r="C27" s="92" t="n">
        <v>-1147.8</v>
      </c>
      <c r="D27" s="92" t="n">
        <v>-5079.2</v>
      </c>
      <c r="E27" s="92" t="n">
        <v>-1908.5</v>
      </c>
      <c r="F27" s="92" t="n">
        <v>-1514.1</v>
      </c>
      <c r="G27" s="93">
        <f>-G26*G12</f>
        <v/>
      </c>
      <c r="H27" s="93">
        <f>-H26*H12</f>
        <v/>
      </c>
      <c r="I27" s="93">
        <f>-I26*I12</f>
        <v/>
      </c>
      <c r="J27" s="93">
        <f>-J26*J12</f>
        <v/>
      </c>
      <c r="K27" s="93">
        <f>-K26*K12</f>
        <v/>
      </c>
      <c r="L27" s="93">
        <f>-L26*L12</f>
        <v/>
      </c>
      <c r="M27" s="79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0" t="n">
        <v>5974.1</v>
      </c>
      <c r="C28" s="90" t="n">
        <v>12762.2</v>
      </c>
      <c r="D28" s="90" t="n">
        <v>5049.8</v>
      </c>
      <c r="E28" s="90" t="n">
        <v>7431.5</v>
      </c>
      <c r="F28" s="90" t="n">
        <v>4101.9</v>
      </c>
      <c r="G28" s="94">
        <f>G26+G27</f>
        <v/>
      </c>
      <c r="H28" s="94">
        <f>H26+H27</f>
        <v/>
      </c>
      <c r="I28" s="94">
        <f>I26+I27</f>
        <v/>
      </c>
      <c r="J28" s="94">
        <f>J26+J27</f>
        <v/>
      </c>
      <c r="K28" s="94">
        <f>K26+K27</f>
        <v/>
      </c>
      <c r="L28" s="94">
        <f>L26+L27</f>
        <v/>
      </c>
      <c r="M28" s="79">
        <f> EBIT × (1 − tax rate)</f>
        <v/>
      </c>
    </row>
    <row r="29" ht="20" customHeight="1">
      <c r="A29" s="88" t="inlineStr">
        <is>
          <t xml:space="preserve">  (+) D&amp;A add-back  (non-cash)</t>
        </is>
      </c>
      <c r="B29" s="92" t="n">
        <v>2911</v>
      </c>
      <c r="C29" s="92" t="n">
        <v>3747</v>
      </c>
      <c r="D29" s="92" t="n">
        <v>4667</v>
      </c>
      <c r="E29" s="92" t="n">
        <v>5368</v>
      </c>
      <c r="F29" s="92" t="n">
        <v>6148</v>
      </c>
      <c r="G29" s="93">
        <f>-G25</f>
        <v/>
      </c>
      <c r="H29" s="93">
        <f>-H25</f>
        <v/>
      </c>
      <c r="I29" s="93">
        <f>-I25</f>
        <v/>
      </c>
      <c r="J29" s="93">
        <f>-J25</f>
        <v/>
      </c>
      <c r="K29" s="93">
        <f>-K25</f>
        <v/>
      </c>
      <c r="L29" s="93">
        <f>-L25</f>
        <v/>
      </c>
      <c r="M29" s="79">
        <f> D&amp;A added back (non-cash charge — converts NOPAT to cash basis)</f>
        <v/>
      </c>
    </row>
    <row r="30" ht="20" customHeight="1">
      <c r="A30" s="88" t="inlineStr">
        <is>
          <t xml:space="preserve">  (−) Capital Expenditures</t>
        </is>
      </c>
      <c r="B30" s="76" t="n">
        <v>-8014</v>
      </c>
      <c r="C30" s="76" t="n">
        <v>-7172</v>
      </c>
      <c r="D30" s="76" t="n">
        <v>-8899</v>
      </c>
      <c r="E30" s="76" t="n">
        <v>-11342</v>
      </c>
      <c r="F30" s="76" t="n">
        <v>-8527</v>
      </c>
      <c r="G30" s="93">
        <f>-G15*G10</f>
        <v/>
      </c>
      <c r="H30" s="93">
        <f>-H15*H10</f>
        <v/>
      </c>
      <c r="I30" s="93">
        <f>-I15*I10</f>
        <v/>
      </c>
      <c r="J30" s="93">
        <f>-J15*J10</f>
        <v/>
      </c>
      <c r="K30" s="93">
        <f>-K15*K10</f>
        <v/>
      </c>
      <c r="L30" s="93">
        <f>-L15*L10</f>
        <v/>
      </c>
      <c r="M30" s="79">
        <f> Revenue × CapEx % assumption  (negative = cash outflow)</f>
        <v/>
      </c>
    </row>
    <row r="31" ht="20" customHeight="1">
      <c r="A31" s="88" t="inlineStr">
        <is>
          <t xml:space="preserve">  (−) Increase in Net Working Capital</t>
        </is>
      </c>
      <c r="B31" s="92" t="n"/>
      <c r="C31" s="92" t="n"/>
      <c r="D31" s="92" t="n"/>
      <c r="E31" s="92" t="n"/>
      <c r="F31" s="92" t="n"/>
      <c r="G31" s="93">
        <f>-G15*G11</f>
        <v/>
      </c>
      <c r="H31" s="93">
        <f>-H15*H11</f>
        <v/>
      </c>
      <c r="I31" s="93">
        <f>-I15*I11</f>
        <v/>
      </c>
      <c r="J31" s="93">
        <f>-J15*J11</f>
        <v/>
      </c>
      <c r="K31" s="93">
        <f>-K15*K11</f>
        <v/>
      </c>
      <c r="L31" s="93">
        <f>-L15*L11</f>
        <v/>
      </c>
      <c r="M31" s="79">
        <f> Revenue × NWC % (positive revenue growth ties up cash in working capital)</f>
        <v/>
      </c>
    </row>
    <row r="32" ht="20" customHeight="1">
      <c r="A32" s="75" t="inlineStr">
        <is>
          <t>UNLEVERED FREE CASH FLOW  (UFCF)</t>
        </is>
      </c>
      <c r="B32" s="90" t="n">
        <v>871.1</v>
      </c>
      <c r="C32" s="90" t="n">
        <v>9337.200000000001</v>
      </c>
      <c r="D32" s="90" t="n">
        <v>817.8</v>
      </c>
      <c r="E32" s="90" t="n">
        <v>1457.5</v>
      </c>
      <c r="F32" s="90" t="n">
        <v>1722.9</v>
      </c>
      <c r="G32" s="94">
        <f>G28+G29+G30+G31</f>
        <v/>
      </c>
      <c r="H32" s="94">
        <f>H28+H29+H30+H31</f>
        <v/>
      </c>
      <c r="I32" s="94">
        <f>I28+I29+I30+I31</f>
        <v/>
      </c>
      <c r="J32" s="94">
        <f>J28+J29+J30+J31</f>
        <v/>
      </c>
      <c r="K32" s="94">
        <f>K28+K29+K30+K31</f>
        <v/>
      </c>
      <c r="L32" s="94">
        <f>L28+L29+L30+L31</f>
        <v/>
      </c>
      <c r="M32" s="79">
        <f> NOPAT + D&amp;A − CapEx − ΔNWC  (pre-debt, pre-interest free cash flow)</f>
        <v/>
      </c>
    </row>
    <row r="33" ht="20" customHeight="1">
      <c r="A33" s="80" t="inlineStr">
        <is>
          <t xml:space="preserve">  UFCF Margin %</t>
        </is>
      </c>
      <c r="B33" s="85" t="n">
        <v>0.0162</v>
      </c>
      <c r="C33" s="85" t="n">
        <v>0.1146</v>
      </c>
      <c r="D33" s="85" t="n">
        <v>0.008500000000000001</v>
      </c>
      <c r="E33" s="85" t="n">
        <v>0.0149</v>
      </c>
      <c r="F33" s="85" t="n">
        <v>0.0182</v>
      </c>
      <c r="G33" s="95">
        <f>IFERROR(G32/G15,"")</f>
        <v/>
      </c>
      <c r="H33" s="95">
        <f>IFERROR(H32/H15,"")</f>
        <v/>
      </c>
      <c r="I33" s="95">
        <f>IFERROR(I32/I15,"")</f>
        <v/>
      </c>
      <c r="J33" s="95">
        <f>IFERROR(J32/J15,"")</f>
        <v/>
      </c>
      <c r="K33" s="95">
        <f>IFERROR(K32/K15,"")</f>
        <v/>
      </c>
      <c r="L33" s="95">
        <f>IFERROR(L32/L15,"")</f>
        <v/>
      </c>
      <c r="M33" s="79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6">
        <f>WACC!B46</f>
        <v/>
      </c>
      <c r="C36" s="97" t="n"/>
      <c r="D36" s="97" t="n"/>
      <c r="E36" s="97" t="n"/>
      <c r="F36" s="97" t="n"/>
      <c r="G36" s="97" t="n"/>
      <c r="H36" s="97" t="n"/>
      <c r="I36" s="97" t="n"/>
      <c r="J36" s="97" t="n"/>
      <c r="K36" s="97" t="n"/>
      <c r="L36" s="97" t="n"/>
      <c r="M36" s="73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8" t="n">
        <v>0.03</v>
      </c>
      <c r="C37" s="97" t="n"/>
      <c r="D37" s="97" t="n"/>
      <c r="E37" s="97" t="n"/>
      <c r="F37" s="97" t="n"/>
      <c r="G37" s="97" t="n"/>
      <c r="H37" s="97" t="n"/>
      <c r="I37" s="97" t="n"/>
      <c r="J37" s="97" t="n"/>
      <c r="K37" s="97" t="n"/>
      <c r="L37" s="97" t="n"/>
      <c r="M37" s="73" t="inlineStr">
        <is>
          <t>Long-run nominal GDP growth rate — typically 2-4% for US.  Keep below WACC.</t>
        </is>
      </c>
    </row>
    <row r="38" ht="20" customHeight="1">
      <c r="A38" s="68" t="inlineStr">
        <is>
          <t>Terminal EV/EBITDA Multiple  (exit multiple method)</t>
        </is>
      </c>
      <c r="B38" s="99" t="n">
        <v>20</v>
      </c>
      <c r="C38" s="97" t="n"/>
      <c r="D38" s="97" t="n"/>
      <c r="E38" s="97" t="n"/>
      <c r="F38" s="97" t="n"/>
      <c r="G38" s="97" t="n"/>
      <c r="H38" s="97" t="n"/>
      <c r="I38" s="97" t="n"/>
      <c r="J38" s="97" t="n"/>
      <c r="K38" s="97" t="n"/>
      <c r="L38" s="97" t="n"/>
      <c r="M38" s="73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0" t="inlineStr">
        <is>
          <t>Terminal Year UFCF  (grown by g)</t>
        </is>
      </c>
      <c r="B40" s="101">
        <f>L32</f>
        <v/>
      </c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  <c r="L40" s="102" t="n"/>
      <c r="M40" s="79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4">
        <f>B40/(B36-B37)</f>
        <v/>
      </c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79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4">
        <f>L20*B38</f>
        <v/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79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0" t="inlineStr">
        <is>
          <t>Discount Period  (mid-year convention)</t>
        </is>
      </c>
      <c r="G45" s="104" t="n">
        <v>0.5</v>
      </c>
      <c r="H45" s="104" t="n">
        <v>1.5</v>
      </c>
      <c r="I45" s="104" t="n">
        <v>2.5</v>
      </c>
      <c r="J45" s="104" t="n">
        <v>3.5</v>
      </c>
      <c r="K45" s="104" t="n">
        <v>4.5</v>
      </c>
      <c r="L45" s="105" t="n">
        <v>5</v>
      </c>
      <c r="M45" s="79" t="inlineStr">
        <is>
          <t>Mid-year: 0.5, 1.5, 2.5...  assumes FCF received evenly through each year</t>
        </is>
      </c>
    </row>
    <row r="46" ht="20" customHeight="1">
      <c r="A46" s="100" t="inlineStr">
        <is>
          <t>Discount Factor  =  1 / (1 + WACC) ^ period</t>
        </is>
      </c>
      <c r="G46" s="106">
        <f>1/(1+B36)^G45</f>
        <v/>
      </c>
      <c r="H46" s="106">
        <f>1/(1+B36)^H45</f>
        <v/>
      </c>
      <c r="I46" s="106">
        <f>1/(1+B36)^I45</f>
        <v/>
      </c>
      <c r="J46" s="106">
        <f>1/(1+B36)^J45</f>
        <v/>
      </c>
      <c r="K46" s="106">
        <f>1/(1+B36)^K45</f>
        <v/>
      </c>
      <c r="L46" s="107">
        <f>1/(1+B36)^L45</f>
        <v/>
      </c>
      <c r="M46" s="79">
        <f> 1 / (1 + WACC) ^ discount period</f>
        <v/>
      </c>
    </row>
    <row r="47" ht="20" customHeight="1">
      <c r="A47" s="75" t="inlineStr">
        <is>
          <t>PV of UFCF</t>
        </is>
      </c>
      <c r="G47" s="94">
        <f>G32*G46</f>
        <v/>
      </c>
      <c r="H47" s="94">
        <f>H32*H46</f>
        <v/>
      </c>
      <c r="I47" s="94">
        <f>I32*I46</f>
        <v/>
      </c>
      <c r="J47" s="94">
        <f>J32*J46</f>
        <v/>
      </c>
      <c r="K47" s="94">
        <f>K32*K46</f>
        <v/>
      </c>
      <c r="L47" s="103" t="n"/>
      <c r="M47" s="79">
        <f> UFCF × discount factor</f>
        <v/>
      </c>
    </row>
    <row r="48" ht="20" customHeight="1">
      <c r="A48" s="63" t="inlineStr">
        <is>
          <t>Sum of PV of FCFs  (explicit period)</t>
        </is>
      </c>
      <c r="B48" s="91">
        <f>G47+H47+I47+J47+K47</f>
        <v/>
      </c>
      <c r="C48" s="108" t="n"/>
      <c r="D48" s="108" t="n"/>
      <c r="E48" s="108" t="n"/>
      <c r="F48" s="108" t="n"/>
      <c r="G48" s="108" t="n"/>
      <c r="H48" s="108" t="n"/>
      <c r="I48" s="108" t="n"/>
      <c r="J48" s="108" t="n"/>
      <c r="K48" s="108" t="n"/>
      <c r="L48" s="108" t="n"/>
      <c r="M48" s="79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1">
        <f>B41*L46</f>
        <v/>
      </c>
      <c r="C49" s="108" t="n"/>
      <c r="D49" s="108" t="n"/>
      <c r="E49" s="108" t="n"/>
      <c r="F49" s="108" t="n"/>
      <c r="G49" s="108" t="n"/>
      <c r="H49" s="108" t="n"/>
      <c r="I49" s="108" t="n"/>
      <c r="J49" s="108" t="n"/>
      <c r="K49" s="108" t="n"/>
      <c r="L49" s="108" t="n"/>
      <c r="M49" s="79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1">
        <f>B42*L46</f>
        <v/>
      </c>
      <c r="C50" s="108" t="n"/>
      <c r="D50" s="108" t="n"/>
      <c r="E50" s="108" t="n"/>
      <c r="F50" s="108" t="n"/>
      <c r="G50" s="108" t="n"/>
      <c r="H50" s="108" t="n"/>
      <c r="I50" s="108" t="n"/>
      <c r="J50" s="108" t="n"/>
      <c r="K50" s="108" t="n"/>
      <c r="L50" s="108" t="n"/>
      <c r="M50" s="79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4">
        <f>B48+B49</f>
        <v/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</row>
    <row r="54">
      <c r="A54" s="75" t="inlineStr">
        <is>
          <t>Enterprise Value  [Exit Multiple]</t>
        </is>
      </c>
      <c r="B54" s="94">
        <f>B48+B50</f>
        <v/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</row>
    <row r="55" ht="20" customHeight="1">
      <c r="A55" s="88" t="inlineStr">
        <is>
          <t xml:space="preserve">  Less: Net Debt  (Debt − Cash)</t>
        </is>
      </c>
      <c r="B55" s="101" t="n">
        <v>-8137</v>
      </c>
      <c r="C55" s="102" t="n"/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79" t="inlineStr">
        <is>
          <t>Auto-linked from Balance Sheet: Debt $8,376mm − Cash $16,513mm = $-8,137mm  (negative = net cash)</t>
        </is>
      </c>
    </row>
    <row r="56" ht="20" customHeight="1">
      <c r="A56" s="88" t="inlineStr">
        <is>
          <t xml:space="preserve">  Less: Minority Interest</t>
        </is>
      </c>
      <c r="B56" s="101" t="n">
        <v>728</v>
      </c>
      <c r="C56" s="102" t="n"/>
      <c r="D56" s="102" t="n"/>
      <c r="E56" s="102" t="n"/>
      <c r="F56" s="102" t="n"/>
      <c r="G56" s="102" t="n"/>
      <c r="H56" s="102" t="n"/>
      <c r="I56" s="102" t="n"/>
      <c r="J56" s="102" t="n"/>
      <c r="K56" s="102" t="n"/>
      <c r="L56" s="102" t="n"/>
      <c r="M56" s="79" t="inlineStr">
        <is>
          <t>Auto-linked from Balance Sheet: minorityInterest</t>
        </is>
      </c>
    </row>
    <row r="57" ht="20" customHeight="1">
      <c r="A57" s="88" t="inlineStr">
        <is>
          <t xml:space="preserve">  Shares Outstanding — Diluted  (mm)</t>
        </is>
      </c>
      <c r="B57" s="101" t="n">
        <v>3528</v>
      </c>
      <c r="C57" s="102" t="n"/>
      <c r="D57" s="102" t="n"/>
      <c r="E57" s="102" t="n"/>
      <c r="F57" s="102" t="n"/>
      <c r="G57" s="102" t="n"/>
      <c r="H57" s="102" t="n"/>
      <c r="I57" s="102" t="n"/>
      <c r="J57" s="102" t="n"/>
      <c r="K57" s="102" t="n"/>
      <c r="L57" s="102" t="n"/>
      <c r="M57" s="79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5" t="inlineStr">
        <is>
          <t>Implied Share Price  [Gordon Growth]  ($)</t>
        </is>
      </c>
      <c r="B59" s="109">
        <f>IFERROR((B53-B55-B56)/B57,"")</f>
        <v/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</row>
    <row r="60">
      <c r="A60" s="75" t="inlineStr">
        <is>
          <t>Implied Share Price  [Exit Multiple]  ($)</t>
        </is>
      </c>
      <c r="B60" s="109">
        <f>IFERROR((B54-B55-B56)/B57,"")</f>
        <v/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</row>
    <row r="61" ht="20" customHeight="1">
      <c r="A61" s="100" t="inlineStr">
        <is>
          <t>Current Market Price  ($)</t>
        </is>
      </c>
      <c r="B61" s="110" t="n">
        <v>400.62</v>
      </c>
      <c r="C61" s="102" t="n"/>
      <c r="D61" s="102" t="n"/>
      <c r="E61" s="102" t="n"/>
      <c r="F61" s="102" t="n"/>
      <c r="G61" s="102" t="n"/>
      <c r="H61" s="102" t="n"/>
      <c r="I61" s="102" t="n"/>
      <c r="J61" s="102" t="n"/>
      <c r="K61" s="102" t="n"/>
      <c r="L61" s="102" t="n"/>
      <c r="M61" s="79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1">
        <f>IFERROR(B59/B61-1,"")</f>
        <v/>
      </c>
      <c r="C62" s="108" t="n"/>
      <c r="D62" s="108" t="n"/>
      <c r="E62" s="108" t="n"/>
      <c r="F62" s="108" t="n"/>
      <c r="G62" s="108" t="n"/>
      <c r="H62" s="108" t="n"/>
      <c r="I62" s="108" t="n"/>
      <c r="J62" s="108" t="n"/>
      <c r="K62" s="108" t="n"/>
      <c r="L62" s="108" t="n"/>
      <c r="M62" s="108" t="n"/>
    </row>
    <row r="63">
      <c r="A63" s="63" t="inlineStr">
        <is>
          <t>Upside / (Downside)  [Exit Multiple]</t>
        </is>
      </c>
      <c r="B63" s="111">
        <f>IFERROR(B60/B61-1,"")</f>
        <v/>
      </c>
      <c r="C63" s="108" t="n"/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2" t="inlineStr">
        <is>
          <t>JS SCORECARD — TSLA  |  Master Prompt v2  |  18 Apr 2026</t>
        </is>
      </c>
    </row>
    <row r="2" ht="18" customHeight="1">
      <c r="A2" s="113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4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5" t="inlineStr">
        <is>
          <t>CRITERION</t>
        </is>
      </c>
      <c r="B6" s="116" t="inlineStr">
        <is>
          <t>PART</t>
        </is>
      </c>
      <c r="C6" s="116" t="inlineStr">
        <is>
          <t>WEIGHT %</t>
        </is>
      </c>
      <c r="D6" s="116" t="inlineStr">
        <is>
          <t>CALCULATED VALUE</t>
        </is>
      </c>
      <c r="E6" s="116" t="inlineStr">
        <is>
          <t>TIER  ▼</t>
        </is>
      </c>
      <c r="F6" s="116" t="inlineStr">
        <is>
          <t>SCORE</t>
        </is>
      </c>
      <c r="G6" s="116" t="inlineStr">
        <is>
          <t>WTD SCORE</t>
        </is>
      </c>
      <c r="H6" s="115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7" t="inlineStr">
        <is>
          <t xml:space="preserve">  Business Clarity</t>
        </is>
      </c>
      <c r="B8" s="118" t="inlineStr">
        <is>
          <t>P1</t>
        </is>
      </c>
      <c r="C8" s="119" t="n">
        <v>0.025</v>
      </c>
      <c r="D8" s="120" t="inlineStr">
        <is>
          <t>— user input required</t>
        </is>
      </c>
      <c r="E8" s="121" t="n"/>
      <c r="F8" s="122">
        <f>IF(E8="HIGH",10,IF(E8="MOD-HIGH",7,IF(E8="MOD-LOW",3,IF(E8="LOW",0,""))))</f>
        <v/>
      </c>
      <c r="G8" s="123">
        <f>IF(F8="","",C8*F8)</f>
        <v/>
      </c>
      <c r="H8" s="124" t="inlineStr"/>
    </row>
    <row r="9" ht="18" customHeight="1">
      <c r="A9" s="125" t="inlineStr">
        <is>
          <t xml:space="preserve">  Moat Profile</t>
        </is>
      </c>
      <c r="B9" s="126" t="inlineStr">
        <is>
          <t>P1</t>
        </is>
      </c>
      <c r="C9" s="127" t="n">
        <v>0.1</v>
      </c>
      <c r="D9" s="128" t="inlineStr">
        <is>
          <t>GM 18.0% ✗ (&gt;40%)  |  GM trend -7.6% ✗ (&gt;+1pp)  |  ROIC-WACC +1.3% ✗ (&gt;+5pp)  |  Rev consistency σ=21.4% ✗ (&lt;8%)  [0/4 indicators positive — proxy score]</t>
        </is>
      </c>
      <c r="E9" s="129" t="inlineStr">
        <is>
          <t>LOW</t>
        </is>
      </c>
      <c r="F9" s="130">
        <f>IF(E9="HIGH",10,IF(E9="MOD-HIGH",7,IF(E9="MOD-LOW",3,IF(E9="LOW",0,""))))</f>
        <v/>
      </c>
      <c r="G9" s="131">
        <f>IF(F9="","",C9*F9)</f>
        <v/>
      </c>
      <c r="H9" s="132" t="inlineStr">
        <is>
          <t>GM 18.0% ✗ (&gt;40%)  |  GM trend -7.6% ✗ (&gt;+1pp)  |  ROIC-WACC +1.3% ✗ (&gt;+5pp)  |  Rev consistency σ=21.4% ✗ (&lt;8%)  [0/4 indicators positive — proxy score]</t>
        </is>
      </c>
    </row>
    <row r="10" ht="18" customHeight="1">
      <c r="A10" s="117" t="inlineStr">
        <is>
          <t xml:space="preserve">  Long-Term Potential</t>
        </is>
      </c>
      <c r="B10" s="118" t="inlineStr">
        <is>
          <t>P1</t>
        </is>
      </c>
      <c r="C10" s="119" t="n">
        <v>0.1</v>
      </c>
      <c r="D10" s="120" t="inlineStr">
        <is>
          <t>— user input required</t>
        </is>
      </c>
      <c r="E10" s="121" t="n"/>
      <c r="F10" s="122">
        <f>IF(E10="HIGH",10,IF(E10="MOD-HIGH",7,IF(E10="MOD-LOW",3,IF(E10="LOW",0,""))))</f>
        <v/>
      </c>
      <c r="G10" s="123">
        <f>IF(F10="","",C10*F10)</f>
        <v/>
      </c>
      <c r="H10" s="124" t="inlineStr"/>
    </row>
    <row r="11" ht="18" customHeight="1">
      <c r="A11" s="125" t="inlineStr">
        <is>
          <t xml:space="preserve">  Management</t>
        </is>
      </c>
      <c r="B11" s="126" t="inlineStr">
        <is>
          <t>P1</t>
        </is>
      </c>
      <c r="C11" s="127" t="n">
        <v>0.075</v>
      </c>
      <c r="D11" s="128" t="inlineStr">
        <is>
          <t>ROIC trend -36.8% ✗ (≥-2pp)  |  GM maintained -7.6% ✗  |  Op margin -12.2% ✗ (≥-2pp)  |  Capital returns LOW ✗  [0/4 indicators positive — proxy score]</t>
        </is>
      </c>
      <c r="E11" s="129" t="inlineStr">
        <is>
          <t>LOW</t>
        </is>
      </c>
      <c r="F11" s="130">
        <f>IF(E11="HIGH",10,IF(E11="MOD-HIGH",7,IF(E11="MOD-LOW",3,IF(E11="LOW",0,""))))</f>
        <v/>
      </c>
      <c r="G11" s="131">
        <f>IF(F11="","",C11*F11)</f>
        <v/>
      </c>
      <c r="H11" s="132" t="inlineStr">
        <is>
          <t>ROIC trend -36.8% ✗ (≥-2pp)  |  GM maintained -7.6% ✗  |  Op margin -12.2% ✗ (≥-2pp)  |  Capital returns LOW ✗  [0/4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5" t="inlineStr">
        <is>
          <t xml:space="preserve">  Revenue 3yr CAGR</t>
        </is>
      </c>
      <c r="B13" s="126" t="inlineStr">
        <is>
          <t>P2</t>
        </is>
      </c>
      <c r="C13" s="127" t="n">
        <v>0.1</v>
      </c>
      <c r="D13" s="128" t="inlineStr">
        <is>
          <t>5.2%</t>
        </is>
      </c>
      <c r="E13" s="133" t="inlineStr">
        <is>
          <t>MOD-LOW</t>
        </is>
      </c>
      <c r="F13" s="130">
        <f>IF(E13="HIGH",10,IF(E13="MOD-HIGH",7,IF(E13="MOD-LOW",3,IF(E13="LOW",0,""))))</f>
        <v/>
      </c>
      <c r="G13" s="131">
        <f>IF(F13="","",C13*F13)</f>
        <v/>
      </c>
      <c r="H13" s="132" t="inlineStr">
        <is>
          <t>5.2%</t>
        </is>
      </c>
    </row>
    <row r="14" ht="18" customHeight="1">
      <c r="A14" s="125" t="inlineStr">
        <is>
          <t xml:space="preserve">  Cash Quality  (FCF / Net Income)</t>
        </is>
      </c>
      <c r="B14" s="126" t="inlineStr">
        <is>
          <t>P2</t>
        </is>
      </c>
      <c r="C14" s="127" t="n">
        <v>0.1</v>
      </c>
      <c r="D14" s="128" t="inlineStr">
        <is>
          <t>164%</t>
        </is>
      </c>
      <c r="E14" s="134" t="inlineStr">
        <is>
          <t>HIGH</t>
        </is>
      </c>
      <c r="F14" s="130">
        <f>IF(E14="HIGH",10,IF(E14="MOD-HIGH",7,IF(E14="MOD-LOW",3,IF(E14="LOW",0,""))))</f>
        <v/>
      </c>
      <c r="G14" s="131">
        <f>IF(F14="","",C14*F14)</f>
        <v/>
      </c>
      <c r="H14" s="132" t="inlineStr">
        <is>
          <t>164%</t>
        </is>
      </c>
    </row>
    <row r="15" ht="18" customHeight="1">
      <c r="A15" s="125" t="inlineStr">
        <is>
          <t xml:space="preserve">  Capital Returns</t>
        </is>
      </c>
      <c r="B15" s="126" t="inlineStr">
        <is>
          <t>P2</t>
        </is>
      </c>
      <c r="C15" s="127" t="n">
        <v>0.05</v>
      </c>
      <c r="D15" s="128" t="inlineStr">
        <is>
          <t>No capital returns in latest year</t>
        </is>
      </c>
      <c r="E15" s="129" t="inlineStr">
        <is>
          <t>LOW</t>
        </is>
      </c>
      <c r="F15" s="130">
        <f>IF(E15="HIGH",10,IF(E15="MOD-HIGH",7,IF(E15="MOD-LOW",3,IF(E15="LOW",0,""))))</f>
        <v/>
      </c>
      <c r="G15" s="131">
        <f>IF(F15="","",C15*F15)</f>
        <v/>
      </c>
      <c r="H15" s="132" t="inlineStr">
        <is>
          <t>No capital returns in latest year</t>
        </is>
      </c>
    </row>
    <row r="16" ht="18" customHeight="1">
      <c r="A16" s="125" t="inlineStr">
        <is>
          <t xml:space="preserve">  ROIC</t>
        </is>
      </c>
      <c r="B16" s="126" t="inlineStr">
        <is>
          <t>P2</t>
        </is>
      </c>
      <c r="C16" s="127" t="n">
        <v>0.075</v>
      </c>
      <c r="D16" s="128" t="inlineStr">
        <is>
          <t>4.3%  [trend penalty: declined &gt;5pp vs 3yr ago]</t>
        </is>
      </c>
      <c r="E16" s="129" t="inlineStr">
        <is>
          <t>LOW</t>
        </is>
      </c>
      <c r="F16" s="130">
        <f>IF(E16="HIGH",10,IF(E16="MOD-HIGH",7,IF(E16="MOD-LOW",3,IF(E16="LOW",0,""))))</f>
        <v/>
      </c>
      <c r="G16" s="131">
        <f>IF(F16="","",C16*F16)</f>
        <v/>
      </c>
      <c r="H16" s="132" t="inlineStr">
        <is>
          <t>4.3%  [trend penalty: declined &gt;5pp vs 3yr ago]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5" t="inlineStr">
        <is>
          <t xml:space="preserve">  Credit Risk  (D / EBITDA)</t>
        </is>
      </c>
      <c r="B18" s="126" t="inlineStr">
        <is>
          <t>P3</t>
        </is>
      </c>
      <c r="C18" s="127" t="n">
        <v>0.05</v>
      </c>
      <c r="D18" s="128" t="inlineStr">
        <is>
          <t>Net cash $8,137mm — no net leverage</t>
        </is>
      </c>
      <c r="E18" s="134" t="inlineStr">
        <is>
          <t>HIGH</t>
        </is>
      </c>
      <c r="F18" s="130">
        <f>IF(E18="HIGH",10,IF(E18="MOD-HIGH",7,IF(E18="MOD-LOW",3,IF(E18="LOW",0,""))))</f>
        <v/>
      </c>
      <c r="G18" s="131">
        <f>IF(F18="","",C18*F18)</f>
        <v/>
      </c>
      <c r="H18" s="132" t="inlineStr">
        <is>
          <t>Net cash $8,137mm — no net leverage</t>
        </is>
      </c>
    </row>
    <row r="19" ht="18" customHeight="1">
      <c r="A19" s="125" t="inlineStr">
        <is>
          <t xml:space="preserve">  Interest Cover  (EBIT / Interest)</t>
        </is>
      </c>
      <c r="B19" s="126" t="inlineStr">
        <is>
          <t>P3</t>
        </is>
      </c>
      <c r="C19" s="127" t="n">
        <v>0.075</v>
      </c>
      <c r="D19" s="128" t="inlineStr">
        <is>
          <t>12.9x</t>
        </is>
      </c>
      <c r="E19" s="134" t="inlineStr">
        <is>
          <t>HIGH</t>
        </is>
      </c>
      <c r="F19" s="130">
        <f>IF(E19="HIGH",10,IF(E19="MOD-HIGH",7,IF(E19="MOD-LOW",3,IF(E19="LOW",0,""))))</f>
        <v/>
      </c>
      <c r="G19" s="131">
        <f>IF(F19="","",C19*F19)</f>
        <v/>
      </c>
      <c r="H19" s="132" t="inlineStr">
        <is>
          <t>12.9x</t>
        </is>
      </c>
    </row>
    <row r="20" ht="18" customHeight="1">
      <c r="A20" s="125" t="inlineStr">
        <is>
          <t xml:space="preserve">  Execution Risk</t>
        </is>
      </c>
      <c r="B20" s="126" t="inlineStr">
        <is>
          <t>P3</t>
        </is>
      </c>
      <c r="C20" s="127" t="n">
        <v>0.05</v>
      </c>
      <c r="D20" s="128" t="inlineStr">
        <is>
          <t>Rev growth σ=21.4%  |  Op margin σ=4.2%  [proxy — lower σ = lower risk = higher score]</t>
        </is>
      </c>
      <c r="E20" s="129" t="inlineStr">
        <is>
          <t>LOW</t>
        </is>
      </c>
      <c r="F20" s="130">
        <f>IF(E20="HIGH",10,IF(E20="MOD-HIGH",7,IF(E20="MOD-LOW",3,IF(E20="LOW",0,""))))</f>
        <v/>
      </c>
      <c r="G20" s="131">
        <f>IF(F20="","",C20*F20)</f>
        <v/>
      </c>
      <c r="H20" s="132" t="inlineStr">
        <is>
          <t>Rev growth σ=21.4%  |  Op margin σ=4.2%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5" t="inlineStr">
        <is>
          <t xml:space="preserve">  Valuation vs Median  (P/E)</t>
        </is>
      </c>
      <c r="B22" s="126" t="inlineStr">
        <is>
          <t>P4</t>
        </is>
      </c>
      <c r="C22" s="127" t="n">
        <v>0.1</v>
      </c>
      <c r="D22" s="128" t="inlineStr">
        <is>
          <t>Current 382.3x  |  5yr avg 167.1x  [+129% vs benchmark]</t>
        </is>
      </c>
      <c r="E22" s="129" t="inlineStr">
        <is>
          <t>LOW</t>
        </is>
      </c>
      <c r="F22" s="130">
        <f>IF(E22="HIGH",10,IF(E22="MOD-HIGH",7,IF(E22="MOD-LOW",3,IF(E22="LOW",0,""))))</f>
        <v/>
      </c>
      <c r="G22" s="131">
        <f>IF(F22="","",C22*F22)</f>
        <v/>
      </c>
      <c r="H22" s="132" t="inlineStr">
        <is>
          <t>Current 382.3x  |  5yr avg 167.1x  [+129% vs benchmark]</t>
        </is>
      </c>
    </row>
    <row r="23" ht="18" customHeight="1">
      <c r="A23" s="125" t="inlineStr">
        <is>
          <t xml:space="preserve">  Valuation vs Median  (P/FCF)</t>
        </is>
      </c>
      <c r="B23" s="126" t="inlineStr">
        <is>
          <t>P4</t>
        </is>
      </c>
      <c r="C23" s="127" t="n">
        <v>0.1</v>
      </c>
      <c r="D23" s="128" t="inlineStr">
        <is>
          <t>Current 233.2x  |  5yr avg 225.0x  [+4% vs benchmark]</t>
        </is>
      </c>
      <c r="E23" s="135" t="inlineStr">
        <is>
          <t>MOD-HIGH</t>
        </is>
      </c>
      <c r="F23" s="130">
        <f>IF(E23="HIGH",10,IF(E23="MOD-HIGH",7,IF(E23="MOD-LOW",3,IF(E23="LOW",0,""))))</f>
        <v/>
      </c>
      <c r="G23" s="131">
        <f>IF(F23="","",C23*F23)</f>
        <v/>
      </c>
      <c r="H23" s="132" t="inlineStr">
        <is>
          <t>Current 233.2x  |  5yr avg 225.0x  [+4%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1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2026-04-18T03:12:13Z</dcterms:created>
  <dcterms:modified xsi:type="dcterms:W3CDTF">2026-04-18T03:12:18Z</dcterms:modified>
</cp:coreProperties>
</file>