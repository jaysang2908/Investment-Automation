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TSLA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94827</v>
      </c>
    </row>
    <row r="8">
      <c r="A8" s="3" t="inlineStr">
        <is>
          <t>Gross Profit ($mm)</t>
        </is>
      </c>
      <c r="B8" s="7" t="n">
        <v>17094</v>
      </c>
    </row>
    <row r="9">
      <c r="A9" s="3" t="inlineStr">
        <is>
          <t>EBITDA ($mm)</t>
        </is>
      </c>
      <c r="B9" s="7" t="n">
        <v>11764</v>
      </c>
    </row>
    <row r="10">
      <c r="A10" s="3" t="inlineStr">
        <is>
          <t>EBIT ($mm)</t>
        </is>
      </c>
      <c r="B10" s="7" t="n">
        <v>4355</v>
      </c>
    </row>
    <row r="11">
      <c r="A11" s="3" t="inlineStr">
        <is>
          <t>Net Income ($mm)</t>
        </is>
      </c>
      <c r="B11" s="7" t="n">
        <v>3794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53823</v>
      </c>
      <c r="C5" s="16" t="n">
        <v>81462</v>
      </c>
      <c r="D5" s="16" t="n">
        <v>96773</v>
      </c>
      <c r="E5" s="16" t="n">
        <v>97690</v>
      </c>
      <c r="F5" s="16" t="n">
        <v>94827</v>
      </c>
    </row>
    <row r="6">
      <c r="A6" s="17" t="inlineStr">
        <is>
          <t>(2)  Cost of Revenue (COGS)</t>
        </is>
      </c>
      <c r="B6" s="18" t="n">
        <v>40217</v>
      </c>
      <c r="C6" s="18" t="n">
        <v>60609</v>
      </c>
      <c r="D6" s="18" t="n">
        <v>79113</v>
      </c>
      <c r="E6" s="18" t="n">
        <v>80240</v>
      </c>
      <c r="F6" s="18" t="n">
        <v>77733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4517</v>
      </c>
      <c r="C9" s="18" t="n">
        <v>3946</v>
      </c>
      <c r="D9" s="18" t="n">
        <v>4800</v>
      </c>
      <c r="E9" s="18" t="n">
        <v>5150</v>
      </c>
      <c r="F9" s="18" t="n">
        <v>5834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7110</v>
      </c>
      <c r="C11" s="18" t="n">
        <v>7197</v>
      </c>
      <c r="D11" s="18" t="n">
        <v>8769</v>
      </c>
      <c r="E11" s="18" t="n">
        <v>10374</v>
      </c>
      <c r="F11" s="18" t="n">
        <v>12739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2911</v>
      </c>
      <c r="C14" s="18" t="n">
        <v>3747</v>
      </c>
      <c r="D14" s="18" t="n">
        <v>4667</v>
      </c>
      <c r="E14" s="18" t="n">
        <v>5368</v>
      </c>
      <c r="F14" s="18" t="n">
        <v>6148</v>
      </c>
    </row>
    <row r="15">
      <c r="A15" s="19" t="inlineStr">
        <is>
          <t>(8)  EBIT (Operating Income)</t>
        </is>
      </c>
      <c r="B15" s="24" t="n">
        <v>6523</v>
      </c>
      <c r="C15" s="24" t="n">
        <v>13656</v>
      </c>
      <c r="D15" s="24" t="n">
        <v>8891</v>
      </c>
      <c r="E15" s="24" t="n">
        <v>7076</v>
      </c>
      <c r="F15" s="24" t="n">
        <v>4355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371</v>
      </c>
      <c r="C17" s="18" t="n">
        <v>191</v>
      </c>
      <c r="D17" s="18" t="n">
        <v>156</v>
      </c>
      <c r="E17" s="18" t="n">
        <v>350</v>
      </c>
      <c r="F17" s="18" t="n">
        <v>338</v>
      </c>
    </row>
    <row r="18">
      <c r="A18" s="21" t="inlineStr">
        <is>
          <t xml:space="preserve">     Interest Income</t>
        </is>
      </c>
      <c r="B18" s="18" t="n">
        <v>56</v>
      </c>
      <c r="C18" s="18" t="n">
        <v>297</v>
      </c>
      <c r="D18" s="18" t="n">
        <v>1066</v>
      </c>
      <c r="E18" s="18" t="n">
        <v>1569</v>
      </c>
      <c r="F18" s="18" t="n">
        <v>1680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6343</v>
      </c>
      <c r="C21" s="24" t="n">
        <v>13719</v>
      </c>
      <c r="D21" s="24" t="n">
        <v>9973</v>
      </c>
      <c r="E21" s="24" t="n">
        <v>8990</v>
      </c>
      <c r="F21" s="24" t="n">
        <v>5278</v>
      </c>
    </row>
    <row r="22">
      <c r="A22" s="17" t="inlineStr">
        <is>
          <t>(11) Income Tax Expense</t>
        </is>
      </c>
      <c r="B22" s="18" t="n">
        <v>699</v>
      </c>
      <c r="C22" s="18" t="n">
        <v>1132</v>
      </c>
      <c r="D22" s="18" t="n">
        <v>-5001</v>
      </c>
      <c r="E22" s="18" t="n">
        <v>1837</v>
      </c>
      <c r="F22" s="18" t="n">
        <v>1423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5524</v>
      </c>
      <c r="C24" s="24" t="n">
        <v>12583</v>
      </c>
      <c r="D24" s="24" t="n">
        <v>14999</v>
      </c>
      <c r="E24" s="24" t="n">
        <v>7130</v>
      </c>
      <c r="F24" s="24" t="n">
        <v>3794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53823</v>
      </c>
      <c r="C30" s="16" t="n">
        <v>81462</v>
      </c>
      <c r="D30" s="16" t="n">
        <v>96773</v>
      </c>
      <c r="E30" s="16" t="n">
        <v>97690</v>
      </c>
      <c r="F30" s="16" t="n">
        <v>94827</v>
      </c>
    </row>
    <row r="31">
      <c r="A31" s="17" t="inlineStr">
        <is>
          <t>Cost of Revenue</t>
        </is>
      </c>
      <c r="B31" s="18" t="n">
        <v>40217</v>
      </c>
      <c r="C31" s="18" t="n">
        <v>60609</v>
      </c>
      <c r="D31" s="18" t="n">
        <v>79113</v>
      </c>
      <c r="E31" s="18" t="n">
        <v>80240</v>
      </c>
      <c r="F31" s="18" t="n">
        <v>77733</v>
      </c>
    </row>
    <row r="32">
      <c r="A32" s="26" t="inlineStr">
        <is>
          <t>Gross Profit</t>
        </is>
      </c>
      <c r="B32" s="27" t="n">
        <v>13606</v>
      </c>
      <c r="C32" s="27" t="n">
        <v>20853</v>
      </c>
      <c r="D32" s="27" t="n">
        <v>17660</v>
      </c>
      <c r="E32" s="27" t="n">
        <v>17450</v>
      </c>
      <c r="F32" s="27" t="n">
        <v>17094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2593</v>
      </c>
      <c r="C34" s="18" t="n">
        <v>3075</v>
      </c>
      <c r="D34" s="18" t="n">
        <v>3969</v>
      </c>
      <c r="E34" s="18" t="n">
        <v>4540</v>
      </c>
      <c r="F34" s="18" t="n">
        <v>6411</v>
      </c>
    </row>
    <row r="35">
      <c r="A35" s="17" t="inlineStr">
        <is>
          <t>General &amp; Administrative</t>
        </is>
      </c>
      <c r="B35" s="18" t="n">
        <v>4517</v>
      </c>
      <c r="C35" s="18" t="n">
        <v>3946</v>
      </c>
      <c r="D35" s="18" t="n">
        <v>4800</v>
      </c>
      <c r="E35" s="18" t="n">
        <v>5150</v>
      </c>
      <c r="F35" s="18" t="n">
        <v>5834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4517</v>
      </c>
      <c r="C37" s="18" t="n">
        <v>3946</v>
      </c>
      <c r="D37" s="18" t="n">
        <v>4800</v>
      </c>
      <c r="E37" s="18" t="n">
        <v>5150</v>
      </c>
      <c r="F37" s="18" t="n">
        <v>5834</v>
      </c>
    </row>
    <row r="38">
      <c r="A38" s="17" t="inlineStr">
        <is>
          <t>Other Expenses</t>
        </is>
      </c>
      <c r="B38" s="18" t="n">
        <v>0</v>
      </c>
      <c r="C38" s="18" t="n">
        <v>176</v>
      </c>
      <c r="D38" s="18" t="n">
        <v>0</v>
      </c>
      <c r="E38" s="18" t="n">
        <v>684</v>
      </c>
      <c r="F38" s="18" t="n">
        <v>494</v>
      </c>
    </row>
    <row r="39">
      <c r="A39" s="26" t="inlineStr">
        <is>
          <t>Total Operating Expenses</t>
        </is>
      </c>
      <c r="B39" s="27" t="n">
        <v>7110</v>
      </c>
      <c r="C39" s="27" t="n">
        <v>7197</v>
      </c>
      <c r="D39" s="27" t="n">
        <v>8769</v>
      </c>
      <c r="E39" s="27" t="n">
        <v>10374</v>
      </c>
      <c r="F39" s="27" t="n">
        <v>12739</v>
      </c>
    </row>
    <row r="40">
      <c r="A40" s="17" t="inlineStr">
        <is>
          <t>Cost &amp; Expenses (COGS + Opex)</t>
        </is>
      </c>
      <c r="B40" s="18" t="n">
        <v>47327</v>
      </c>
      <c r="C40" s="18" t="n">
        <v>67806</v>
      </c>
      <c r="D40" s="18" t="n">
        <v>87882</v>
      </c>
      <c r="E40" s="18" t="n">
        <v>90614</v>
      </c>
      <c r="F40" s="18" t="n">
        <v>90472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6523</v>
      </c>
      <c r="C42" s="16" t="n">
        <v>13656</v>
      </c>
      <c r="D42" s="16" t="n">
        <v>8891</v>
      </c>
      <c r="E42" s="16" t="n">
        <v>7076</v>
      </c>
      <c r="F42" s="16" t="n">
        <v>4355</v>
      </c>
    </row>
    <row r="43">
      <c r="A43" s="17" t="inlineStr">
        <is>
          <t>EBIT (FMP field)</t>
        </is>
      </c>
      <c r="B43" s="18" t="n">
        <v>6714</v>
      </c>
      <c r="C43" s="18" t="n">
        <v>13910</v>
      </c>
      <c r="D43" s="18" t="n">
        <v>10129</v>
      </c>
      <c r="E43" s="18" t="n">
        <v>9340</v>
      </c>
      <c r="F43" s="18" t="n">
        <v>5616</v>
      </c>
    </row>
    <row r="44">
      <c r="A44" s="26" t="inlineStr">
        <is>
          <t>EBITDA</t>
        </is>
      </c>
      <c r="B44" s="27" t="n">
        <v>9625</v>
      </c>
      <c r="C44" s="27" t="n">
        <v>17657</v>
      </c>
      <c r="D44" s="27" t="n">
        <v>14796</v>
      </c>
      <c r="E44" s="27" t="n">
        <v>14708</v>
      </c>
      <c r="F44" s="27" t="n">
        <v>11764</v>
      </c>
    </row>
    <row r="45">
      <c r="A45" s="17" t="inlineStr">
        <is>
          <t>Depreciation &amp; Amortisation</t>
        </is>
      </c>
      <c r="B45" s="18" t="n">
        <v>2911</v>
      </c>
      <c r="C45" s="18" t="n">
        <v>3747</v>
      </c>
      <c r="D45" s="18" t="n">
        <v>4667</v>
      </c>
      <c r="E45" s="18" t="n">
        <v>5368</v>
      </c>
      <c r="F45" s="18" t="n">
        <v>6148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56</v>
      </c>
      <c r="C47" s="18" t="n">
        <v>297</v>
      </c>
      <c r="D47" s="18" t="n">
        <v>1066</v>
      </c>
      <c r="E47" s="18" t="n">
        <v>1569</v>
      </c>
      <c r="F47" s="18" t="n">
        <v>1680</v>
      </c>
    </row>
    <row r="48">
      <c r="A48" s="17" t="inlineStr">
        <is>
          <t>Interest Expense</t>
        </is>
      </c>
      <c r="B48" s="18" t="n">
        <v>371</v>
      </c>
      <c r="C48" s="18" t="n">
        <v>191</v>
      </c>
      <c r="D48" s="18" t="n">
        <v>156</v>
      </c>
      <c r="E48" s="18" t="n">
        <v>350</v>
      </c>
      <c r="F48" s="18" t="n">
        <v>338</v>
      </c>
    </row>
    <row r="49">
      <c r="A49" s="17" t="inlineStr">
        <is>
          <t>Net Interest Income</t>
        </is>
      </c>
      <c r="B49" s="18" t="n">
        <v>-315</v>
      </c>
      <c r="C49" s="18" t="n">
        <v>106</v>
      </c>
      <c r="D49" s="18" t="n">
        <v>910</v>
      </c>
      <c r="E49" s="18" t="n">
        <v>1219</v>
      </c>
      <c r="F49" s="18" t="n">
        <v>1342</v>
      </c>
    </row>
    <row r="50">
      <c r="A50" s="17" t="inlineStr">
        <is>
          <t>Non-Operating Income (ex-interest)</t>
        </is>
      </c>
      <c r="B50" s="18" t="n">
        <v>-191</v>
      </c>
      <c r="C50" s="18" t="n">
        <v>-254</v>
      </c>
      <c r="D50" s="18" t="n">
        <v>-1238</v>
      </c>
      <c r="E50" s="18" t="n">
        <v>-2264</v>
      </c>
      <c r="F50" s="18" t="n">
        <v>-1261</v>
      </c>
    </row>
    <row r="51">
      <c r="A51" s="17" t="inlineStr">
        <is>
          <t>Total Other Income / (Expenses)</t>
        </is>
      </c>
      <c r="B51" s="18" t="n">
        <v>-180</v>
      </c>
      <c r="C51" s="18" t="n">
        <v>63</v>
      </c>
      <c r="D51" s="18" t="n">
        <v>1082</v>
      </c>
      <c r="E51" s="18" t="n">
        <v>1914</v>
      </c>
      <c r="F51" s="18" t="n">
        <v>923</v>
      </c>
    </row>
    <row r="52">
      <c r="A52" s="26" t="inlineStr">
        <is>
          <t>EBT / Income Before Tax</t>
        </is>
      </c>
      <c r="B52" s="27" t="n">
        <v>6343</v>
      </c>
      <c r="C52" s="27" t="n">
        <v>13719</v>
      </c>
      <c r="D52" s="27" t="n">
        <v>9973</v>
      </c>
      <c r="E52" s="27" t="n">
        <v>8990</v>
      </c>
      <c r="F52" s="27" t="n">
        <v>5278</v>
      </c>
    </row>
    <row r="53">
      <c r="A53" s="17" t="inlineStr">
        <is>
          <t>Income Tax Expense</t>
        </is>
      </c>
      <c r="B53" s="18" t="n">
        <v>699</v>
      </c>
      <c r="C53" s="18" t="n">
        <v>1132</v>
      </c>
      <c r="D53" s="18" t="n">
        <v>-5001</v>
      </c>
      <c r="E53" s="18" t="n">
        <v>1837</v>
      </c>
      <c r="F53" s="18" t="n">
        <v>1423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5644</v>
      </c>
      <c r="C55" s="18" t="n">
        <v>12587</v>
      </c>
      <c r="D55" s="18" t="n">
        <v>14974</v>
      </c>
      <c r="E55" s="18" t="n">
        <v>7153</v>
      </c>
      <c r="F55" s="18" t="n">
        <v>3855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5</v>
      </c>
      <c r="C57" s="18" t="n">
        <v>27</v>
      </c>
      <c r="D57" s="18" t="n">
        <v>2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-4</v>
      </c>
      <c r="C58" s="18" t="n">
        <v>-1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5524</v>
      </c>
      <c r="C59" s="27" t="n">
        <v>12583</v>
      </c>
      <c r="D59" s="27" t="n">
        <v>14999</v>
      </c>
      <c r="E59" s="27" t="n">
        <v>7130</v>
      </c>
      <c r="F59" s="27" t="n">
        <v>3794</v>
      </c>
    </row>
    <row r="60">
      <c r="A60" s="15" t="inlineStr">
        <is>
          <t>Bottom Line Net Income</t>
        </is>
      </c>
      <c r="B60" s="16" t="n">
        <v>5533</v>
      </c>
      <c r="C60" s="16" t="n">
        <v>12584</v>
      </c>
      <c r="D60" s="16" t="n">
        <v>14999</v>
      </c>
      <c r="E60" s="16" t="n">
        <v>7130</v>
      </c>
      <c r="F60" s="16" t="n">
        <v>3794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1.87</v>
      </c>
      <c r="C62" s="18" t="n">
        <v>4.02</v>
      </c>
      <c r="D62" s="18" t="n">
        <v>4.73</v>
      </c>
      <c r="E62" s="18" t="n">
        <v>2.2302</v>
      </c>
      <c r="F62" s="18" t="n">
        <v>1.18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2959</v>
      </c>
      <c r="C64" s="18" t="n">
        <v>3130</v>
      </c>
      <c r="D64" s="18" t="n">
        <v>3173.5</v>
      </c>
      <c r="E64" s="18" t="n">
        <v>3197</v>
      </c>
      <c r="F64" s="18" t="n">
        <v>3225</v>
      </c>
    </row>
    <row r="65">
      <c r="A65" s="17" t="inlineStr">
        <is>
          <t>Shares Outstanding — Diluted (mm)</t>
        </is>
      </c>
      <c r="B65" s="18" t="n">
        <v>3386</v>
      </c>
      <c r="C65" s="18" t="n">
        <v>3475</v>
      </c>
      <c r="D65" s="18" t="n">
        <v>3482.75</v>
      </c>
      <c r="E65" s="18" t="n">
        <v>3498</v>
      </c>
      <c r="F65" s="18" t="n">
        <v>3528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17576</v>
      </c>
      <c r="C5" s="18" t="n">
        <v>16253</v>
      </c>
      <c r="D5" s="18" t="n">
        <v>16398</v>
      </c>
      <c r="E5" s="18" t="n">
        <v>16139</v>
      </c>
      <c r="F5" s="18" t="n">
        <v>16513</v>
      </c>
    </row>
    <row r="6">
      <c r="A6" s="17" t="inlineStr">
        <is>
          <t>(2)  Receivables</t>
        </is>
      </c>
      <c r="B6" s="18" t="n">
        <v>1913</v>
      </c>
      <c r="C6" s="18" t="n">
        <v>2952</v>
      </c>
      <c r="D6" s="18" t="n">
        <v>3508</v>
      </c>
      <c r="E6" s="18" t="n">
        <v>4418</v>
      </c>
      <c r="F6" s="18" t="n">
        <v>4576</v>
      </c>
    </row>
    <row r="7">
      <c r="A7" s="17" t="inlineStr">
        <is>
          <t>(3)  Inventory</t>
        </is>
      </c>
      <c r="B7" s="18" t="n">
        <v>5757</v>
      </c>
      <c r="C7" s="18" t="n">
        <v>12839</v>
      </c>
      <c r="D7" s="18" t="n">
        <v>13626</v>
      </c>
      <c r="E7" s="18" t="n">
        <v>12017</v>
      </c>
      <c r="F7" s="18" t="n">
        <v>12392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27100</v>
      </c>
      <c r="C9" s="24" t="n">
        <v>40917</v>
      </c>
      <c r="D9" s="24" t="n">
        <v>49616</v>
      </c>
      <c r="E9" s="24" t="n">
        <v>58360</v>
      </c>
      <c r="F9" s="24" t="n">
        <v>68642</v>
      </c>
    </row>
    <row r="10">
      <c r="A10" s="17" t="inlineStr">
        <is>
          <t>(6)  PP&amp;E (Net)</t>
        </is>
      </c>
      <c r="B10" s="18" t="n">
        <v>31176</v>
      </c>
      <c r="C10" s="18" t="n">
        <v>36635</v>
      </c>
      <c r="D10" s="18" t="n">
        <v>45123</v>
      </c>
      <c r="E10" s="18" t="n">
        <v>51507</v>
      </c>
      <c r="F10" s="18" t="n">
        <v>40643</v>
      </c>
    </row>
    <row r="11">
      <c r="A11" s="17" t="inlineStr">
        <is>
          <t>(7)  Goodwill</t>
        </is>
      </c>
      <c r="B11" s="18" t="n">
        <v>200</v>
      </c>
      <c r="C11" s="18" t="n">
        <v>194</v>
      </c>
      <c r="D11" s="18" t="n">
        <v>253</v>
      </c>
      <c r="E11" s="18" t="n">
        <v>244</v>
      </c>
      <c r="F11" s="18" t="n">
        <v>257</v>
      </c>
    </row>
    <row r="12">
      <c r="A12" s="17" t="inlineStr">
        <is>
          <t>(8)  Deferred Tax Assets</t>
        </is>
      </c>
      <c r="B12" s="18" t="n">
        <v>0</v>
      </c>
      <c r="C12" s="18" t="n">
        <v>328</v>
      </c>
      <c r="D12" s="18" t="n">
        <v>6733</v>
      </c>
      <c r="E12" s="18" t="n">
        <v>6524</v>
      </c>
      <c r="F12" s="18" t="n">
        <v>6925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35027</v>
      </c>
      <c r="C14" s="24" t="n">
        <v>41421</v>
      </c>
      <c r="D14" s="24" t="n">
        <v>57003</v>
      </c>
      <c r="E14" s="24" t="n">
        <v>63716</v>
      </c>
      <c r="F14" s="24" t="n">
        <v>69164</v>
      </c>
    </row>
    <row r="15">
      <c r="A15" s="19" t="inlineStr">
        <is>
          <t>(11) Total Assets</t>
        </is>
      </c>
      <c r="B15" s="24" t="n">
        <v>62131</v>
      </c>
      <c r="C15" s="24" t="n">
        <v>82338</v>
      </c>
      <c r="D15" s="24" t="n">
        <v>106618</v>
      </c>
      <c r="E15" s="24" t="n">
        <v>122070</v>
      </c>
      <c r="F15" s="24" t="n">
        <v>137806</v>
      </c>
    </row>
    <row r="16" ht="6" customHeight="1"/>
    <row r="17">
      <c r="A17" s="17" t="inlineStr">
        <is>
          <t>(12) Accounts Payable</t>
        </is>
      </c>
      <c r="B17" s="18" t="n">
        <v>10025</v>
      </c>
      <c r="C17" s="18" t="n">
        <v>15255</v>
      </c>
      <c r="D17" s="18" t="n">
        <v>14431</v>
      </c>
      <c r="E17" s="18" t="n">
        <v>12474</v>
      </c>
      <c r="F17" s="18" t="n">
        <v>13371</v>
      </c>
    </row>
    <row r="18">
      <c r="A18" s="17" t="inlineStr">
        <is>
          <t>(13) Short-Term Borrowings</t>
        </is>
      </c>
      <c r="B18" s="18" t="n">
        <v>1088</v>
      </c>
      <c r="C18" s="18" t="n">
        <v>1016</v>
      </c>
      <c r="D18" s="18" t="n">
        <v>1975</v>
      </c>
      <c r="E18" s="18" t="n">
        <v>2343</v>
      </c>
      <c r="F18" s="18" t="n">
        <v>1640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19705</v>
      </c>
      <c r="C21" s="24" t="n">
        <v>26709</v>
      </c>
      <c r="D21" s="24" t="n">
        <v>28748</v>
      </c>
      <c r="E21" s="24" t="n">
        <v>28821</v>
      </c>
      <c r="F21" s="24" t="n">
        <v>31714</v>
      </c>
    </row>
    <row r="22">
      <c r="A22" s="17" t="inlineStr">
        <is>
          <t>(17) Long-Term Debt</t>
        </is>
      </c>
      <c r="B22" s="18" t="n">
        <v>4254</v>
      </c>
      <c r="C22" s="18" t="n">
        <v>1029</v>
      </c>
      <c r="D22" s="18" t="n">
        <v>2682</v>
      </c>
      <c r="E22" s="18" t="n">
        <v>5535</v>
      </c>
      <c r="F22" s="18" t="n">
        <v>6736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30548</v>
      </c>
      <c r="C25" s="24" t="n">
        <v>36440</v>
      </c>
      <c r="D25" s="24" t="n">
        <v>43009</v>
      </c>
      <c r="E25" s="24" t="n">
        <v>48390</v>
      </c>
      <c r="F25" s="24" t="n">
        <v>54941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3</v>
      </c>
    </row>
    <row r="28">
      <c r="A28" s="17" t="inlineStr">
        <is>
          <t>(22) Retained Earnings</t>
        </is>
      </c>
      <c r="B28" s="18" t="n">
        <v>329</v>
      </c>
      <c r="C28" s="18" t="n">
        <v>12885</v>
      </c>
      <c r="D28" s="18" t="n">
        <v>27882</v>
      </c>
      <c r="E28" s="18" t="n">
        <v>35209</v>
      </c>
      <c r="F28" s="18" t="n">
        <v>39003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30189</v>
      </c>
      <c r="C30" s="24" t="n">
        <v>44704</v>
      </c>
      <c r="D30" s="24" t="n">
        <v>62634</v>
      </c>
      <c r="E30" s="24" t="n">
        <v>72913</v>
      </c>
      <c r="F30" s="24" t="n">
        <v>82137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17576</v>
      </c>
      <c r="C36" s="18" t="n">
        <v>16253</v>
      </c>
      <c r="D36" s="18" t="n">
        <v>16398</v>
      </c>
      <c r="E36" s="18" t="n">
        <v>16139</v>
      </c>
      <c r="F36" s="18" t="n">
        <v>16513</v>
      </c>
    </row>
    <row r="37">
      <c r="A37" s="17" t="inlineStr">
        <is>
          <t>Short-Term Investments</t>
        </is>
      </c>
      <c r="B37" s="18" t="n">
        <v>131</v>
      </c>
      <c r="C37" s="18" t="n">
        <v>5932</v>
      </c>
      <c r="D37" s="18" t="n">
        <v>12696</v>
      </c>
      <c r="E37" s="18" t="n">
        <v>20424</v>
      </c>
      <c r="F37" s="18" t="n">
        <v>27546</v>
      </c>
    </row>
    <row r="38">
      <c r="A38" s="28" t="inlineStr">
        <is>
          <t>Cash &amp; Short-Term Investments</t>
        </is>
      </c>
      <c r="B38" s="29" t="n">
        <v>17707</v>
      </c>
      <c r="C38" s="29" t="n">
        <v>22185</v>
      </c>
      <c r="D38" s="29" t="n">
        <v>29094</v>
      </c>
      <c r="E38" s="29" t="n">
        <v>36563</v>
      </c>
      <c r="F38" s="29" t="n">
        <v>44059</v>
      </c>
    </row>
    <row r="39">
      <c r="A39" s="17" t="inlineStr">
        <is>
          <t>Accounts Receivable (Trade)</t>
        </is>
      </c>
      <c r="B39" s="18" t="n">
        <v>1913</v>
      </c>
      <c r="C39" s="18" t="n">
        <v>2952</v>
      </c>
      <c r="D39" s="18" t="n">
        <v>3508</v>
      </c>
      <c r="E39" s="18" t="n">
        <v>4418</v>
      </c>
      <c r="F39" s="18" t="n">
        <v>4576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1913</v>
      </c>
      <c r="C41" s="29" t="n">
        <v>2952</v>
      </c>
      <c r="D41" s="29" t="n">
        <v>3508</v>
      </c>
      <c r="E41" s="29" t="n">
        <v>4418</v>
      </c>
      <c r="F41" s="29" t="n">
        <v>4576</v>
      </c>
    </row>
    <row r="42">
      <c r="A42" s="17" t="inlineStr">
        <is>
          <t>Inventory</t>
        </is>
      </c>
      <c r="B42" s="18" t="n">
        <v>5757</v>
      </c>
      <c r="C42" s="18" t="n">
        <v>12839</v>
      </c>
      <c r="D42" s="18" t="n">
        <v>13626</v>
      </c>
      <c r="E42" s="18" t="n">
        <v>12017</v>
      </c>
      <c r="F42" s="18" t="n">
        <v>12392</v>
      </c>
    </row>
    <row r="43">
      <c r="A43" s="17" t="inlineStr">
        <is>
          <t>Prepaids</t>
        </is>
      </c>
      <c r="B43" s="18" t="n">
        <v>1723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2941</v>
      </c>
      <c r="D44" s="18" t="n">
        <v>3388</v>
      </c>
      <c r="E44" s="18" t="n">
        <v>5362</v>
      </c>
      <c r="F44" s="18" t="n">
        <v>7615</v>
      </c>
    </row>
    <row r="45">
      <c r="A45" s="26" t="inlineStr">
        <is>
          <t>Total Current Assets</t>
        </is>
      </c>
      <c r="B45" s="27" t="n">
        <v>27100</v>
      </c>
      <c r="C45" s="27" t="n">
        <v>40917</v>
      </c>
      <c r="D45" s="27" t="n">
        <v>49616</v>
      </c>
      <c r="E45" s="27" t="n">
        <v>58360</v>
      </c>
      <c r="F45" s="27" t="n">
        <v>68642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31176</v>
      </c>
      <c r="C47" s="18" t="n">
        <v>36635</v>
      </c>
      <c r="D47" s="18" t="n">
        <v>45123</v>
      </c>
      <c r="E47" s="18" t="n">
        <v>51507</v>
      </c>
      <c r="F47" s="18" t="n">
        <v>40643</v>
      </c>
    </row>
    <row r="48">
      <c r="A48" s="17" t="inlineStr">
        <is>
          <t>Goodwill</t>
        </is>
      </c>
      <c r="B48" s="18" t="n">
        <v>200</v>
      </c>
      <c r="C48" s="18" t="n">
        <v>194</v>
      </c>
      <c r="D48" s="18" t="n">
        <v>253</v>
      </c>
      <c r="E48" s="18" t="n">
        <v>244</v>
      </c>
      <c r="F48" s="18" t="n">
        <v>257</v>
      </c>
    </row>
    <row r="49">
      <c r="A49" s="17" t="inlineStr">
        <is>
          <t>Intangible Assets</t>
        </is>
      </c>
      <c r="B49" s="18" t="n">
        <v>1517</v>
      </c>
      <c r="C49" s="18" t="n">
        <v>399</v>
      </c>
      <c r="D49" s="18" t="n">
        <v>362</v>
      </c>
      <c r="E49" s="18" t="n">
        <v>1226</v>
      </c>
      <c r="F49" s="18" t="n">
        <v>135</v>
      </c>
    </row>
    <row r="50">
      <c r="A50" s="17" t="inlineStr">
        <is>
          <t>Long-Term Investments</t>
        </is>
      </c>
      <c r="B50" s="18" t="n">
        <v>522</v>
      </c>
      <c r="C50" s="18" t="n">
        <v>657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328</v>
      </c>
      <c r="D51" s="18" t="n">
        <v>6733</v>
      </c>
      <c r="E51" s="18" t="n">
        <v>6524</v>
      </c>
      <c r="F51" s="18" t="n">
        <v>6925</v>
      </c>
    </row>
    <row r="52">
      <c r="A52" s="17" t="inlineStr">
        <is>
          <t>Total Investments</t>
        </is>
      </c>
      <c r="B52" s="18" t="n">
        <v>653</v>
      </c>
      <c r="C52" s="18" t="n">
        <v>6589</v>
      </c>
      <c r="D52" s="18" t="n">
        <v>12696</v>
      </c>
      <c r="E52" s="18" t="n">
        <v>20424</v>
      </c>
      <c r="F52" s="18" t="n">
        <v>27546</v>
      </c>
    </row>
    <row r="53">
      <c r="A53" s="17" t="inlineStr">
        <is>
          <t>Other Non-Current Assets</t>
        </is>
      </c>
      <c r="B53" s="18" t="n">
        <v>1612</v>
      </c>
      <c r="C53" s="18" t="n">
        <v>3208</v>
      </c>
      <c r="D53" s="18" t="n">
        <v>4532</v>
      </c>
      <c r="E53" s="18" t="n">
        <v>4215</v>
      </c>
      <c r="F53" s="18" t="n">
        <v>21204</v>
      </c>
    </row>
    <row r="54">
      <c r="A54" s="26" t="inlineStr">
        <is>
          <t>Total Non-Current Assets</t>
        </is>
      </c>
      <c r="B54" s="27" t="n">
        <v>35027</v>
      </c>
      <c r="C54" s="27" t="n">
        <v>41421</v>
      </c>
      <c r="D54" s="27" t="n">
        <v>57003</v>
      </c>
      <c r="E54" s="27" t="n">
        <v>63716</v>
      </c>
      <c r="F54" s="27" t="n">
        <v>69164</v>
      </c>
    </row>
    <row r="55">
      <c r="A55" s="13" t="inlineStr">
        <is>
          <t>TOTAL ASSETS</t>
        </is>
      </c>
      <c r="B55" s="30" t="n">
        <v>62131</v>
      </c>
      <c r="C55" s="30" t="n">
        <v>82338</v>
      </c>
      <c r="D55" s="30" t="n">
        <v>106618</v>
      </c>
      <c r="E55" s="30" t="n">
        <v>122070</v>
      </c>
      <c r="F55" s="30" t="n">
        <v>137806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10025</v>
      </c>
      <c r="C57" s="18" t="n">
        <v>15255</v>
      </c>
      <c r="D57" s="18" t="n">
        <v>14431</v>
      </c>
      <c r="E57" s="18" t="n">
        <v>12474</v>
      </c>
      <c r="F57" s="18" t="n">
        <v>13371</v>
      </c>
    </row>
    <row r="58">
      <c r="A58" s="17" t="inlineStr">
        <is>
          <t>Short-Term Debt</t>
        </is>
      </c>
      <c r="B58" s="18" t="n">
        <v>1088</v>
      </c>
      <c r="C58" s="18" t="n">
        <v>1016</v>
      </c>
      <c r="D58" s="18" t="n">
        <v>1975</v>
      </c>
      <c r="E58" s="18" t="n">
        <v>2343</v>
      </c>
      <c r="F58" s="18" t="n">
        <v>1640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2372</v>
      </c>
      <c r="C60" s="18" t="n">
        <v>2810</v>
      </c>
      <c r="D60" s="18" t="n">
        <v>3740</v>
      </c>
      <c r="E60" s="18" t="n">
        <v>4161</v>
      </c>
      <c r="F60" s="18" t="n">
        <v>3424</v>
      </c>
    </row>
    <row r="61">
      <c r="A61" s="17" t="inlineStr">
        <is>
          <t>Accrued &amp; Other Current Liabilities</t>
        </is>
      </c>
      <c r="B61" s="18" t="n">
        <v>1278</v>
      </c>
      <c r="C61" s="18" t="n">
        <v>1649</v>
      </c>
      <c r="D61" s="18" t="n">
        <v>2282</v>
      </c>
      <c r="E61" s="18" t="n">
        <v>3771</v>
      </c>
      <c r="F61" s="18" t="n">
        <v>9494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19705</v>
      </c>
      <c r="C63" s="27" t="n">
        <v>26709</v>
      </c>
      <c r="D63" s="27" t="n">
        <v>28748</v>
      </c>
      <c r="E63" s="27" t="n">
        <v>28821</v>
      </c>
      <c r="F63" s="27" t="n">
        <v>31714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4254</v>
      </c>
      <c r="C65" s="18" t="n">
        <v>1029</v>
      </c>
      <c r="D65" s="18" t="n">
        <v>2682</v>
      </c>
      <c r="E65" s="18" t="n">
        <v>5535</v>
      </c>
      <c r="F65" s="18" t="n">
        <v>6736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2052</v>
      </c>
      <c r="C67" s="18" t="n">
        <v>2804</v>
      </c>
      <c r="D67" s="18" t="n">
        <v>3251</v>
      </c>
      <c r="E67" s="18" t="n">
        <v>3317</v>
      </c>
      <c r="F67" s="18" t="n">
        <v>3631</v>
      </c>
    </row>
    <row r="68">
      <c r="A68" s="17" t="inlineStr">
        <is>
          <t>Deferred Tax Liabilities</t>
        </is>
      </c>
      <c r="B68" s="18" t="n">
        <v>24</v>
      </c>
      <c r="C68" s="18" t="n">
        <v>82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1851</v>
      </c>
      <c r="C69" s="18" t="n">
        <v>3084</v>
      </c>
      <c r="D69" s="18" t="n">
        <v>4482</v>
      </c>
      <c r="E69" s="18" t="n">
        <v>5892</v>
      </c>
      <c r="F69" s="18" t="n">
        <v>12860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30548</v>
      </c>
      <c r="C71" s="30" t="n">
        <v>36440</v>
      </c>
      <c r="D71" s="30" t="n">
        <v>43009</v>
      </c>
      <c r="E71" s="30" t="n">
        <v>48390</v>
      </c>
      <c r="F71" s="30" t="n">
        <v>54941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3</v>
      </c>
    </row>
    <row r="74">
      <c r="A74" s="17" t="inlineStr">
        <is>
          <t>Retained Earnings</t>
        </is>
      </c>
      <c r="B74" s="18" t="n">
        <v>329</v>
      </c>
      <c r="C74" s="18" t="n">
        <v>12885</v>
      </c>
      <c r="D74" s="18" t="n">
        <v>27882</v>
      </c>
      <c r="E74" s="18" t="n">
        <v>35209</v>
      </c>
      <c r="F74" s="18" t="n">
        <v>39003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1394</v>
      </c>
      <c r="C77" s="18" t="n">
        <v>1194</v>
      </c>
      <c r="D77" s="18" t="n">
        <v>975</v>
      </c>
      <c r="E77" s="18" t="n">
        <v>767</v>
      </c>
      <c r="F77" s="18" t="n">
        <v>728</v>
      </c>
    </row>
    <row r="78">
      <c r="A78" s="26" t="inlineStr">
        <is>
          <t>Total Equity (inc. Minority)</t>
        </is>
      </c>
      <c r="B78" s="27" t="n">
        <v>31583</v>
      </c>
      <c r="C78" s="27" t="n">
        <v>45898</v>
      </c>
      <c r="D78" s="27" t="n">
        <v>63609</v>
      </c>
      <c r="E78" s="27" t="n">
        <v>73680</v>
      </c>
      <c r="F78" s="27" t="n">
        <v>82865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11497</v>
      </c>
      <c r="C5" s="24" t="n">
        <v>14724</v>
      </c>
      <c r="D5" s="24" t="n">
        <v>13256</v>
      </c>
      <c r="E5" s="24" t="n">
        <v>14923</v>
      </c>
      <c r="F5" s="24" t="n">
        <v>14747</v>
      </c>
    </row>
    <row r="6">
      <c r="A6" s="17" t="inlineStr">
        <is>
          <t>(2)  Capital Expenditures</t>
        </is>
      </c>
      <c r="B6" s="18" t="n">
        <v>-8014</v>
      </c>
      <c r="C6" s="18" t="n">
        <v>-7172</v>
      </c>
      <c r="D6" s="18" t="n">
        <v>-8899</v>
      </c>
      <c r="E6" s="18" t="n">
        <v>-11342</v>
      </c>
      <c r="F6" s="18" t="n">
        <v>-8527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-5732</v>
      </c>
      <c r="C9" s="18" t="n">
        <v>-3866</v>
      </c>
      <c r="D9" s="18" t="n">
        <v>2116</v>
      </c>
      <c r="E9" s="18" t="n">
        <v>2863</v>
      </c>
      <c r="F9" s="18" t="n">
        <v>-3158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707</v>
      </c>
      <c r="C11" s="18" t="n">
        <v>541</v>
      </c>
      <c r="D11" s="18" t="n">
        <v>700</v>
      </c>
      <c r="E11" s="18" t="n">
        <v>1241</v>
      </c>
      <c r="F11" s="18" t="n">
        <v>222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3483</v>
      </c>
      <c r="C15" s="24" t="n">
        <v>7552</v>
      </c>
      <c r="D15" s="24" t="n">
        <v>4357</v>
      </c>
      <c r="E15" s="24" t="n">
        <v>3581</v>
      </c>
      <c r="F15" s="24" t="n">
        <v>6220</v>
      </c>
    </row>
    <row r="16">
      <c r="A16" s="15" t="inlineStr">
        <is>
          <t xml:space="preserve">     Net Change in Cash</t>
        </is>
      </c>
      <c r="B16" s="16" t="n">
        <v>-1757</v>
      </c>
      <c r="C16" s="16" t="n">
        <v>-1220</v>
      </c>
      <c r="D16" s="16" t="n">
        <v>265</v>
      </c>
      <c r="E16" s="16" t="n">
        <v>-152</v>
      </c>
      <c r="F16" s="16" t="n">
        <v>579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5519</v>
      </c>
      <c r="C21" s="18" t="n">
        <v>12583</v>
      </c>
      <c r="D21" s="18" t="n">
        <v>14999</v>
      </c>
      <c r="E21" s="18" t="n">
        <v>7130</v>
      </c>
      <c r="F21" s="18" t="n">
        <v>3855</v>
      </c>
    </row>
    <row r="22">
      <c r="A22" s="17" t="inlineStr">
        <is>
          <t>Depreciation &amp; Amortisation</t>
        </is>
      </c>
      <c r="B22" s="18" t="n">
        <v>2911</v>
      </c>
      <c r="C22" s="18" t="n">
        <v>3543</v>
      </c>
      <c r="D22" s="18" t="n">
        <v>4667</v>
      </c>
      <c r="E22" s="18" t="n">
        <v>5368</v>
      </c>
      <c r="F22" s="18" t="n">
        <v>6148</v>
      </c>
    </row>
    <row r="23">
      <c r="A23" s="17" t="inlineStr">
        <is>
          <t>Deferred Income Tax</t>
        </is>
      </c>
      <c r="B23" s="18" t="n">
        <v>-149</v>
      </c>
      <c r="C23" s="18" t="n">
        <v>0</v>
      </c>
      <c r="D23" s="18" t="n">
        <v>-6349</v>
      </c>
      <c r="E23" s="18" t="n">
        <v>477</v>
      </c>
      <c r="F23" s="18" t="n">
        <v>123</v>
      </c>
    </row>
    <row r="24">
      <c r="A24" s="17" t="inlineStr">
        <is>
          <t>Stock-Based Compensation</t>
        </is>
      </c>
      <c r="B24" s="18" t="n">
        <v>2121</v>
      </c>
      <c r="C24" s="18" t="n">
        <v>1560</v>
      </c>
      <c r="D24" s="18" t="n">
        <v>1812</v>
      </c>
      <c r="E24" s="18" t="n">
        <v>1999</v>
      </c>
      <c r="F24" s="18" t="n">
        <v>2825</v>
      </c>
    </row>
    <row r="25">
      <c r="A25" s="17" t="inlineStr">
        <is>
          <t>Change in Working Capital</t>
        </is>
      </c>
      <c r="B25" s="18" t="n">
        <v>667</v>
      </c>
      <c r="C25" s="18" t="n">
        <v>-3712</v>
      </c>
      <c r="D25" s="18" t="n">
        <v>-2248</v>
      </c>
      <c r="E25" s="18" t="n">
        <v>81</v>
      </c>
      <c r="F25" s="18" t="n">
        <v>642</v>
      </c>
    </row>
    <row r="26">
      <c r="A26" s="21" t="inlineStr">
        <is>
          <t xml:space="preserve">  — Accounts Receivable</t>
        </is>
      </c>
      <c r="B26" s="18" t="n">
        <v>-130</v>
      </c>
      <c r="C26" s="18" t="n">
        <v>-1124</v>
      </c>
      <c r="D26" s="18" t="n">
        <v>-586</v>
      </c>
      <c r="E26" s="18" t="n">
        <v>-1083</v>
      </c>
      <c r="F26" s="18" t="n">
        <v>-261</v>
      </c>
    </row>
    <row r="27">
      <c r="A27" s="21" t="inlineStr">
        <is>
          <t xml:space="preserve">  — Inventory</t>
        </is>
      </c>
      <c r="B27" s="18" t="n">
        <v>-1709</v>
      </c>
      <c r="C27" s="18" t="n">
        <v>-6465</v>
      </c>
      <c r="D27" s="18" t="n">
        <v>-1195</v>
      </c>
      <c r="E27" s="18" t="n">
        <v>937</v>
      </c>
      <c r="F27" s="18" t="n">
        <v>-630</v>
      </c>
    </row>
    <row r="28">
      <c r="A28" s="21" t="inlineStr">
        <is>
          <t xml:space="preserve">  — Accounts Payable</t>
        </is>
      </c>
      <c r="B28" s="18" t="n">
        <v>4578</v>
      </c>
      <c r="C28" s="18" t="n">
        <v>6029</v>
      </c>
      <c r="D28" s="18" t="n">
        <v>2605</v>
      </c>
      <c r="E28" s="18" t="n">
        <v>3588</v>
      </c>
      <c r="F28" s="18" t="n">
        <v>4376</v>
      </c>
    </row>
    <row r="29">
      <c r="A29" s="21" t="inlineStr">
        <is>
          <t xml:space="preserve">  — Other Working Capital</t>
        </is>
      </c>
      <c r="B29" s="18" t="n">
        <v>-2072</v>
      </c>
      <c r="C29" s="18" t="n">
        <v>-2152</v>
      </c>
      <c r="D29" s="18" t="n">
        <v>-3072</v>
      </c>
      <c r="E29" s="18" t="n">
        <v>-3361</v>
      </c>
      <c r="F29" s="18" t="n">
        <v>-2843</v>
      </c>
    </row>
    <row r="30">
      <c r="A30" s="17" t="inlineStr">
        <is>
          <t>Other Non-Cash Items</t>
        </is>
      </c>
      <c r="B30" s="18" t="n">
        <v>428</v>
      </c>
      <c r="C30" s="18" t="n">
        <v>777</v>
      </c>
      <c r="D30" s="18" t="n">
        <v>400</v>
      </c>
      <c r="E30" s="18" t="n">
        <v>-155</v>
      </c>
      <c r="F30" s="18" t="n">
        <v>1154</v>
      </c>
    </row>
    <row r="31">
      <c r="A31" s="26" t="inlineStr">
        <is>
          <t>Net Cash from Operations (CFO)</t>
        </is>
      </c>
      <c r="B31" s="27" t="n">
        <v>11497</v>
      </c>
      <c r="C31" s="27" t="n">
        <v>14724</v>
      </c>
      <c r="D31" s="27" t="n">
        <v>13256</v>
      </c>
      <c r="E31" s="27" t="n">
        <v>14923</v>
      </c>
      <c r="F31" s="27" t="n">
        <v>14747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-8014</v>
      </c>
      <c r="C33" s="18" t="n">
        <v>-7172</v>
      </c>
      <c r="D33" s="18" t="n">
        <v>-8899</v>
      </c>
      <c r="E33" s="18" t="n">
        <v>-11342</v>
      </c>
      <c r="F33" s="18" t="n">
        <v>-8527</v>
      </c>
    </row>
    <row r="34">
      <c r="A34" s="21" t="inlineStr">
        <is>
          <t xml:space="preserve">  (Alt: Invest. in PP&amp;E)</t>
        </is>
      </c>
      <c r="B34" s="18" t="n">
        <v>-6514</v>
      </c>
      <c r="C34" s="18" t="n">
        <v>-7163</v>
      </c>
      <c r="D34" s="18" t="n">
        <v>-8899</v>
      </c>
      <c r="E34" s="18" t="n">
        <v>-11342</v>
      </c>
      <c r="F34" s="18" t="n">
        <v>-8527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-64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-132</v>
      </c>
      <c r="C36" s="18" t="n">
        <v>-5835</v>
      </c>
      <c r="D36" s="18" t="n">
        <v>-19112</v>
      </c>
      <c r="E36" s="18" t="n">
        <v>-35955</v>
      </c>
      <c r="F36" s="18" t="n">
        <v>-37109</v>
      </c>
    </row>
    <row r="37">
      <c r="A37" s="17" t="inlineStr">
        <is>
          <t>Sales / Maturities of Investments</t>
        </is>
      </c>
      <c r="B37" s="18" t="n">
        <v>0</v>
      </c>
      <c r="C37" s="18" t="n">
        <v>22</v>
      </c>
      <c r="D37" s="18" t="n">
        <v>12491</v>
      </c>
      <c r="E37" s="18" t="n">
        <v>28510</v>
      </c>
      <c r="F37" s="18" t="n">
        <v>30158</v>
      </c>
    </row>
    <row r="38">
      <c r="A38" s="17" t="inlineStr">
        <is>
          <t>Other Investing Activities</t>
        </is>
      </c>
      <c r="B38" s="18" t="n">
        <v>-1222</v>
      </c>
      <c r="C38" s="18" t="n">
        <v>1003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-5732</v>
      </c>
      <c r="C41" s="18" t="n">
        <v>-3866</v>
      </c>
      <c r="D41" s="18" t="n">
        <v>2116</v>
      </c>
      <c r="E41" s="18" t="n">
        <v>2863</v>
      </c>
      <c r="F41" s="18" t="n">
        <v>-3158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707</v>
      </c>
      <c r="C43" s="18" t="n">
        <v>541</v>
      </c>
      <c r="D43" s="18" t="n">
        <v>700</v>
      </c>
      <c r="E43" s="18" t="n">
        <v>1241</v>
      </c>
      <c r="F43" s="18" t="n">
        <v>222</v>
      </c>
    </row>
    <row r="44">
      <c r="A44" s="17" t="inlineStr">
        <is>
          <t>Common Stock Repurchased (Buybacks)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-178</v>
      </c>
      <c r="C46" s="18" t="n">
        <v>-202</v>
      </c>
      <c r="D46" s="18" t="n">
        <v>-227</v>
      </c>
      <c r="E46" s="18" t="n">
        <v>-251</v>
      </c>
      <c r="F46" s="18" t="n">
        <v>4075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-183</v>
      </c>
      <c r="C49" s="18" t="n">
        <v>-444</v>
      </c>
      <c r="D49" s="18" t="n">
        <v>4</v>
      </c>
      <c r="E49" s="18" t="n">
        <v>-141</v>
      </c>
      <c r="F49" s="18" t="n">
        <v>171</v>
      </c>
    </row>
    <row r="50">
      <c r="A50" s="15" t="inlineStr">
        <is>
          <t>Net Change in Cash</t>
        </is>
      </c>
      <c r="B50" s="16" t="n">
        <v>-1757</v>
      </c>
      <c r="C50" s="16" t="n">
        <v>-1220</v>
      </c>
      <c r="D50" s="16" t="n">
        <v>265</v>
      </c>
      <c r="E50" s="16" t="n">
        <v>-152</v>
      </c>
      <c r="F50" s="16" t="n">
        <v>579</v>
      </c>
    </row>
    <row r="51">
      <c r="A51" s="17" t="inlineStr">
        <is>
          <t>Cash at Beginning of Period</t>
        </is>
      </c>
      <c r="B51" s="18" t="n">
        <v>19901</v>
      </c>
      <c r="C51" s="18" t="n">
        <v>18144</v>
      </c>
      <c r="D51" s="18" t="n">
        <v>16924</v>
      </c>
      <c r="E51" s="18" t="n">
        <v>17189</v>
      </c>
      <c r="F51" s="18" t="n">
        <v>17037</v>
      </c>
    </row>
    <row r="52">
      <c r="A52" s="26" t="inlineStr">
        <is>
          <t>Cash at End of Period</t>
        </is>
      </c>
      <c r="B52" s="27" t="n">
        <v>18144</v>
      </c>
      <c r="C52" s="27" t="n">
        <v>16924</v>
      </c>
      <c r="D52" s="27" t="n">
        <v>17189</v>
      </c>
      <c r="E52" s="27" t="n">
        <v>17037</v>
      </c>
      <c r="F52" s="27" t="n">
        <v>17616</v>
      </c>
    </row>
    <row r="53">
      <c r="A53" s="26" t="inlineStr">
        <is>
          <t>Free Cash Flow</t>
        </is>
      </c>
      <c r="B53" s="27" t="n">
        <v>3483</v>
      </c>
      <c r="C53" s="27" t="n">
        <v>7552</v>
      </c>
      <c r="D53" s="27" t="n">
        <v>4357</v>
      </c>
      <c r="E53" s="27" t="n">
        <v>3581</v>
      </c>
      <c r="F53" s="27" t="n">
        <v>6220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3386</v>
      </c>
      <c r="C61" s="18" t="n">
        <v>3475</v>
      </c>
      <c r="D61" s="18" t="n">
        <v>3482.75</v>
      </c>
      <c r="E61" s="18" t="n">
        <v>3498</v>
      </c>
      <c r="F61" s="18" t="n">
        <v>3528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69526</v>
      </c>
      <c r="C5" s="18" t="n">
        <v>77070</v>
      </c>
      <c r="D5" s="18" t="n">
        <v>82419</v>
      </c>
      <c r="E5" s="18" t="n">
        <v>71462</v>
      </c>
      <c r="F5" s="18" t="n">
        <v>47232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TSLA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1599974.2772</v>
      </c>
      <c r="C5" s="44" t="inlineStr">
        <is>
          <t>FMP marketCap  |  price $426.01</t>
        </is>
      </c>
    </row>
    <row r="6">
      <c r="A6" s="17" t="inlineStr">
        <is>
          <t>Debt  (gross book value, $mm)</t>
        </is>
      </c>
      <c r="B6" s="43" t="n">
        <v>8376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2026-06-18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1.793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1.531</v>
      </c>
      <c r="C17" s="44" t="inlineStr">
        <is>
          <t>Mean-reversion toward market beta of 1.0</t>
        </is>
      </c>
    </row>
    <row r="18">
      <c r="A18" s="17" t="inlineStr">
        <is>
          <t>Damodaran industry unlevered  (Auto - Manufacturers)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27.0%)</t>
        </is>
      </c>
      <c r="B19" s="50" t="n">
        <v>1.004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1.443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BBB-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0.0535</v>
      </c>
      <c r="C32" s="44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0" t="n">
        <v>12.9</v>
      </c>
      <c r="C33" s="44" t="inlineStr">
        <is>
          <t>EBIT $4355mm  /  Int Exp $338mm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12.9x  →  AAA</t>
        </is>
      </c>
    </row>
    <row r="35">
      <c r="A35" s="17" t="inlineStr">
        <is>
          <t>Synthetic Rd  (Rf + Damodaran default spread)</t>
        </is>
      </c>
      <c r="B35" s="46" t="n">
        <v>0.05</v>
      </c>
      <c r="C35" s="44" t="inlineStr">
        <is>
          <t>Rf 4.46% + spread 0.54%</t>
        </is>
      </c>
    </row>
    <row r="36">
      <c r="A36" s="17" t="inlineStr">
        <is>
          <t>Accounting Rd  (Gross int exp / Avg gross debt)</t>
        </is>
      </c>
      <c r="B36" s="46" t="n">
        <v>0.04158976251999508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$1342mm  (int inc $1680mm &gt; int exp $338mm)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0.0484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0.2696</v>
      </c>
      <c r="C41" s="44" t="inlineStr">
        <is>
          <t>FMP: $1423mm  /  $5278mm</t>
        </is>
      </c>
    </row>
    <row r="42">
      <c r="A42" s="47" t="inlineStr">
        <is>
          <t>► Selected tax rate  (user override)</t>
        </is>
      </c>
      <c r="B42" s="48" t="n">
        <v>0.2696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TSLA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0.08</v>
      </c>
      <c r="H7" s="71" t="n">
        <v>0.1488</v>
      </c>
      <c r="I7" s="71" t="n">
        <v>0.1803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0.1646</v>
      </c>
      <c r="H8" s="71" t="n">
        <v>0.1646</v>
      </c>
      <c r="I8" s="71" t="n">
        <v>0.1646</v>
      </c>
      <c r="J8" s="72">
        <f>I8</f>
        <v/>
      </c>
      <c r="K8" s="72">
        <f>I8</f>
        <v/>
      </c>
      <c r="L8" s="73" t="n">
        <v>0.1241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102413</v>
      </c>
      <c r="H15" s="77" t="n">
        <v>117657</v>
      </c>
      <c r="I15" s="77" t="n">
        <v>138867.5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93,652 — 113,018</t>
        </is>
      </c>
      <c r="H16" s="82" t="inlineStr">
        <is>
          <t>103,850 — 130,707</t>
        </is>
      </c>
      <c r="I16" s="82" t="inlineStr">
        <is>
          <t>138,853 — 138,882</t>
        </is>
      </c>
      <c r="J16" s="82" t="inlineStr">
        <is>
          <t>197,780 — 266,447</t>
        </is>
      </c>
      <c r="K16" s="82" t="inlineStr">
        <is>
          <t>210,055 — 282,984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35</v>
      </c>
      <c r="H17" s="84" t="n">
        <v>35</v>
      </c>
      <c r="I17" s="84" t="n">
        <v>30</v>
      </c>
      <c r="J17" s="84" t="n">
        <v>15</v>
      </c>
      <c r="K17" s="84" t="n">
        <v>21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16859</v>
      </c>
      <c r="H20" s="77" t="n">
        <v>19368.4</v>
      </c>
      <c r="I20" s="77" t="n">
        <v>22860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15,417 — 18,605</t>
        </is>
      </c>
      <c r="H21" s="82" t="inlineStr">
        <is>
          <t>17,095 — 21,517</t>
        </is>
      </c>
      <c r="I21" s="82" t="inlineStr">
        <is>
          <t>22,858 — 22,862</t>
        </is>
      </c>
      <c r="J21" s="82" t="inlineStr">
        <is>
          <t>32,558 — 43,862</t>
        </is>
      </c>
      <c r="K21" s="82" t="inlineStr">
        <is>
          <t>34,579 — 46,584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28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20x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728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3528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426.01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TSLA  |  Master Prompt v2  |  23 Jun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18.0% ✗ (&gt;40%)  |  GM trend -7.6% ✗ (&gt;+1pp)  |  ROIC-WACC -7.9% ✗ (&gt;+5pp)  |  Rev consistency σ=21.4% ✗ (&lt;8%)  [0/4 indicators positive — proxy score]</t>
        </is>
      </c>
      <c r="E9" s="130" t="inlineStr">
        <is>
          <t>LOW</t>
        </is>
      </c>
      <c r="F9" s="131" t="n">
        <v>0</v>
      </c>
      <c r="G9" s="132">
        <f>IF(F9="",0,C9*F9*10)</f>
        <v/>
      </c>
      <c r="H9" s="133" t="inlineStr">
        <is>
          <t>GM 18.0% ✗ (&gt;40%)  |  GM trend -7.6% ✗ (&gt;+1pp)  |  ROIC-WACC -7.9% ✗ (&gt;+5pp)  |  Rev consistency σ=21.4% ✗ (&lt;8%)  [0/4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  <c r="E11" s="130" t="inlineStr">
        <is>
          <t>LOW</t>
        </is>
      </c>
      <c r="F11" s="131" t="n">
        <v>1.67</v>
      </c>
      <c r="G11" s="132">
        <f>IF(F11="",0,C11*F11*10)</f>
        <v/>
      </c>
      <c r="H11" s="133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5.2%</t>
        </is>
      </c>
      <c r="E13" s="130" t="inlineStr">
        <is>
          <t>LOW</t>
        </is>
      </c>
      <c r="F13" s="131" t="n">
        <v>2.6</v>
      </c>
      <c r="G13" s="132">
        <f>IF(F13="",0,C13*F13*10)</f>
        <v/>
      </c>
      <c r="H13" s="133" t="inlineStr">
        <is>
          <t>5.2%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133%  [through-cycle: 70/30 latest+5yr median, latest 163.9% → smoothed 132.8%]</t>
        </is>
      </c>
      <c r="E14" s="134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133%  [through-cycle: 70/30 latest+5yr median, latest 163.9% → smoothed 132.8%]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No capital returns in latest year</t>
        </is>
      </c>
      <c r="E15" s="130" t="inlineStr">
        <is>
          <t>LOW</t>
        </is>
      </c>
      <c r="F15" s="131" t="n">
        <v>0</v>
      </c>
      <c r="G15" s="132">
        <f>IF(F15="",0,C15*F15*10)</f>
        <v/>
      </c>
      <c r="H15" s="133" t="inlineStr">
        <is>
          <t>No capital returns in latest year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5.6%  [trend penalty: declined &gt;5pp vs 3yr ago]  [through-cycle: 70/30 latest+5yr median, latest 4.3% → smoothed 5.6%]</t>
        </is>
      </c>
      <c r="E16" s="130" t="inlineStr">
        <is>
          <t>LOW</t>
        </is>
      </c>
      <c r="F16" s="131" t="n">
        <v>0</v>
      </c>
      <c r="G16" s="132">
        <f>IF(F16="",0,C16*F16*10)</f>
        <v/>
      </c>
      <c r="H16" s="133" t="inlineStr">
        <is>
          <t>5.6%  [trend penalty: declined &gt;5pp vs 3yr ago]  [through-cycle: 70/30 latest+5yr median, latest 4.3% → smoothed 5.6%]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Net cash $8,137mm — no net leverage  [through-cycle: 70/30 latest+5yr median, latest 0.7x → smoothed 0.7x]</t>
        </is>
      </c>
      <c r="E18" s="134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Net cash $8,137mm — no net leverage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12.9x</t>
        </is>
      </c>
      <c r="E19" s="134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12.9x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σ=21.4%  |  OM trend -7.5%, σ=4.2%  [quality = direction + stability]</t>
        </is>
      </c>
      <c r="E20" s="130" t="inlineStr">
        <is>
          <t>LOW</t>
        </is>
      </c>
      <c r="F20" s="131" t="n">
        <v>0</v>
      </c>
      <c r="G20" s="132">
        <f>IF(F20="",0,C20*F20*10)</f>
        <v/>
      </c>
      <c r="H20" s="133" t="inlineStr">
        <is>
          <t>Rev growth σ=21.4%  |  OM trend -7.5%, σ=4.2%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223.8x (scoring basis)  |  5yr avg 212.8x  [+348% vs benchmark]  [trail=0.00 | fwd_pe=223.8x→0.00 | abs=0.0 → blended 40/40/20=0.00]  PEG=362.05 (fwd_pe=223.8x / eps_growth=62%)  [revision:Strong upgrade cycle→+0.50]</t>
        </is>
      </c>
      <c r="E22" s="130" t="inlineStr">
        <is>
          <t>LOW</t>
        </is>
      </c>
      <c r="F22" s="131" t="n">
        <v>0.5</v>
      </c>
      <c r="G22" s="132">
        <f>IF(F22="",0,C22*F22*10)</f>
        <v/>
      </c>
      <c r="H22" s="133" t="inlineStr">
        <is>
          <t>Fwd P/E 223.8x (scoring basis)  |  5yr avg 212.8x  [+348% vs benchmark]  [trail=0.00 | fwd_pe=223.8x→0.00 | abs=0.0 → blended 40/40/20=0.00]  PEG=362.05 (fwd_pe=223.8x / eps_growth=62%)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233.2x  |  5yr avg 227.9x  [+366% vs benchmark]  [trail=0.00 | fwd_pfcf=203.8x→0.00 | abs=0.0 → blended 40/40/20=0.00]  [fcf_yield=0.4% vs rf=4.5%  spread=-4.0%→modifier=-0.50]</t>
        </is>
      </c>
      <c r="E23" s="130" t="inlineStr">
        <is>
          <t>LOW</t>
        </is>
      </c>
      <c r="F23" s="131" t="n">
        <v>0</v>
      </c>
      <c r="G23" s="132">
        <f>IF(F23="",0,C23*F23*10)</f>
        <v/>
      </c>
      <c r="H23" s="133" t="inlineStr">
        <is>
          <t>Current 233.2x  |  5yr avg 227.9x  [+366% vs benchmark]  [trail=0.00 | fwd_pfcf=203.8x→0.00 | abs=0.0 → blended 40/40/20=0.00]  [fcf_yield=0.4% vs rf=4.5%  spread=-4.0%→modifier=-0.50]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2026-06-23T12:35:18Z</dcterms:created>
  <dcterms:modified xmlns:dcterms="http://purl.org/dc/terms/" xmlns:xsi="http://www.w3.org/2001/XMLSchema-instance" xsi:type="dcterms:W3CDTF">2026-06-23T12:35:39Z</dcterms:modified>
</cp:coreProperties>
</file>