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&amp;L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Ratios &amp; FCF" sheetId="5" state="visible" r:id="rId5"/>
    <sheet xmlns:r="http://schemas.openxmlformats.org/officeDocument/2006/relationships" name="Segments" sheetId="6" state="visible" r:id="rId6"/>
    <sheet xmlns:r="http://schemas.openxmlformats.org/officeDocument/2006/relationships" name="WACC" sheetId="7" state="visible" r:id="rId7"/>
    <sheet xmlns:r="http://schemas.openxmlformats.org/officeDocument/2006/relationships" name="DCF" sheetId="8" state="visible" r:id="rId8"/>
    <sheet xmlns:r="http://schemas.openxmlformats.org/officeDocument/2006/relationships" name="Scorec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3">
    <numFmt numFmtId="164" formatCode="#,##0.0;(#,##0.0);&quot;-&quot;"/>
    <numFmt numFmtId="165" formatCode="0.0%;(0.0%);&quot;-&quot;"/>
    <numFmt numFmtId="166" formatCode="#,##0.0"/>
    <numFmt numFmtId="167" formatCode="$#,##0.00"/>
    <numFmt numFmtId="168" formatCode="0.0%"/>
    <numFmt numFmtId="169" formatCode="0.0x;(0.0x);&quot;-&quot;"/>
    <numFmt numFmtId="170" formatCode="#,##0.00;(#,##0.00);&quot;-&quot;"/>
    <numFmt numFmtId="171" formatCode="0.00%;(0.00%);&quot;-&quot;"/>
    <numFmt numFmtId="172" formatCode="0.000;(0.000);&quot;-&quot;"/>
    <numFmt numFmtId="173" formatCode="0.0x"/>
    <numFmt numFmtId="174" formatCode="0.0"/>
    <numFmt numFmtId="175" formatCode="0.000"/>
    <numFmt numFmtId="176" formatCode="0.00;(0.00);&quot;-&quot;"/>
  </numFmts>
  <fonts count="3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888888"/>
      <sz val="9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b val="1"/>
      <color rgb="000000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i val="1"/>
      <color rgb="00666666"/>
      <sz val="9"/>
    </font>
    <font>
      <name val="Arial"/>
      <i val="1"/>
      <color rgb="00AA0000"/>
      <sz val="10"/>
    </font>
    <font>
      <name val="Arial"/>
      <i val="1"/>
      <color rgb="00777777"/>
      <sz val="9"/>
    </font>
    <font>
      <name val="Arial"/>
      <i val="1"/>
      <color rgb="002E7D32"/>
      <sz val="9"/>
    </font>
    <font>
      <name val="Arial"/>
      <b val="1"/>
      <color rgb="00000000"/>
      <sz val="11"/>
    </font>
    <font>
      <name val="Arial"/>
      <i val="1"/>
      <color rgb="00555555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color rgb="00999999"/>
      <sz val="10"/>
    </font>
    <font>
      <name val="Arial"/>
      <i val="1"/>
      <color rgb="00555555"/>
      <sz val="9"/>
    </font>
    <font>
      <name val="Arial"/>
      <i val="1"/>
      <color rgb="00000000"/>
      <sz val="10"/>
    </font>
    <font>
      <name val="Arial"/>
      <i val="1"/>
      <color rgb="00999999"/>
      <sz val="10"/>
    </font>
    <font>
      <name val="Arial"/>
      <b val="1"/>
      <color rgb="00006400"/>
      <sz val="10"/>
    </font>
    <font>
      <name val="Arial"/>
      <color rgb="00006400"/>
      <sz val="10"/>
    </font>
    <font>
      <name val="Arial"/>
      <b val="1"/>
      <color rgb="00FFFFFF"/>
      <sz val="12"/>
    </font>
    <font>
      <name val="Arial"/>
      <color rgb="001B5E20"/>
      <sz val="9"/>
    </font>
    <font>
      <name val="Arial"/>
      <b val="1"/>
      <color rgb="00FFFFFF"/>
      <sz val="9"/>
    </font>
    <font>
      <name val="Arial"/>
      <color rgb="00555555"/>
      <sz val="10"/>
    </font>
    <font>
      <name val="Arial"/>
      <i val="1"/>
      <color rgb="001A3A5C"/>
      <sz val="10"/>
    </font>
    <font>
      <name val="Arial"/>
      <b val="1"/>
      <color rgb="00B71C1C"/>
      <sz val="10"/>
    </font>
    <font>
      <name val="Arial"/>
      <b val="1"/>
      <color rgb="001B5E20"/>
      <sz val="10"/>
    </font>
    <font>
      <name val="Arial"/>
      <color rgb="001B5E20"/>
      <sz val="10"/>
    </font>
    <font>
      <name val="Arial"/>
      <color rgb="00444444"/>
      <sz val="8"/>
    </font>
  </fonts>
  <fills count="19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D6E4F0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EAF2FB"/>
      </patternFill>
    </fill>
    <fill>
      <patternFill patternType="solid">
        <fgColor rgb="0034495E"/>
      </patternFill>
    </fill>
    <fill>
      <patternFill patternType="solid">
        <fgColor rgb="002E4057"/>
      </patternFill>
    </fill>
    <fill>
      <patternFill patternType="solid">
        <fgColor rgb="00F4F8FB"/>
      </patternFill>
    </fill>
    <fill>
      <patternFill patternType="solid">
        <fgColor rgb="00555555"/>
      </patternFill>
    </fill>
    <fill>
      <patternFill patternType="solid">
        <fgColor rgb="008B0000"/>
      </patternFill>
    </fill>
    <fill>
      <patternFill patternType="solid">
        <fgColor rgb="00F1F8E9"/>
      </patternFill>
    </fill>
    <fill>
      <patternFill patternType="solid">
        <fgColor rgb="00EBF5FB"/>
      </patternFill>
    </fill>
    <fill>
      <patternFill patternType="solid">
        <fgColor rgb="00F8FBFD"/>
      </patternFill>
    </fill>
    <fill>
      <patternFill patternType="solid">
        <fgColor rgb="00D4E6F1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0B8C1"/>
      </left>
      <right style="thin">
        <color rgb="00B0B8C1"/>
      </right>
      <top style="thin">
        <color rgb="00B0B8C1"/>
      </top>
      <bottom style="thin">
        <color rgb="00B0B8C1"/>
      </bottom>
    </border>
  </borders>
  <cellStyleXfs count="1">
    <xf numFmtId="0" fontId="0" fillId="0" borderId="0"/>
  </cellStyleXfs>
  <cellXfs count="13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6" fillId="0" borderId="1" applyAlignment="1" pivotButton="0" quotePrefix="0" xfId="0">
      <alignment horizontal="left" indent="1"/>
    </xf>
    <xf numFmtId="0" fontId="7" fillId="0" borderId="1" applyAlignment="1" pivotButton="0" quotePrefix="0" xfId="0">
      <alignment horizontal="right"/>
    </xf>
    <xf numFmtId="0" fontId="4" fillId="4" borderId="0" applyAlignment="1" pivotButton="0" quotePrefix="0" xfId="0">
      <alignment horizontal="left" vertical="center" indent="1"/>
    </xf>
    <xf numFmtId="49" fontId="7" fillId="0" borderId="1" applyAlignment="1" pivotButton="0" quotePrefix="0" xfId="0">
      <alignment horizontal="right"/>
    </xf>
    <xf numFmtId="166" fontId="7" fillId="0" borderId="1" applyAlignment="1" pivotButton="0" quotePrefix="0" xfId="0">
      <alignment horizontal="right"/>
    </xf>
    <xf numFmtId="167" fontId="7" fillId="0" borderId="1" applyAlignment="1" pivotButton="0" quotePrefix="0" xfId="0">
      <alignment horizontal="right"/>
    </xf>
    <xf numFmtId="168" fontId="7" fillId="0" borderId="1" applyAlignment="1" pivotButton="0" quotePrefix="0" xfId="0">
      <alignment horizontal="right"/>
    </xf>
    <xf numFmtId="0" fontId="4" fillId="7" borderId="0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left" indent="1"/>
    </xf>
    <xf numFmtId="0" fontId="8" fillId="0" borderId="0" pivotButton="0" quotePrefix="0" xfId="0"/>
    <xf numFmtId="0" fontId="3" fillId="3" borderId="1" applyAlignment="1" pivotButton="0" quotePrefix="0" xfId="0">
      <alignment horizontal="left" indent="1"/>
    </xf>
    <xf numFmtId="0" fontId="3" fillId="3" borderId="1" applyAlignment="1" pivotButton="0" quotePrefix="0" xfId="0">
      <alignment horizontal="right"/>
    </xf>
    <xf numFmtId="0" fontId="3" fillId="5" borderId="1" applyAlignment="1" pivotButton="0" quotePrefix="0" xfId="0">
      <alignment horizontal="left" indent="1"/>
    </xf>
    <xf numFmtId="164" fontId="5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left" indent="1"/>
    </xf>
    <xf numFmtId="164" fontId="7" fillId="5" borderId="1" applyAlignment="1" pivotButton="0" quotePrefix="0" xfId="0">
      <alignment horizontal="right"/>
    </xf>
    <xf numFmtId="0" fontId="3" fillId="6" borderId="1" applyAlignment="1" pivotButton="0" quotePrefix="0" xfId="0">
      <alignment horizontal="left" indent="1"/>
    </xf>
    <xf numFmtId="164" fontId="3" fillId="6" borderId="1" applyAlignment="1" pivotButton="0" quotePrefix="0" xfId="0">
      <alignment horizontal="right"/>
    </xf>
    <xf numFmtId="0" fontId="6" fillId="5" borderId="1" applyAlignment="1" pivotButton="0" quotePrefix="0" xfId="0">
      <alignment horizontal="left" indent="2"/>
    </xf>
    <xf numFmtId="165" fontId="6" fillId="5" borderId="1" applyAlignment="1" pivotButton="0" quotePrefix="0" xfId="0">
      <alignment horizontal="right"/>
    </xf>
    <xf numFmtId="164" fontId="6" fillId="5" borderId="1" applyAlignment="1" pivotButton="0" quotePrefix="0" xfId="0">
      <alignment horizontal="right"/>
    </xf>
    <xf numFmtId="164" fontId="5" fillId="6" borderId="1" applyAlignment="1" pivotButton="0" quotePrefix="0" xfId="0">
      <alignment horizontal="right"/>
    </xf>
    <xf numFmtId="0" fontId="4" fillId="8" borderId="0" applyAlignment="1" pivotButton="0" quotePrefix="0" xfId="0">
      <alignment horizontal="left" vertical="center" indent="1"/>
    </xf>
    <xf numFmtId="0" fontId="3" fillId="9" borderId="1" applyAlignment="1" pivotButton="0" quotePrefix="0" xfId="0">
      <alignment horizontal="left" indent="1"/>
    </xf>
    <xf numFmtId="164" fontId="5" fillId="9" borderId="1" applyAlignment="1" pivotButton="0" quotePrefix="0" xfId="0">
      <alignment horizontal="right"/>
    </xf>
    <xf numFmtId="0" fontId="6" fillId="9" borderId="1" applyAlignment="1" pivotButton="0" quotePrefix="0" xfId="0">
      <alignment horizontal="left" indent="1"/>
    </xf>
    <xf numFmtId="164" fontId="7" fillId="9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164" fontId="3" fillId="9" borderId="1" applyAlignment="1" pivotButton="0" quotePrefix="0" xfId="0">
      <alignment horizontal="right"/>
    </xf>
    <xf numFmtId="164" fontId="3" fillId="5" borderId="1" applyAlignment="1" pivotButton="0" quotePrefix="0" xfId="0">
      <alignment horizontal="right"/>
    </xf>
    <xf numFmtId="164" fontId="3" fillId="3" borderId="1" applyAlignment="1" pivotButton="0" quotePrefix="0" xfId="0">
      <alignment horizontal="right"/>
    </xf>
    <xf numFmtId="0" fontId="4" fillId="10" borderId="0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left" indent="2"/>
    </xf>
    <xf numFmtId="164" fontId="6" fillId="9" borderId="1" applyAlignment="1" pivotButton="0" quotePrefix="0" xfId="0">
      <alignment horizontal="right"/>
    </xf>
    <xf numFmtId="169" fontId="6" fillId="5" borderId="1" applyAlignment="1" pivotButton="0" quotePrefix="0" xfId="0">
      <alignment horizontal="right"/>
    </xf>
    <xf numFmtId="0" fontId="4" fillId="11" borderId="0" applyAlignment="1" pivotButton="0" quotePrefix="0" xfId="0">
      <alignment horizontal="left" vertical="center" indent="1"/>
    </xf>
    <xf numFmtId="0" fontId="4" fillId="11" borderId="1" applyAlignment="1" pivotButton="0" quotePrefix="0" xfId="0">
      <alignment horizontal="left" indent="1"/>
    </xf>
    <xf numFmtId="164" fontId="4" fillId="11" borderId="1" applyAlignment="1" pivotButton="0" quotePrefix="0" xfId="0">
      <alignment horizontal="center"/>
    </xf>
    <xf numFmtId="0" fontId="9" fillId="0" borderId="0" pivotButton="0" quotePrefix="0" xfId="0"/>
    <xf numFmtId="0" fontId="0" fillId="5" borderId="1" pivotButton="0" quotePrefix="0" xfId="0"/>
    <xf numFmtId="170" fontId="7" fillId="5" borderId="1" applyAlignment="1" pivotButton="0" quotePrefix="0" xfId="0">
      <alignment horizontal="right"/>
    </xf>
    <xf numFmtId="0" fontId="10" fillId="5" borderId="1" applyAlignment="1" pivotButton="0" quotePrefix="0" xfId="0">
      <alignment horizontal="left" indent="1"/>
    </xf>
    <xf numFmtId="0" fontId="10" fillId="6" borderId="1" applyAlignment="1" pivotButton="0" quotePrefix="0" xfId="0">
      <alignment horizontal="left" indent="1"/>
    </xf>
    <xf numFmtId="171" fontId="6" fillId="5" borderId="1" applyAlignment="1" pivotButton="0" quotePrefix="0" xfId="0">
      <alignment horizontal="right"/>
    </xf>
    <xf numFmtId="0" fontId="3" fillId="12" borderId="1" applyAlignment="1" pivotButton="0" quotePrefix="0" xfId="0">
      <alignment horizontal="left" indent="1"/>
    </xf>
    <xf numFmtId="171" fontId="5" fillId="12" borderId="1" applyAlignment="1" pivotButton="0" quotePrefix="0" xfId="0">
      <alignment horizontal="right"/>
    </xf>
    <xf numFmtId="0" fontId="11" fillId="12" borderId="1" applyAlignment="1" pivotButton="0" quotePrefix="0" xfId="0">
      <alignment horizontal="left" indent="1"/>
    </xf>
    <xf numFmtId="170" fontId="6" fillId="5" borderId="1" applyAlignment="1" pivotButton="0" quotePrefix="0" xfId="0">
      <alignment horizontal="right"/>
    </xf>
    <xf numFmtId="172" fontId="5" fillId="12" borderId="1" applyAlignment="1" pivotButton="0" quotePrefix="0" xfId="0">
      <alignment horizontal="right"/>
    </xf>
    <xf numFmtId="171" fontId="3" fillId="6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12" fillId="6" borderId="1" applyAlignment="1" pivotButton="0" quotePrefix="0" xfId="0">
      <alignment horizontal="left" indent="1"/>
    </xf>
    <xf numFmtId="171" fontId="12" fillId="6" borderId="1" applyAlignment="1" pivotButton="0" quotePrefix="0" xfId="0">
      <alignment horizontal="right"/>
    </xf>
    <xf numFmtId="0" fontId="13" fillId="6" borderId="1" applyAlignment="1" pivotButton="0" quotePrefix="0" xfId="0">
      <alignment horizontal="left" indent="1"/>
    </xf>
    <xf numFmtId="0" fontId="14" fillId="3" borderId="1" applyAlignment="1" pivotButton="0" quotePrefix="0" xfId="0">
      <alignment horizontal="center"/>
    </xf>
    <xf numFmtId="0" fontId="15" fillId="5" borderId="1" applyAlignment="1" pivotButton="0" quotePrefix="0" xfId="0">
      <alignment horizontal="center"/>
    </xf>
    <xf numFmtId="171" fontId="15" fillId="5" borderId="1" applyAlignment="1" pivotButton="0" quotePrefix="0" xfId="0">
      <alignment horizontal="right"/>
    </xf>
    <xf numFmtId="0" fontId="14" fillId="6" borderId="1" applyAlignment="1" pivotButton="0" quotePrefix="0" xfId="0">
      <alignment horizontal="center"/>
    </xf>
    <xf numFmtId="171" fontId="15" fillId="6" borderId="1" applyAlignment="1" pivotButton="0" quotePrefix="0" xfId="0">
      <alignment horizontal="right"/>
    </xf>
    <xf numFmtId="171" fontId="14" fillId="6" borderId="1" applyAlignment="1" pivotButton="0" quotePrefix="0" xfId="0">
      <alignment horizontal="right"/>
    </xf>
    <xf numFmtId="0" fontId="3" fillId="3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right" vertical="center"/>
    </xf>
    <xf numFmtId="0" fontId="3" fillId="9" borderId="1" applyAlignment="1" pivotButton="0" quotePrefix="0" xfId="0">
      <alignment horizontal="right" vertical="center"/>
    </xf>
    <xf numFmtId="0" fontId="3" fillId="13" borderId="1" applyAlignment="1" pivotButton="0" quotePrefix="0" xfId="0">
      <alignment horizontal="right" vertical="center"/>
    </xf>
    <xf numFmtId="0" fontId="3" fillId="13" borderId="1" applyAlignment="1" pivotButton="0" quotePrefix="0" xfId="0">
      <alignment horizontal="left" vertical="center" indent="1"/>
    </xf>
    <xf numFmtId="49" fontId="16" fillId="14" borderId="1" applyAlignment="1" pivotButton="0" quotePrefix="0" xfId="0">
      <alignment horizontal="right" vertical="center"/>
    </xf>
    <xf numFmtId="165" fontId="16" fillId="14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right" vertical="center"/>
    </xf>
    <xf numFmtId="165" fontId="7" fillId="13" borderId="1" applyAlignment="1" pivotButton="0" quotePrefix="0" xfId="0">
      <alignment horizontal="right" vertical="center"/>
    </xf>
    <xf numFmtId="0" fontId="17" fillId="13" borderId="1" applyAlignment="1" pivotButton="0" quotePrefix="0" xfId="0">
      <alignment horizontal="left" wrapText="1" indent="1"/>
    </xf>
    <xf numFmtId="0" fontId="3" fillId="15" borderId="1" applyAlignment="1" pivotButton="0" quotePrefix="0" xfId="0">
      <alignment horizontal="left" vertical="center" indent="1"/>
    </xf>
    <xf numFmtId="164" fontId="7" fillId="14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6" fillId="13" borderId="1" applyAlignment="1" pivotButton="0" quotePrefix="0" xfId="0">
      <alignment horizontal="right" vertical="center"/>
    </xf>
    <xf numFmtId="0" fontId="17" fillId="5" borderId="1" applyAlignment="1" pivotButton="0" quotePrefix="0" xfId="0">
      <alignment horizontal="left" wrapText="1" indent="1"/>
    </xf>
    <xf numFmtId="0" fontId="18" fillId="5" borderId="1" applyAlignment="1" pivotButton="0" quotePrefix="0" xfId="0">
      <alignment horizontal="left" vertical="center" indent="2"/>
    </xf>
    <xf numFmtId="0" fontId="19" fillId="5" borderId="1" applyAlignment="1" pivotButton="0" quotePrefix="0" xfId="0">
      <alignment horizontal="right" vertical="center"/>
    </xf>
    <xf numFmtId="0" fontId="19" fillId="13" borderId="1" applyAlignment="1" pivotButton="0" quotePrefix="0" xfId="0">
      <alignment horizontal="right" vertical="center"/>
    </xf>
    <xf numFmtId="0" fontId="19" fillId="14" borderId="1" applyAlignment="1" pivotButton="0" quotePrefix="0" xfId="0">
      <alignment horizontal="right" vertical="center"/>
    </xf>
    <xf numFmtId="165" fontId="18" fillId="14" borderId="1" applyAlignment="1" pivotButton="0" quotePrefix="0" xfId="0">
      <alignment horizontal="right" vertical="center"/>
    </xf>
    <xf numFmtId="165" fontId="18" fillId="9" borderId="1" applyAlignment="1" pivotButton="0" quotePrefix="0" xfId="0">
      <alignment horizontal="right" vertical="center"/>
    </xf>
    <xf numFmtId="165" fontId="18" fillId="13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indent="2"/>
    </xf>
    <xf numFmtId="164" fontId="3" fillId="14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164" fontId="6" fillId="14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4" fontId="3" fillId="15" borderId="1" applyAlignment="1" pivotButton="0" quotePrefix="0" xfId="0">
      <alignment horizontal="right" vertical="center"/>
    </xf>
    <xf numFmtId="165" fontId="18" fillId="5" borderId="1" applyAlignment="1" pivotButton="0" quotePrefix="0" xfId="0">
      <alignment horizontal="right" vertical="center"/>
    </xf>
    <xf numFmtId="171" fontId="20" fillId="13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right" vertical="center"/>
    </xf>
    <xf numFmtId="171" fontId="5" fillId="13" borderId="1" applyAlignment="1" pivotButton="0" quotePrefix="0" xfId="0">
      <alignment horizontal="right" vertical="center"/>
    </xf>
    <xf numFmtId="173" fontId="5" fillId="13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indent="1"/>
    </xf>
    <xf numFmtId="164" fontId="21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 vertical="center"/>
    </xf>
    <xf numFmtId="0" fontId="6" fillId="15" borderId="1" applyAlignment="1" pivotButton="0" quotePrefix="0" xfId="0">
      <alignment horizontal="right" vertical="center"/>
    </xf>
    <xf numFmtId="174" fontId="6" fillId="5" borderId="1" applyAlignment="1" pivotButton="0" quotePrefix="0" xfId="0">
      <alignment horizontal="right" vertical="center"/>
    </xf>
    <xf numFmtId="174" fontId="6" fillId="13" borderId="1" applyAlignment="1" pivotButton="0" quotePrefix="0" xfId="0">
      <alignment horizontal="right" vertical="center"/>
    </xf>
    <xf numFmtId="175" fontId="6" fillId="5" borderId="1" applyAlignment="1" pivotButton="0" quotePrefix="0" xfId="0">
      <alignment horizontal="right" vertical="center"/>
    </xf>
    <xf numFmtId="175" fontId="6" fillId="1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167" fontId="3" fillId="15" borderId="1" applyAlignment="1" pivotButton="0" quotePrefix="0" xfId="0">
      <alignment horizontal="right" vertical="center"/>
    </xf>
    <xf numFmtId="167" fontId="21" fillId="5" borderId="1" applyAlignment="1" pivotButton="0" quotePrefix="0" xfId="0">
      <alignment horizontal="right"/>
    </xf>
    <xf numFmtId="165" fontId="3" fillId="3" borderId="1" applyAlignment="1" pivotButton="0" quotePrefix="0" xfId="0">
      <alignment horizontal="right" vertical="center"/>
    </xf>
    <xf numFmtId="0" fontId="22" fillId="2" borderId="0" applyAlignment="1" pivotButton="0" quotePrefix="0" xfId="0">
      <alignment horizontal="left" vertical="center" wrapText="1" indent="1"/>
    </xf>
    <xf numFmtId="0" fontId="15" fillId="6" borderId="0" applyAlignment="1" pivotButton="0" quotePrefix="0" xfId="0">
      <alignment horizontal="left" vertical="center" wrapText="1" indent="1"/>
    </xf>
    <xf numFmtId="0" fontId="23" fillId="16" borderId="0" applyAlignment="1" pivotButton="0" quotePrefix="0" xfId="0">
      <alignment horizontal="left" vertical="center" wrapText="1" indent="1"/>
    </xf>
    <xf numFmtId="0" fontId="24" fillId="7" borderId="1" applyAlignment="1" pivotButton="0" quotePrefix="0" xfId="0">
      <alignment horizontal="left" vertical="center" indent="1"/>
    </xf>
    <xf numFmtId="0" fontId="24" fillId="7" borderId="1" applyAlignment="1" pivotButton="0" quotePrefix="0" xfId="0">
      <alignment horizontal="center" vertical="center" indent="1"/>
    </xf>
    <xf numFmtId="0" fontId="6" fillId="17" borderId="1" applyAlignment="1" pivotButton="0" quotePrefix="0" xfId="0">
      <alignment horizontal="left" vertical="center"/>
    </xf>
    <xf numFmtId="0" fontId="25" fillId="17" borderId="1" applyAlignment="1" pivotButton="0" quotePrefix="0" xfId="0">
      <alignment horizontal="center" vertical="center"/>
    </xf>
    <xf numFmtId="168" fontId="6" fillId="17" borderId="1" applyAlignment="1" pivotButton="0" quotePrefix="0" xfId="0">
      <alignment horizontal="center" vertical="center"/>
    </xf>
    <xf numFmtId="0" fontId="19" fillId="17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176" fontId="3" fillId="17" borderId="1" applyAlignment="1" pivotButton="0" quotePrefix="0" xfId="0">
      <alignment horizontal="center" vertical="center"/>
    </xf>
    <xf numFmtId="176" fontId="6" fillId="17" borderId="1" applyAlignment="1" pivotButton="0" quotePrefix="0" xfId="0">
      <alignment horizontal="center" vertical="center"/>
    </xf>
    <xf numFmtId="0" fontId="13" fillId="17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/>
    </xf>
    <xf numFmtId="0" fontId="25" fillId="13" borderId="1" applyAlignment="1" pivotButton="0" quotePrefix="0" xfId="0">
      <alignment horizontal="center" vertical="center"/>
    </xf>
    <xf numFmtId="168" fontId="6" fillId="13" borderId="1" applyAlignment="1" pivotButton="0" quotePrefix="0" xfId="0">
      <alignment horizontal="center" vertical="center"/>
    </xf>
    <xf numFmtId="0" fontId="26" fillId="13" borderId="1" applyAlignment="1" pivotButton="0" quotePrefix="0" xfId="0">
      <alignment horizontal="left" vertical="center"/>
    </xf>
    <xf numFmtId="0" fontId="27" fillId="18" borderId="1" applyAlignment="1" pivotButton="0" quotePrefix="0" xfId="0">
      <alignment horizontal="center" vertical="center"/>
    </xf>
    <xf numFmtId="176" fontId="3" fillId="13" borderId="1" applyAlignment="1" pivotButton="0" quotePrefix="0" xfId="0">
      <alignment horizontal="center" vertical="center"/>
    </xf>
    <xf numFmtId="176" fontId="6" fillId="13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left" vertical="center" wrapText="1"/>
    </xf>
    <xf numFmtId="0" fontId="28" fillId="16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2" fontId="12" fillId="3" borderId="1" applyAlignment="1" pivotButton="0" quotePrefix="0" xfId="0">
      <alignment horizontal="center" vertical="center"/>
    </xf>
    <xf numFmtId="0" fontId="29" fillId="3" borderId="1" applyAlignment="1" pivotButton="0" quotePrefix="0" xfId="0">
      <alignment horizontal="left" vertical="center" indent="1"/>
    </xf>
    <xf numFmtId="0" fontId="22" fillId="4" borderId="0" applyAlignment="1" pivotButton="0" quotePrefix="0" xfId="0">
      <alignment horizontal="center" vertical="center"/>
    </xf>
    <xf numFmtId="0" fontId="30" fillId="9" borderId="0" applyAlignment="1" pivotButton="0" quotePrefix="0" xfId="0">
      <alignment horizontal="left"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 ht="28" customHeight="1">
      <c r="A1" s="1" t="inlineStr">
        <is>
          <t>TSLA — Financial Model</t>
        </is>
      </c>
    </row>
    <row r="2" ht="14" customHeight="1">
      <c r="A2" s="2" t="inlineStr">
        <is>
          <t>Source: Financial Modeling Prep API  |  All figures USD millions  |  FY 2021–2025</t>
        </is>
      </c>
    </row>
    <row r="4">
      <c r="A4" s="3" t="inlineStr">
        <is>
          <t>Reporting Currency</t>
        </is>
      </c>
      <c r="B4" s="4" t="inlineStr">
        <is>
          <t>USD</t>
        </is>
      </c>
    </row>
    <row r="5" ht="18" customHeight="1">
      <c r="A5" s="5" t="inlineStr">
        <is>
          <t>KEY METRICS — MOST RECENT YEAR</t>
        </is>
      </c>
    </row>
    <row r="6">
      <c r="A6" s="3" t="inlineStr">
        <is>
          <t>Fiscal Year</t>
        </is>
      </c>
      <c r="B6" s="6" t="inlineStr">
        <is>
          <t>2025</t>
        </is>
      </c>
    </row>
    <row r="7">
      <c r="A7" s="3" t="inlineStr">
        <is>
          <t>Revenue ($mm)</t>
        </is>
      </c>
      <c r="B7" s="7" t="n">
        <v>94827</v>
      </c>
    </row>
    <row r="8">
      <c r="A8" s="3" t="inlineStr">
        <is>
          <t>Gross Profit ($mm)</t>
        </is>
      </c>
      <c r="B8" s="7" t="n">
        <v>17094</v>
      </c>
    </row>
    <row r="9">
      <c r="A9" s="3" t="inlineStr">
        <is>
          <t>EBITDA ($mm)</t>
        </is>
      </c>
      <c r="B9" s="7" t="n">
        <v>11764</v>
      </c>
    </row>
    <row r="10">
      <c r="A10" s="3" t="inlineStr">
        <is>
          <t>EBIT ($mm)</t>
        </is>
      </c>
      <c r="B10" s="7" t="n">
        <v>4355</v>
      </c>
    </row>
    <row r="11">
      <c r="A11" s="3" t="inlineStr">
        <is>
          <t>Net Income ($mm)</t>
        </is>
      </c>
      <c r="B11" s="7" t="n">
        <v>3794</v>
      </c>
    </row>
    <row r="12">
      <c r="A12" s="3" t="inlineStr">
        <is>
          <t>Free Cash Flow ($mm)</t>
        </is>
      </c>
      <c r="B12" s="7" t="n"/>
    </row>
    <row r="13">
      <c r="A13" s="3" t="inlineStr">
        <is>
          <t>EPS Diluted</t>
        </is>
      </c>
      <c r="B13" s="8" t="n"/>
    </row>
    <row r="14">
      <c r="A14" s="3" t="inlineStr">
        <is>
          <t>Gross Margin %</t>
        </is>
      </c>
      <c r="B14" s="9" t="n"/>
    </row>
    <row r="15">
      <c r="A15" s="3" t="inlineStr">
        <is>
          <t>EBITDA Margin %</t>
        </is>
      </c>
      <c r="B15" s="9" t="n"/>
    </row>
    <row r="16">
      <c r="A16" s="3" t="inlineStr">
        <is>
          <t>Net Margin %</t>
        </is>
      </c>
      <c r="B16" s="9" t="n"/>
    </row>
    <row r="18" ht="18" customHeight="1">
      <c r="A18" s="10" t="inlineStr">
        <is>
          <t>WORKBOOK STRUCTURE</t>
        </is>
      </c>
    </row>
    <row r="19">
      <c r="A19" s="11" t="inlineStr">
        <is>
          <t>Cover</t>
        </is>
      </c>
      <c r="B19" s="3" t="inlineStr">
        <is>
          <t>This page — key metrics snapshot</t>
        </is>
      </c>
    </row>
    <row r="20">
      <c r="A20" s="11" t="inlineStr">
        <is>
          <t>P&amp;L</t>
        </is>
      </c>
      <c r="B20" s="3" t="inlineStr">
        <is>
          <t>Income statement: summary + all FMP line items</t>
        </is>
      </c>
    </row>
    <row r="21">
      <c r="A21" s="11" t="inlineStr">
        <is>
          <t>Balance Sheet</t>
        </is>
      </c>
      <c r="B21" s="3" t="inlineStr">
        <is>
          <t>Balance sheet: summary + all FMP line items</t>
        </is>
      </c>
    </row>
    <row r="22">
      <c r="A22" s="11" t="inlineStr">
        <is>
          <t>Cash Flow</t>
        </is>
      </c>
      <c r="B22" s="3" t="inlineStr">
        <is>
          <t>Cash flow: summary + all FMP line items</t>
        </is>
      </c>
    </row>
    <row r="23">
      <c r="A23" s="11" t="inlineStr">
        <is>
          <t>Ratios &amp; FCF</t>
        </is>
      </c>
      <c r="B23" s="3" t="inlineStr">
        <is>
          <t>UFCF bridge, LFCF bridge, and full ratio suite</t>
        </is>
      </c>
    </row>
    <row r="24">
      <c r="A24" s="11" t="inlineStr">
        <is>
          <t>Segments</t>
        </is>
      </c>
      <c r="B24" s="3" t="inlineStr">
        <is>
          <t>Product &amp; geographic revenue segments (plan-dependent)</t>
        </is>
      </c>
    </row>
    <row r="26">
      <c r="A26" s="12" t="inlineStr">
        <is>
          <t>Colour convention: Blue = raw API data input | Black = formula/calculated | Green = cross-sheet link</t>
        </is>
      </c>
    </row>
  </sheetData>
  <mergeCells count="5">
    <mergeCell ref="A26:B26"/>
    <mergeCell ref="A2:B2"/>
    <mergeCell ref="A5:B5"/>
    <mergeCell ref="A1:B1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TSLA — Income Statement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INCOME STATEMENT</t>
        </is>
      </c>
    </row>
    <row r="5">
      <c r="A5" s="15" t="inlineStr">
        <is>
          <t>(1)  Revenue</t>
        </is>
      </c>
      <c r="B5" s="16" t="n">
        <v>53823</v>
      </c>
      <c r="C5" s="16" t="n">
        <v>81462</v>
      </c>
      <c r="D5" s="16" t="n">
        <v>96773</v>
      </c>
      <c r="E5" s="16" t="n">
        <v>97690</v>
      </c>
      <c r="F5" s="16" t="n">
        <v>94827</v>
      </c>
    </row>
    <row r="6">
      <c r="A6" s="17" t="inlineStr">
        <is>
          <t>(2)  Cost of Revenue (COGS)</t>
        </is>
      </c>
      <c r="B6" s="18" t="n">
        <v>40217</v>
      </c>
      <c r="C6" s="18" t="n">
        <v>60609</v>
      </c>
      <c r="D6" s="18" t="n">
        <v>79113</v>
      </c>
      <c r="E6" s="18" t="n">
        <v>80240</v>
      </c>
      <c r="F6" s="18" t="n">
        <v>77733</v>
      </c>
    </row>
    <row r="7">
      <c r="A7" s="19" t="inlineStr">
        <is>
          <t>(3)  Gross Profit</t>
        </is>
      </c>
      <c r="B7" s="20">
        <f>B5-B6</f>
        <v/>
      </c>
      <c r="C7" s="20">
        <f>C5-C6</f>
        <v/>
      </c>
      <c r="D7" s="20">
        <f>D5-D6</f>
        <v/>
      </c>
      <c r="E7" s="20">
        <f>E5-E6</f>
        <v/>
      </c>
      <c r="F7" s="20">
        <f>F5-F6</f>
        <v/>
      </c>
    </row>
    <row r="8">
      <c r="A8" s="21" t="inlineStr">
        <is>
          <t xml:space="preserve">     Gross Margin %</t>
        </is>
      </c>
      <c r="B8" s="22">
        <f>IFERROR(B7/B5,"")</f>
        <v/>
      </c>
      <c r="C8" s="22">
        <f>IFERROR(C7/C5,"")</f>
        <v/>
      </c>
      <c r="D8" s="22">
        <f>IFERROR(D7/D5,"")</f>
        <v/>
      </c>
      <c r="E8" s="22">
        <f>IFERROR(E7/E5,"")</f>
        <v/>
      </c>
      <c r="F8" s="22">
        <f>IFERROR(F7/F5,"")</f>
        <v/>
      </c>
    </row>
    <row r="9">
      <c r="A9" s="17" t="inlineStr">
        <is>
          <t>(4)  SG&amp;A</t>
        </is>
      </c>
      <c r="B9" s="18" t="n">
        <v>4517</v>
      </c>
      <c r="C9" s="18" t="n">
        <v>3946</v>
      </c>
      <c r="D9" s="18" t="n">
        <v>4800</v>
      </c>
      <c r="E9" s="18" t="n">
        <v>5150</v>
      </c>
      <c r="F9" s="18" t="n">
        <v>5834</v>
      </c>
    </row>
    <row r="10">
      <c r="A10" s="17" t="inlineStr">
        <is>
          <t>(5)  Other OPEX (ex-SG&amp;A)</t>
        </is>
      </c>
      <c r="B10" s="23">
        <f>IFERROR(B11-B9,"")</f>
        <v/>
      </c>
      <c r="C10" s="23">
        <f>IFERROR(C11-C9,"")</f>
        <v/>
      </c>
      <c r="D10" s="23">
        <f>IFERROR(D11-D9,"")</f>
        <v/>
      </c>
      <c r="E10" s="23">
        <f>IFERROR(E11-E9,"")</f>
        <v/>
      </c>
      <c r="F10" s="23">
        <f>IFERROR(F11-F9,"")</f>
        <v/>
      </c>
    </row>
    <row r="11">
      <c r="A11" s="21" t="inlineStr">
        <is>
          <t xml:space="preserve">     Total Operating Expenses</t>
        </is>
      </c>
      <c r="B11" s="18" t="n">
        <v>7110</v>
      </c>
      <c r="C11" s="18" t="n">
        <v>7197</v>
      </c>
      <c r="D11" s="18" t="n">
        <v>8769</v>
      </c>
      <c r="E11" s="18" t="n">
        <v>10374</v>
      </c>
      <c r="F11" s="18" t="n">
        <v>12739</v>
      </c>
    </row>
    <row r="12">
      <c r="A12" s="19" t="inlineStr">
        <is>
          <t>(6)  EBITDA</t>
        </is>
      </c>
      <c r="B12" s="20">
        <f>B15+B14</f>
        <v/>
      </c>
      <c r="C12" s="20">
        <f>C15+C14</f>
        <v/>
      </c>
      <c r="D12" s="20">
        <f>D15+D14</f>
        <v/>
      </c>
      <c r="E12" s="20">
        <f>E15+E14</f>
        <v/>
      </c>
      <c r="F12" s="20">
        <f>F15+F14</f>
        <v/>
      </c>
    </row>
    <row r="13">
      <c r="A13" s="21" t="inlineStr">
        <is>
          <t xml:space="preserve">     EBITDA Margin %</t>
        </is>
      </c>
      <c r="B13" s="22">
        <f>IFERROR(B12/B5,"")</f>
        <v/>
      </c>
      <c r="C13" s="22">
        <f>IFERROR(C12/C5,"")</f>
        <v/>
      </c>
      <c r="D13" s="22">
        <f>IFERROR(D12/D5,"")</f>
        <v/>
      </c>
      <c r="E13" s="22">
        <f>IFERROR(E12/E5,"")</f>
        <v/>
      </c>
      <c r="F13" s="22">
        <f>IFERROR(F12/F5,"")</f>
        <v/>
      </c>
    </row>
    <row r="14">
      <c r="A14" s="17" t="inlineStr">
        <is>
          <t>(7)  Depreciation &amp; Amortisation</t>
        </is>
      </c>
      <c r="B14" s="18" t="n">
        <v>2911</v>
      </c>
      <c r="C14" s="18" t="n">
        <v>3747</v>
      </c>
      <c r="D14" s="18" t="n">
        <v>4667</v>
      </c>
      <c r="E14" s="18" t="n">
        <v>5368</v>
      </c>
      <c r="F14" s="18" t="n">
        <v>6148</v>
      </c>
    </row>
    <row r="15">
      <c r="A15" s="19" t="inlineStr">
        <is>
          <t>(8)  EBIT (Operating Income)</t>
        </is>
      </c>
      <c r="B15" s="24" t="n">
        <v>6523</v>
      </c>
      <c r="C15" s="24" t="n">
        <v>13656</v>
      </c>
      <c r="D15" s="24" t="n">
        <v>8891</v>
      </c>
      <c r="E15" s="24" t="n">
        <v>7076</v>
      </c>
      <c r="F15" s="24" t="n">
        <v>4355</v>
      </c>
    </row>
    <row r="16">
      <c r="A16" s="21" t="inlineStr">
        <is>
          <t xml:space="preserve">     EBIT Margin %</t>
        </is>
      </c>
      <c r="B16" s="22">
        <f>IFERROR(B15/B5,"")</f>
        <v/>
      </c>
      <c r="C16" s="22">
        <f>IFERROR(C15/C5,"")</f>
        <v/>
      </c>
      <c r="D16" s="22">
        <f>IFERROR(D15/D5,"")</f>
        <v/>
      </c>
      <c r="E16" s="22">
        <f>IFERROR(E15/E5,"")</f>
        <v/>
      </c>
      <c r="F16" s="22">
        <f>IFERROR(F15/F5,"")</f>
        <v/>
      </c>
    </row>
    <row r="17">
      <c r="A17" s="21" t="inlineStr">
        <is>
          <t xml:space="preserve">     Interest Expense</t>
        </is>
      </c>
      <c r="B17" s="18" t="n">
        <v>371</v>
      </c>
      <c r="C17" s="18" t="n">
        <v>191</v>
      </c>
      <c r="D17" s="18" t="n">
        <v>156</v>
      </c>
      <c r="E17" s="18" t="n">
        <v>350</v>
      </c>
      <c r="F17" s="18" t="n">
        <v>338</v>
      </c>
    </row>
    <row r="18">
      <c r="A18" s="21" t="inlineStr">
        <is>
          <t xml:space="preserve">     Interest Income</t>
        </is>
      </c>
      <c r="B18" s="18" t="n">
        <v>56</v>
      </c>
      <c r="C18" s="18" t="n">
        <v>297</v>
      </c>
      <c r="D18" s="18" t="n">
        <v>1066</v>
      </c>
      <c r="E18" s="18" t="n">
        <v>1569</v>
      </c>
      <c r="F18" s="18" t="n">
        <v>1680</v>
      </c>
    </row>
    <row r="19">
      <c r="A19" s="17" t="inlineStr">
        <is>
          <t>(9)  Net Interest Income / (Expense)</t>
        </is>
      </c>
      <c r="B19" s="23">
        <f>IFERROR(B18-B17,"")</f>
        <v/>
      </c>
      <c r="C19" s="23">
        <f>IFERROR(C18-C17,"")</f>
        <v/>
      </c>
      <c r="D19" s="23">
        <f>IFERROR(D18-D17,"")</f>
        <v/>
      </c>
      <c r="E19" s="23">
        <f>IFERROR(E18-E17,"")</f>
        <v/>
      </c>
      <c r="F19" s="23">
        <f>IFERROR(F18-F17,"")</f>
        <v/>
      </c>
    </row>
    <row r="20">
      <c r="A20" s="21" t="inlineStr">
        <is>
          <t xml:space="preserve">     Other Non-Operating Income / (Expenses)</t>
        </is>
      </c>
      <c r="B20" s="23">
        <f>IFERROR(B21-B15-B19,"")</f>
        <v/>
      </c>
      <c r="C20" s="23">
        <f>IFERROR(C21-C15-C19,"")</f>
        <v/>
      </c>
      <c r="D20" s="23">
        <f>IFERROR(D21-D15-D19,"")</f>
        <v/>
      </c>
      <c r="E20" s="23">
        <f>IFERROR(E21-E15-E19,"")</f>
        <v/>
      </c>
      <c r="F20" s="23">
        <f>IFERROR(F21-F15-F19,"")</f>
        <v/>
      </c>
    </row>
    <row r="21">
      <c r="A21" s="19" t="inlineStr">
        <is>
          <t>(10) EBT / NPBT</t>
        </is>
      </c>
      <c r="B21" s="24" t="n">
        <v>6343</v>
      </c>
      <c r="C21" s="24" t="n">
        <v>13719</v>
      </c>
      <c r="D21" s="24" t="n">
        <v>9973</v>
      </c>
      <c r="E21" s="24" t="n">
        <v>8990</v>
      </c>
      <c r="F21" s="24" t="n">
        <v>5278</v>
      </c>
    </row>
    <row r="22">
      <c r="A22" s="17" t="inlineStr">
        <is>
          <t>(11) Income Tax Expense</t>
        </is>
      </c>
      <c r="B22" s="18" t="n">
        <v>699</v>
      </c>
      <c r="C22" s="18" t="n">
        <v>1132</v>
      </c>
      <c r="D22" s="18" t="n">
        <v>-5001</v>
      </c>
      <c r="E22" s="18" t="n">
        <v>1837</v>
      </c>
      <c r="F22" s="18" t="n">
        <v>1423</v>
      </c>
    </row>
    <row r="23">
      <c r="A23" s="21" t="inlineStr">
        <is>
          <t xml:space="preserve">     Effective Tax Rate %</t>
        </is>
      </c>
      <c r="B23" s="22">
        <f>IFERROR(B22/B21,"")</f>
        <v/>
      </c>
      <c r="C23" s="22">
        <f>IFERROR(C22/C21,"")</f>
        <v/>
      </c>
      <c r="D23" s="22">
        <f>IFERROR(D22/D21,"")</f>
        <v/>
      </c>
      <c r="E23" s="22">
        <f>IFERROR(E22/E21,"")</f>
        <v/>
      </c>
      <c r="F23" s="22">
        <f>IFERROR(F22/F21,"")</f>
        <v/>
      </c>
    </row>
    <row r="24">
      <c r="A24" s="19" t="inlineStr">
        <is>
          <t>(12) Net Income / NPAT</t>
        </is>
      </c>
      <c r="B24" s="24" t="n">
        <v>5524</v>
      </c>
      <c r="C24" s="24" t="n">
        <v>12583</v>
      </c>
      <c r="D24" s="24" t="n">
        <v>14999</v>
      </c>
      <c r="E24" s="24" t="n">
        <v>7130</v>
      </c>
      <c r="F24" s="24" t="n">
        <v>3794</v>
      </c>
    </row>
    <row r="25">
      <c r="A25" s="21" t="inlineStr">
        <is>
          <t xml:space="preserve">     Net Margin %</t>
        </is>
      </c>
      <c r="B25" s="22">
        <f>IFERROR(B24/B5,"")</f>
        <v/>
      </c>
      <c r="C25" s="22">
        <f>IFERROR(C24/C5,"")</f>
        <v/>
      </c>
      <c r="D25" s="22">
        <f>IFERROR(D24/D5,"")</f>
        <v/>
      </c>
      <c r="E25" s="22">
        <f>IFERROR(E24/E5,"")</f>
        <v/>
      </c>
      <c r="F25" s="22">
        <f>IFERROR(F24/F5,"")</f>
        <v/>
      </c>
    </row>
    <row r="26" ht="6" customHeight="1"/>
    <row r="27" ht="18" customHeight="1">
      <c r="A27" s="10" t="inlineStr">
        <is>
          <t>DETAIL — ALL LINE ITEMS FROM FMP</t>
        </is>
      </c>
    </row>
    <row r="28" ht="18" customHeight="1">
      <c r="A28" s="13" t="inlineStr">
        <is>
          <t>Fiscal Year Ending</t>
        </is>
      </c>
      <c r="B28" s="14" t="inlineStr">
        <is>
          <t>2021</t>
        </is>
      </c>
      <c r="C28" s="14" t="inlineStr">
        <is>
          <t>2022</t>
        </is>
      </c>
      <c r="D28" s="14" t="inlineStr">
        <is>
          <t>2023</t>
        </is>
      </c>
      <c r="E28" s="14" t="inlineStr">
        <is>
          <t>2024</t>
        </is>
      </c>
      <c r="F28" s="14" t="inlineStr">
        <is>
          <t>2025</t>
        </is>
      </c>
    </row>
    <row r="29" ht="18" customHeight="1">
      <c r="A29" s="25" t="inlineStr">
        <is>
          <t>Revenue &amp; Cost</t>
        </is>
      </c>
    </row>
    <row r="30">
      <c r="A30" s="15" t="inlineStr">
        <is>
          <t>Revenue</t>
        </is>
      </c>
      <c r="B30" s="16" t="n">
        <v>53823</v>
      </c>
      <c r="C30" s="16" t="n">
        <v>81462</v>
      </c>
      <c r="D30" s="16" t="n">
        <v>96773</v>
      </c>
      <c r="E30" s="16" t="n">
        <v>97690</v>
      </c>
      <c r="F30" s="16" t="n">
        <v>94827</v>
      </c>
    </row>
    <row r="31">
      <c r="A31" s="17" t="inlineStr">
        <is>
          <t>Cost of Revenue</t>
        </is>
      </c>
      <c r="B31" s="18" t="n">
        <v>40217</v>
      </c>
      <c r="C31" s="18" t="n">
        <v>60609</v>
      </c>
      <c r="D31" s="18" t="n">
        <v>79113</v>
      </c>
      <c r="E31" s="18" t="n">
        <v>80240</v>
      </c>
      <c r="F31" s="18" t="n">
        <v>77733</v>
      </c>
    </row>
    <row r="32">
      <c r="A32" s="26" t="inlineStr">
        <is>
          <t>Gross Profit</t>
        </is>
      </c>
      <c r="B32" s="27" t="n">
        <v>13606</v>
      </c>
      <c r="C32" s="27" t="n">
        <v>20853</v>
      </c>
      <c r="D32" s="27" t="n">
        <v>17660</v>
      </c>
      <c r="E32" s="27" t="n">
        <v>17450</v>
      </c>
      <c r="F32" s="27" t="n">
        <v>17094</v>
      </c>
    </row>
    <row r="33" ht="18" customHeight="1">
      <c r="A33" s="25" t="inlineStr">
        <is>
          <t>Operating Expenses</t>
        </is>
      </c>
    </row>
    <row r="34">
      <c r="A34" s="17" t="inlineStr">
        <is>
          <t>R&amp;D Expenses</t>
        </is>
      </c>
      <c r="B34" s="18" t="n">
        <v>2593</v>
      </c>
      <c r="C34" s="18" t="n">
        <v>3075</v>
      </c>
      <c r="D34" s="18" t="n">
        <v>3969</v>
      </c>
      <c r="E34" s="18" t="n">
        <v>4540</v>
      </c>
      <c r="F34" s="18" t="n">
        <v>6411</v>
      </c>
    </row>
    <row r="35">
      <c r="A35" s="17" t="inlineStr">
        <is>
          <t>General &amp; Administrative</t>
        </is>
      </c>
      <c r="B35" s="18" t="n">
        <v>4517</v>
      </c>
      <c r="C35" s="18" t="n">
        <v>3946</v>
      </c>
      <c r="D35" s="18" t="n">
        <v>4800</v>
      </c>
      <c r="E35" s="18" t="n">
        <v>5150</v>
      </c>
      <c r="F35" s="18" t="n">
        <v>5834</v>
      </c>
    </row>
    <row r="36">
      <c r="A36" s="17" t="inlineStr">
        <is>
          <t>Selling &amp; Marketing</t>
        </is>
      </c>
      <c r="B36" s="18" t="n">
        <v>0</v>
      </c>
      <c r="C36" s="18" t="n">
        <v>0</v>
      </c>
      <c r="D36" s="18" t="n">
        <v>0</v>
      </c>
      <c r="E36" s="18" t="n">
        <v>0</v>
      </c>
      <c r="F36" s="18" t="n">
        <v>0</v>
      </c>
    </row>
    <row r="37">
      <c r="A37" s="17" t="inlineStr">
        <is>
          <t>SG&amp;A (Combined)</t>
        </is>
      </c>
      <c r="B37" s="18" t="n">
        <v>4517</v>
      </c>
      <c r="C37" s="18" t="n">
        <v>3946</v>
      </c>
      <c r="D37" s="18" t="n">
        <v>4800</v>
      </c>
      <c r="E37" s="18" t="n">
        <v>5150</v>
      </c>
      <c r="F37" s="18" t="n">
        <v>5834</v>
      </c>
    </row>
    <row r="38">
      <c r="A38" s="17" t="inlineStr">
        <is>
          <t>Other Expenses</t>
        </is>
      </c>
      <c r="B38" s="18" t="n">
        <v>0</v>
      </c>
      <c r="C38" s="18" t="n">
        <v>176</v>
      </c>
      <c r="D38" s="18" t="n">
        <v>0</v>
      </c>
      <c r="E38" s="18" t="n">
        <v>684</v>
      </c>
      <c r="F38" s="18" t="n">
        <v>494</v>
      </c>
    </row>
    <row r="39">
      <c r="A39" s="26" t="inlineStr">
        <is>
          <t>Total Operating Expenses</t>
        </is>
      </c>
      <c r="B39" s="27" t="n">
        <v>7110</v>
      </c>
      <c r="C39" s="27" t="n">
        <v>7197</v>
      </c>
      <c r="D39" s="27" t="n">
        <v>8769</v>
      </c>
      <c r="E39" s="27" t="n">
        <v>10374</v>
      </c>
      <c r="F39" s="27" t="n">
        <v>12739</v>
      </c>
    </row>
    <row r="40">
      <c r="A40" s="17" t="inlineStr">
        <is>
          <t>Cost &amp; Expenses (COGS + Opex)</t>
        </is>
      </c>
      <c r="B40" s="18" t="n">
        <v>47327</v>
      </c>
      <c r="C40" s="18" t="n">
        <v>67806</v>
      </c>
      <c r="D40" s="18" t="n">
        <v>87882</v>
      </c>
      <c r="E40" s="18" t="n">
        <v>90614</v>
      </c>
      <c r="F40" s="18" t="n">
        <v>90472</v>
      </c>
    </row>
    <row r="41" ht="18" customHeight="1">
      <c r="A41" s="25" t="inlineStr">
        <is>
          <t>Operating &amp; EBITDA</t>
        </is>
      </c>
    </row>
    <row r="42">
      <c r="A42" s="15" t="inlineStr">
        <is>
          <t>EBIT (Operating Income)</t>
        </is>
      </c>
      <c r="B42" s="16" t="n">
        <v>6523</v>
      </c>
      <c r="C42" s="16" t="n">
        <v>13656</v>
      </c>
      <c r="D42" s="16" t="n">
        <v>8891</v>
      </c>
      <c r="E42" s="16" t="n">
        <v>7076</v>
      </c>
      <c r="F42" s="16" t="n">
        <v>4355</v>
      </c>
    </row>
    <row r="43">
      <c r="A43" s="17" t="inlineStr">
        <is>
          <t>EBIT (FMP field)</t>
        </is>
      </c>
      <c r="B43" s="18" t="n">
        <v>6714</v>
      </c>
      <c r="C43" s="18" t="n">
        <v>13910</v>
      </c>
      <c r="D43" s="18" t="n">
        <v>10129</v>
      </c>
      <c r="E43" s="18" t="n">
        <v>9340</v>
      </c>
      <c r="F43" s="18" t="n">
        <v>5616</v>
      </c>
    </row>
    <row r="44">
      <c r="A44" s="26" t="inlineStr">
        <is>
          <t>EBITDA</t>
        </is>
      </c>
      <c r="B44" s="27" t="n">
        <v>9625</v>
      </c>
      <c r="C44" s="27" t="n">
        <v>17657</v>
      </c>
      <c r="D44" s="27" t="n">
        <v>14796</v>
      </c>
      <c r="E44" s="27" t="n">
        <v>14708</v>
      </c>
      <c r="F44" s="27" t="n">
        <v>11764</v>
      </c>
    </row>
    <row r="45">
      <c r="A45" s="17" t="inlineStr">
        <is>
          <t>Depreciation &amp; Amortisation</t>
        </is>
      </c>
      <c r="B45" s="18" t="n">
        <v>2911</v>
      </c>
      <c r="C45" s="18" t="n">
        <v>3747</v>
      </c>
      <c r="D45" s="18" t="n">
        <v>4667</v>
      </c>
      <c r="E45" s="18" t="n">
        <v>5368</v>
      </c>
      <c r="F45" s="18" t="n">
        <v>6148</v>
      </c>
    </row>
    <row r="46" ht="18" customHeight="1">
      <c r="A46" s="25" t="inlineStr">
        <is>
          <t>Below the Line</t>
        </is>
      </c>
    </row>
    <row r="47">
      <c r="A47" s="17" t="inlineStr">
        <is>
          <t>Interest Income</t>
        </is>
      </c>
      <c r="B47" s="18" t="n">
        <v>56</v>
      </c>
      <c r="C47" s="18" t="n">
        <v>297</v>
      </c>
      <c r="D47" s="18" t="n">
        <v>1066</v>
      </c>
      <c r="E47" s="18" t="n">
        <v>1569</v>
      </c>
      <c r="F47" s="18" t="n">
        <v>1680</v>
      </c>
    </row>
    <row r="48">
      <c r="A48" s="17" t="inlineStr">
        <is>
          <t>Interest Expense</t>
        </is>
      </c>
      <c r="B48" s="18" t="n">
        <v>371</v>
      </c>
      <c r="C48" s="18" t="n">
        <v>191</v>
      </c>
      <c r="D48" s="18" t="n">
        <v>156</v>
      </c>
      <c r="E48" s="18" t="n">
        <v>350</v>
      </c>
      <c r="F48" s="18" t="n">
        <v>338</v>
      </c>
    </row>
    <row r="49">
      <c r="A49" s="17" t="inlineStr">
        <is>
          <t>Net Interest Income</t>
        </is>
      </c>
      <c r="B49" s="18" t="n">
        <v>-315</v>
      </c>
      <c r="C49" s="18" t="n">
        <v>106</v>
      </c>
      <c r="D49" s="18" t="n">
        <v>910</v>
      </c>
      <c r="E49" s="18" t="n">
        <v>1219</v>
      </c>
      <c r="F49" s="18" t="n">
        <v>1342</v>
      </c>
    </row>
    <row r="50">
      <c r="A50" s="17" t="inlineStr">
        <is>
          <t>Non-Operating Income (ex-interest)</t>
        </is>
      </c>
      <c r="B50" s="18" t="n">
        <v>-191</v>
      </c>
      <c r="C50" s="18" t="n">
        <v>-254</v>
      </c>
      <c r="D50" s="18" t="n">
        <v>-1238</v>
      </c>
      <c r="E50" s="18" t="n">
        <v>-2264</v>
      </c>
      <c r="F50" s="18" t="n">
        <v>-1261</v>
      </c>
    </row>
    <row r="51">
      <c r="A51" s="17" t="inlineStr">
        <is>
          <t>Total Other Income / (Expenses)</t>
        </is>
      </c>
      <c r="B51" s="18" t="n">
        <v>-180</v>
      </c>
      <c r="C51" s="18" t="n">
        <v>63</v>
      </c>
      <c r="D51" s="18" t="n">
        <v>1082</v>
      </c>
      <c r="E51" s="18" t="n">
        <v>1914</v>
      </c>
      <c r="F51" s="18" t="n">
        <v>923</v>
      </c>
    </row>
    <row r="52">
      <c r="A52" s="26" t="inlineStr">
        <is>
          <t>EBT / Income Before Tax</t>
        </is>
      </c>
      <c r="B52" s="27" t="n">
        <v>6343</v>
      </c>
      <c r="C52" s="27" t="n">
        <v>13719</v>
      </c>
      <c r="D52" s="27" t="n">
        <v>9973</v>
      </c>
      <c r="E52" s="27" t="n">
        <v>8990</v>
      </c>
      <c r="F52" s="27" t="n">
        <v>5278</v>
      </c>
    </row>
    <row r="53">
      <c r="A53" s="17" t="inlineStr">
        <is>
          <t>Income Tax Expense</t>
        </is>
      </c>
      <c r="B53" s="18" t="n">
        <v>699</v>
      </c>
      <c r="C53" s="18" t="n">
        <v>1132</v>
      </c>
      <c r="D53" s="18" t="n">
        <v>-5001</v>
      </c>
      <c r="E53" s="18" t="n">
        <v>1837</v>
      </c>
      <c r="F53" s="18" t="n">
        <v>1423</v>
      </c>
    </row>
    <row r="54" ht="18" customHeight="1">
      <c r="A54" s="25" t="inlineStr">
        <is>
          <t>Net Income</t>
        </is>
      </c>
    </row>
    <row r="55">
      <c r="A55" s="17" t="inlineStr">
        <is>
          <t>Net Income from Continuing Ops</t>
        </is>
      </c>
      <c r="B55" s="18" t="n">
        <v>5644</v>
      </c>
      <c r="C55" s="18" t="n">
        <v>12587</v>
      </c>
      <c r="D55" s="18" t="n">
        <v>14974</v>
      </c>
      <c r="E55" s="18" t="n">
        <v>7153</v>
      </c>
      <c r="F55" s="18" t="n">
        <v>3855</v>
      </c>
    </row>
    <row r="56">
      <c r="A56" s="17" t="inlineStr">
        <is>
          <t>Net Income from Discontinued Ops</t>
        </is>
      </c>
      <c r="B56" s="18" t="n">
        <v>0</v>
      </c>
      <c r="C56" s="18" t="n">
        <v>0</v>
      </c>
      <c r="D56" s="18" t="n">
        <v>0</v>
      </c>
      <c r="E56" s="18" t="n">
        <v>0</v>
      </c>
      <c r="F56" s="18" t="n">
        <v>0</v>
      </c>
    </row>
    <row r="57">
      <c r="A57" s="17" t="inlineStr">
        <is>
          <t>Other Adjustments to Net Income</t>
        </is>
      </c>
      <c r="B57" s="18" t="n">
        <v>5</v>
      </c>
      <c r="C57" s="18" t="n">
        <v>27</v>
      </c>
      <c r="D57" s="18" t="n">
        <v>2</v>
      </c>
      <c r="E57" s="18" t="n">
        <v>0</v>
      </c>
      <c r="F57" s="18" t="n">
        <v>0</v>
      </c>
    </row>
    <row r="58">
      <c r="A58" s="17" t="inlineStr">
        <is>
          <t>Net Income Deductions</t>
        </is>
      </c>
      <c r="B58" s="18" t="n">
        <v>-4</v>
      </c>
      <c r="C58" s="18" t="n">
        <v>-1</v>
      </c>
      <c r="D58" s="18" t="n">
        <v>0</v>
      </c>
      <c r="E58" s="18" t="n">
        <v>0</v>
      </c>
      <c r="F58" s="18" t="n">
        <v>0</v>
      </c>
    </row>
    <row r="59">
      <c r="A59" s="26" t="inlineStr">
        <is>
          <t>Net Income</t>
        </is>
      </c>
      <c r="B59" s="27" t="n">
        <v>5524</v>
      </c>
      <c r="C59" s="27" t="n">
        <v>12583</v>
      </c>
      <c r="D59" s="27" t="n">
        <v>14999</v>
      </c>
      <c r="E59" s="27" t="n">
        <v>7130</v>
      </c>
      <c r="F59" s="27" t="n">
        <v>3794</v>
      </c>
    </row>
    <row r="60">
      <c r="A60" s="15" t="inlineStr">
        <is>
          <t>Bottom Line Net Income</t>
        </is>
      </c>
      <c r="B60" s="16" t="n">
        <v>5533</v>
      </c>
      <c r="C60" s="16" t="n">
        <v>12584</v>
      </c>
      <c r="D60" s="16" t="n">
        <v>14999</v>
      </c>
      <c r="E60" s="16" t="n">
        <v>7130</v>
      </c>
      <c r="F60" s="16" t="n">
        <v>3794</v>
      </c>
    </row>
    <row r="61" ht="18" customHeight="1">
      <c r="A61" s="25" t="inlineStr">
        <is>
          <t>Per Share</t>
        </is>
      </c>
    </row>
    <row r="62">
      <c r="A62" s="17" t="inlineStr">
        <is>
          <t>EPS (Basic)</t>
        </is>
      </c>
      <c r="B62" s="18" t="n">
        <v>1.87</v>
      </c>
      <c r="C62" s="18" t="n">
        <v>4.02</v>
      </c>
      <c r="D62" s="18" t="n">
        <v>4.73</v>
      </c>
      <c r="E62" s="18" t="n">
        <v>2.2302</v>
      </c>
      <c r="F62" s="18" t="n">
        <v>1.18</v>
      </c>
    </row>
    <row r="63">
      <c r="A63" s="17" t="inlineStr">
        <is>
          <t>EPS (Diluted)</t>
        </is>
      </c>
      <c r="B63" s="18" t="n"/>
      <c r="C63" s="18" t="n"/>
      <c r="D63" s="18" t="n"/>
      <c r="E63" s="18" t="n"/>
      <c r="F63" s="18" t="n"/>
    </row>
    <row r="64">
      <c r="A64" s="17" t="inlineStr">
        <is>
          <t>Shares Outstanding — Basic (mm)</t>
        </is>
      </c>
      <c r="B64" s="18" t="n">
        <v>2959</v>
      </c>
      <c r="C64" s="18" t="n">
        <v>3130</v>
      </c>
      <c r="D64" s="18" t="n">
        <v>3173.5</v>
      </c>
      <c r="E64" s="18" t="n">
        <v>3197</v>
      </c>
      <c r="F64" s="18" t="n">
        <v>3225</v>
      </c>
    </row>
    <row r="65">
      <c r="A65" s="17" t="inlineStr">
        <is>
          <t>Shares Outstanding — Diluted (mm)</t>
        </is>
      </c>
      <c r="B65" s="18" t="n">
        <v>3386</v>
      </c>
      <c r="C65" s="18" t="n">
        <v>3475</v>
      </c>
      <c r="D65" s="18" t="n">
        <v>3482.75</v>
      </c>
      <c r="E65" s="18" t="n">
        <v>3498</v>
      </c>
      <c r="F65" s="18" t="n">
        <v>3528</v>
      </c>
    </row>
    <row r="66" ht="18" customHeight="1">
      <c r="A66" s="25" t="inlineStr">
        <is>
          <t>Metadata</t>
        </is>
      </c>
    </row>
    <row r="67">
      <c r="A67" s="17" t="inlineStr">
        <is>
          <t>Reported Currency</t>
        </is>
      </c>
      <c r="B67" s="18" t="inlineStr">
        <is>
          <t>USD</t>
        </is>
      </c>
      <c r="C67" s="18" t="inlineStr">
        <is>
          <t>USD</t>
        </is>
      </c>
      <c r="D67" s="18" t="inlineStr">
        <is>
          <t>USD</t>
        </is>
      </c>
      <c r="E67" s="18" t="inlineStr">
        <is>
          <t>USD</t>
        </is>
      </c>
      <c r="F67" s="18" t="inlineStr">
        <is>
          <t>USD</t>
        </is>
      </c>
    </row>
  </sheetData>
  <mergeCells count="11">
    <mergeCell ref="A41:F41"/>
    <mergeCell ref="A2:F2"/>
    <mergeCell ref="A33:F33"/>
    <mergeCell ref="A54:F54"/>
    <mergeCell ref="A46:F46"/>
    <mergeCell ref="A66:F66"/>
    <mergeCell ref="A1:F1"/>
    <mergeCell ref="A27:F27"/>
    <mergeCell ref="A61:F61"/>
    <mergeCell ref="A4:F4"/>
    <mergeCell ref="A29:F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TSLA — Balance Sheet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BALANCE SHEET</t>
        </is>
      </c>
    </row>
    <row r="5">
      <c r="A5" s="17" t="inlineStr">
        <is>
          <t>(1)  Cash &amp; Cash Equivalents</t>
        </is>
      </c>
      <c r="B5" s="18" t="n">
        <v>17576</v>
      </c>
      <c r="C5" s="18" t="n">
        <v>16253</v>
      </c>
      <c r="D5" s="18" t="n">
        <v>16398</v>
      </c>
      <c r="E5" s="18" t="n">
        <v>16139</v>
      </c>
      <c r="F5" s="18" t="n">
        <v>16513</v>
      </c>
    </row>
    <row r="6">
      <c r="A6" s="17" t="inlineStr">
        <is>
          <t>(2)  Receivables</t>
        </is>
      </c>
      <c r="B6" s="18" t="n">
        <v>1913</v>
      </c>
      <c r="C6" s="18" t="n">
        <v>2952</v>
      </c>
      <c r="D6" s="18" t="n">
        <v>3508</v>
      </c>
      <c r="E6" s="18" t="n">
        <v>4418</v>
      </c>
      <c r="F6" s="18" t="n">
        <v>4576</v>
      </c>
    </row>
    <row r="7">
      <c r="A7" s="17" t="inlineStr">
        <is>
          <t>(3)  Inventory</t>
        </is>
      </c>
      <c r="B7" s="18" t="n">
        <v>5757</v>
      </c>
      <c r="C7" s="18" t="n">
        <v>12839</v>
      </c>
      <c r="D7" s="18" t="n">
        <v>13626</v>
      </c>
      <c r="E7" s="18" t="n">
        <v>12017</v>
      </c>
      <c r="F7" s="18" t="n">
        <v>12392</v>
      </c>
    </row>
    <row r="8">
      <c r="A8" s="17" t="inlineStr">
        <is>
          <t>(4)  Other Current Assets</t>
        </is>
      </c>
      <c r="B8" s="23">
        <f>IFERROR(B9-B5-B6-B7,"")</f>
        <v/>
      </c>
      <c r="C8" s="23">
        <f>IFERROR(C9-C5-C6-C7,"")</f>
        <v/>
      </c>
      <c r="D8" s="23">
        <f>IFERROR(D9-D5-D6-D7,"")</f>
        <v/>
      </c>
      <c r="E8" s="23">
        <f>IFERROR(E9-E5-E6-E7,"")</f>
        <v/>
      </c>
      <c r="F8" s="23">
        <f>IFERROR(F9-F5-F6-F7,"")</f>
        <v/>
      </c>
    </row>
    <row r="9">
      <c r="A9" s="19" t="inlineStr">
        <is>
          <t>(5)  Total Current Assets</t>
        </is>
      </c>
      <c r="B9" s="24" t="n">
        <v>27100</v>
      </c>
      <c r="C9" s="24" t="n">
        <v>40917</v>
      </c>
      <c r="D9" s="24" t="n">
        <v>49616</v>
      </c>
      <c r="E9" s="24" t="n">
        <v>58360</v>
      </c>
      <c r="F9" s="24" t="n">
        <v>68642</v>
      </c>
    </row>
    <row r="10">
      <c r="A10" s="17" t="inlineStr">
        <is>
          <t>(6)  PP&amp;E (Net)</t>
        </is>
      </c>
      <c r="B10" s="18" t="n">
        <v>31176</v>
      </c>
      <c r="C10" s="18" t="n">
        <v>36635</v>
      </c>
      <c r="D10" s="18" t="n">
        <v>45123</v>
      </c>
      <c r="E10" s="18" t="n">
        <v>51507</v>
      </c>
      <c r="F10" s="18" t="n">
        <v>40643</v>
      </c>
    </row>
    <row r="11">
      <c r="A11" s="17" t="inlineStr">
        <is>
          <t>(7)  Goodwill</t>
        </is>
      </c>
      <c r="B11" s="18" t="n">
        <v>200</v>
      </c>
      <c r="C11" s="18" t="n">
        <v>194</v>
      </c>
      <c r="D11" s="18" t="n">
        <v>253</v>
      </c>
      <c r="E11" s="18" t="n">
        <v>244</v>
      </c>
      <c r="F11" s="18" t="n">
        <v>257</v>
      </c>
    </row>
    <row r="12">
      <c r="A12" s="17" t="inlineStr">
        <is>
          <t>(8)  Deferred Tax Assets</t>
        </is>
      </c>
      <c r="B12" s="18" t="n">
        <v>0</v>
      </c>
      <c r="C12" s="18" t="n">
        <v>328</v>
      </c>
      <c r="D12" s="18" t="n">
        <v>6733</v>
      </c>
      <c r="E12" s="18" t="n">
        <v>6524</v>
      </c>
      <c r="F12" s="18" t="n">
        <v>6925</v>
      </c>
    </row>
    <row r="13">
      <c r="A13" s="17" t="inlineStr">
        <is>
          <t>(9)  Other LT Assets</t>
        </is>
      </c>
      <c r="B13" s="23">
        <f>IFERROR(B14-B10-B11-B12,"")</f>
        <v/>
      </c>
      <c r="C13" s="23">
        <f>IFERROR(C14-C10-C11-C12,"")</f>
        <v/>
      </c>
      <c r="D13" s="23">
        <f>IFERROR(D14-D10-D11-D12,"")</f>
        <v/>
      </c>
      <c r="E13" s="23">
        <f>IFERROR(E14-E10-E11-E12,"")</f>
        <v/>
      </c>
      <c r="F13" s="23">
        <f>IFERROR(F14-F10-F11-F12,"")</f>
        <v/>
      </c>
    </row>
    <row r="14">
      <c r="A14" s="19" t="inlineStr">
        <is>
          <t>(10) Total LT Assets</t>
        </is>
      </c>
      <c r="B14" s="24" t="n">
        <v>35027</v>
      </c>
      <c r="C14" s="24" t="n">
        <v>41421</v>
      </c>
      <c r="D14" s="24" t="n">
        <v>57003</v>
      </c>
      <c r="E14" s="24" t="n">
        <v>63716</v>
      </c>
      <c r="F14" s="24" t="n">
        <v>69164</v>
      </c>
    </row>
    <row r="15">
      <c r="A15" s="19" t="inlineStr">
        <is>
          <t>(11) Total Assets</t>
        </is>
      </c>
      <c r="B15" s="24" t="n">
        <v>62131</v>
      </c>
      <c r="C15" s="24" t="n">
        <v>82338</v>
      </c>
      <c r="D15" s="24" t="n">
        <v>106618</v>
      </c>
      <c r="E15" s="24" t="n">
        <v>122070</v>
      </c>
      <c r="F15" s="24" t="n">
        <v>137806</v>
      </c>
    </row>
    <row r="16" ht="6" customHeight="1"/>
    <row r="17">
      <c r="A17" s="17" t="inlineStr">
        <is>
          <t>(12) Accounts Payable</t>
        </is>
      </c>
      <c r="B17" s="18" t="n">
        <v>10025</v>
      </c>
      <c r="C17" s="18" t="n">
        <v>15255</v>
      </c>
      <c r="D17" s="18" t="n">
        <v>14431</v>
      </c>
      <c r="E17" s="18" t="n">
        <v>12474</v>
      </c>
      <c r="F17" s="18" t="n">
        <v>13371</v>
      </c>
    </row>
    <row r="18">
      <c r="A18" s="17" t="inlineStr">
        <is>
          <t>(13) Short-Term Borrowings</t>
        </is>
      </c>
      <c r="B18" s="18" t="n">
        <v>1088</v>
      </c>
      <c r="C18" s="18" t="n">
        <v>1016</v>
      </c>
      <c r="D18" s="18" t="n">
        <v>1975</v>
      </c>
      <c r="E18" s="18" t="n">
        <v>2343</v>
      </c>
      <c r="F18" s="18" t="n">
        <v>1640</v>
      </c>
    </row>
    <row r="19">
      <c r="A19" s="17" t="inlineStr">
        <is>
          <t>(14) Short-Term Leases</t>
        </is>
      </c>
      <c r="B19" s="18" t="n"/>
      <c r="C19" s="18" t="n"/>
      <c r="D19" s="18" t="n"/>
      <c r="E19" s="18" t="n"/>
      <c r="F19" s="18" t="n"/>
    </row>
    <row r="20">
      <c r="A20" s="17" t="inlineStr">
        <is>
          <t>(15) Other Current Liabilities</t>
        </is>
      </c>
      <c r="B20" s="23">
        <f>IFERROR(B21-B17-B18-B19,"")</f>
        <v/>
      </c>
      <c r="C20" s="23">
        <f>IFERROR(C21-C17-C18-C19,"")</f>
        <v/>
      </c>
      <c r="D20" s="23">
        <f>IFERROR(D21-D17-D18-D19,"")</f>
        <v/>
      </c>
      <c r="E20" s="23">
        <f>IFERROR(E21-E17-E18-E19,"")</f>
        <v/>
      </c>
      <c r="F20" s="23">
        <f>IFERROR(F21-F17-F18-F19,"")</f>
        <v/>
      </c>
    </row>
    <row r="21">
      <c r="A21" s="19" t="inlineStr">
        <is>
          <t>(16) Total Current Liabilities</t>
        </is>
      </c>
      <c r="B21" s="24" t="n">
        <v>19705</v>
      </c>
      <c r="C21" s="24" t="n">
        <v>26709</v>
      </c>
      <c r="D21" s="24" t="n">
        <v>28748</v>
      </c>
      <c r="E21" s="24" t="n">
        <v>28821</v>
      </c>
      <c r="F21" s="24" t="n">
        <v>31714</v>
      </c>
    </row>
    <row r="22">
      <c r="A22" s="17" t="inlineStr">
        <is>
          <t>(17) Long-Term Debt</t>
        </is>
      </c>
      <c r="B22" s="18" t="n">
        <v>4254</v>
      </c>
      <c r="C22" s="18" t="n">
        <v>1029</v>
      </c>
      <c r="D22" s="18" t="n">
        <v>2682</v>
      </c>
      <c r="E22" s="18" t="n">
        <v>5535</v>
      </c>
      <c r="F22" s="18" t="n">
        <v>6736</v>
      </c>
    </row>
    <row r="23">
      <c r="A23" s="17" t="inlineStr">
        <is>
          <t>(18) Long-Term Leases</t>
        </is>
      </c>
      <c r="B23" s="18" t="n"/>
      <c r="C23" s="18" t="n"/>
      <c r="D23" s="18" t="n"/>
      <c r="E23" s="18" t="n"/>
      <c r="F23" s="18" t="n"/>
    </row>
    <row r="24">
      <c r="A24" s="17" t="inlineStr">
        <is>
          <t>(19) Other LT Liabilities</t>
        </is>
      </c>
      <c r="B24" s="23">
        <f>IFERROR(B25-B21-B22-B23,"")</f>
        <v/>
      </c>
      <c r="C24" s="23">
        <f>IFERROR(C25-C21-C22-C23,"")</f>
        <v/>
      </c>
      <c r="D24" s="23">
        <f>IFERROR(D25-D21-D22-D23,"")</f>
        <v/>
      </c>
      <c r="E24" s="23">
        <f>IFERROR(E25-E21-E22-E23,"")</f>
        <v/>
      </c>
      <c r="F24" s="23">
        <f>IFERROR(F25-F21-F22-F23,"")</f>
        <v/>
      </c>
    </row>
    <row r="25">
      <c r="A25" s="19" t="inlineStr">
        <is>
          <t>(20) Total Liabilities</t>
        </is>
      </c>
      <c r="B25" s="24" t="n">
        <v>30548</v>
      </c>
      <c r="C25" s="24" t="n">
        <v>36440</v>
      </c>
      <c r="D25" s="24" t="n">
        <v>43009</v>
      </c>
      <c r="E25" s="24" t="n">
        <v>48390</v>
      </c>
      <c r="F25" s="24" t="n">
        <v>54941</v>
      </c>
    </row>
    <row r="26" ht="6" customHeight="1"/>
    <row r="27">
      <c r="A27" s="17" t="inlineStr">
        <is>
          <t>(21) Common Stock &amp; APIC</t>
        </is>
      </c>
      <c r="B27" s="18" t="n">
        <v>3</v>
      </c>
      <c r="C27" s="18" t="n">
        <v>3</v>
      </c>
      <c r="D27" s="18" t="n">
        <v>3</v>
      </c>
      <c r="E27" s="18" t="n">
        <v>3</v>
      </c>
      <c r="F27" s="18" t="n">
        <v>3</v>
      </c>
    </row>
    <row r="28">
      <c r="A28" s="17" t="inlineStr">
        <is>
          <t>(22) Retained Earnings</t>
        </is>
      </c>
      <c r="B28" s="18" t="n">
        <v>329</v>
      </c>
      <c r="C28" s="18" t="n">
        <v>12885</v>
      </c>
      <c r="D28" s="18" t="n">
        <v>27882</v>
      </c>
      <c r="E28" s="18" t="n">
        <v>35209</v>
      </c>
      <c r="F28" s="18" t="n">
        <v>39003</v>
      </c>
    </row>
    <row r="29">
      <c r="A29" s="17" t="inlineStr">
        <is>
          <t>(23) Other Equity</t>
        </is>
      </c>
      <c r="B29" s="23">
        <f>IFERROR(B30-B27-B28,"")</f>
        <v/>
      </c>
      <c r="C29" s="23">
        <f>IFERROR(C30-C27-C28,"")</f>
        <v/>
      </c>
      <c r="D29" s="23">
        <f>IFERROR(D30-D27-D28,"")</f>
        <v/>
      </c>
      <c r="E29" s="23">
        <f>IFERROR(E30-E27-E28,"")</f>
        <v/>
      </c>
      <c r="F29" s="23">
        <f>IFERROR(F30-F27-F28,"")</f>
        <v/>
      </c>
    </row>
    <row r="30">
      <c r="A30" s="19" t="inlineStr">
        <is>
          <t>(24) Total Equity</t>
        </is>
      </c>
      <c r="B30" s="24" t="n">
        <v>30189</v>
      </c>
      <c r="C30" s="24" t="n">
        <v>44704</v>
      </c>
      <c r="D30" s="24" t="n">
        <v>62634</v>
      </c>
      <c r="E30" s="24" t="n">
        <v>72913</v>
      </c>
      <c r="F30" s="24" t="n">
        <v>82137</v>
      </c>
    </row>
    <row r="31">
      <c r="A31" s="19" t="inlineStr">
        <is>
          <t>(25) Total Liabilities &amp; Equity</t>
        </is>
      </c>
      <c r="B31" s="20">
        <f>B25+B30</f>
        <v/>
      </c>
      <c r="C31" s="20">
        <f>C25+C30</f>
        <v/>
      </c>
      <c r="D31" s="20">
        <f>D25+D30</f>
        <v/>
      </c>
      <c r="E31" s="20">
        <f>E25+E30</f>
        <v/>
      </c>
      <c r="F31" s="20">
        <f>F25+F30</f>
        <v/>
      </c>
    </row>
    <row r="32" ht="6" customHeight="1"/>
    <row r="33" ht="18" customHeight="1">
      <c r="A33" s="10" t="inlineStr">
        <is>
          <t>DETAIL — ALL LINE ITEMS FROM FMP</t>
        </is>
      </c>
    </row>
    <row r="34" ht="18" customHeight="1">
      <c r="A34" s="13" t="inlineStr">
        <is>
          <t>Fiscal Year Ending</t>
        </is>
      </c>
      <c r="B34" s="14" t="inlineStr">
        <is>
          <t>2021</t>
        </is>
      </c>
      <c r="C34" s="14" t="inlineStr">
        <is>
          <t>2022</t>
        </is>
      </c>
      <c r="D34" s="14" t="inlineStr">
        <is>
          <t>2023</t>
        </is>
      </c>
      <c r="E34" s="14" t="inlineStr">
        <is>
          <t>2024</t>
        </is>
      </c>
      <c r="F34" s="14" t="inlineStr">
        <is>
          <t>2025</t>
        </is>
      </c>
    </row>
    <row r="35" ht="18" customHeight="1">
      <c r="A35" s="25" t="inlineStr">
        <is>
          <t>Current Assets</t>
        </is>
      </c>
    </row>
    <row r="36">
      <c r="A36" s="17" t="inlineStr">
        <is>
          <t>Cash &amp; Cash Equivalents</t>
        </is>
      </c>
      <c r="B36" s="18" t="n">
        <v>17576</v>
      </c>
      <c r="C36" s="18" t="n">
        <v>16253</v>
      </c>
      <c r="D36" s="18" t="n">
        <v>16398</v>
      </c>
      <c r="E36" s="18" t="n">
        <v>16139</v>
      </c>
      <c r="F36" s="18" t="n">
        <v>16513</v>
      </c>
    </row>
    <row r="37">
      <c r="A37" s="17" t="inlineStr">
        <is>
          <t>Short-Term Investments</t>
        </is>
      </c>
      <c r="B37" s="18" t="n">
        <v>131</v>
      </c>
      <c r="C37" s="18" t="n">
        <v>5932</v>
      </c>
      <c r="D37" s="18" t="n">
        <v>12696</v>
      </c>
      <c r="E37" s="18" t="n">
        <v>20424</v>
      </c>
      <c r="F37" s="18" t="n">
        <v>27546</v>
      </c>
    </row>
    <row r="38">
      <c r="A38" s="28" t="inlineStr">
        <is>
          <t>Cash &amp; Short-Term Investments</t>
        </is>
      </c>
      <c r="B38" s="29" t="n">
        <v>17707</v>
      </c>
      <c r="C38" s="29" t="n">
        <v>22185</v>
      </c>
      <c r="D38" s="29" t="n">
        <v>29094</v>
      </c>
      <c r="E38" s="29" t="n">
        <v>36563</v>
      </c>
      <c r="F38" s="29" t="n">
        <v>44059</v>
      </c>
    </row>
    <row r="39">
      <c r="A39" s="17" t="inlineStr">
        <is>
          <t>Accounts Receivable (Trade)</t>
        </is>
      </c>
      <c r="B39" s="18" t="n">
        <v>1913</v>
      </c>
      <c r="C39" s="18" t="n">
        <v>2952</v>
      </c>
      <c r="D39" s="18" t="n">
        <v>3508</v>
      </c>
      <c r="E39" s="18" t="n">
        <v>4418</v>
      </c>
      <c r="F39" s="18" t="n">
        <v>4576</v>
      </c>
    </row>
    <row r="40">
      <c r="A40" s="17" t="inlineStr">
        <is>
          <t>Other Receivables</t>
        </is>
      </c>
      <c r="B40" s="18" t="n">
        <v>0</v>
      </c>
      <c r="C40" s="18" t="n">
        <v>0</v>
      </c>
      <c r="D40" s="18" t="n">
        <v>0</v>
      </c>
      <c r="E40" s="18" t="n">
        <v>0</v>
      </c>
      <c r="F40" s="18" t="n">
        <v>0</v>
      </c>
    </row>
    <row r="41">
      <c r="A41" s="28" t="inlineStr">
        <is>
          <t>Net Receivables (Total)</t>
        </is>
      </c>
      <c r="B41" s="29" t="n">
        <v>1913</v>
      </c>
      <c r="C41" s="29" t="n">
        <v>2952</v>
      </c>
      <c r="D41" s="29" t="n">
        <v>3508</v>
      </c>
      <c r="E41" s="29" t="n">
        <v>4418</v>
      </c>
      <c r="F41" s="29" t="n">
        <v>4576</v>
      </c>
    </row>
    <row r="42">
      <c r="A42" s="17" t="inlineStr">
        <is>
          <t>Inventory</t>
        </is>
      </c>
      <c r="B42" s="18" t="n">
        <v>5757</v>
      </c>
      <c r="C42" s="18" t="n">
        <v>12839</v>
      </c>
      <c r="D42" s="18" t="n">
        <v>13626</v>
      </c>
      <c r="E42" s="18" t="n">
        <v>12017</v>
      </c>
      <c r="F42" s="18" t="n">
        <v>12392</v>
      </c>
    </row>
    <row r="43">
      <c r="A43" s="17" t="inlineStr">
        <is>
          <t>Prepaids</t>
        </is>
      </c>
      <c r="B43" s="18" t="n">
        <v>1723</v>
      </c>
      <c r="C43" s="18" t="n">
        <v>0</v>
      </c>
      <c r="D43" s="18" t="n">
        <v>0</v>
      </c>
      <c r="E43" s="18" t="n">
        <v>0</v>
      </c>
      <c r="F43" s="18" t="n">
        <v>0</v>
      </c>
    </row>
    <row r="44">
      <c r="A44" s="17" t="inlineStr">
        <is>
          <t>Other Current Assets</t>
        </is>
      </c>
      <c r="B44" s="18" t="n">
        <v>0</v>
      </c>
      <c r="C44" s="18" t="n">
        <v>2941</v>
      </c>
      <c r="D44" s="18" t="n">
        <v>3388</v>
      </c>
      <c r="E44" s="18" t="n">
        <v>5362</v>
      </c>
      <c r="F44" s="18" t="n">
        <v>7615</v>
      </c>
    </row>
    <row r="45">
      <c r="A45" s="26" t="inlineStr">
        <is>
          <t>Total Current Assets</t>
        </is>
      </c>
      <c r="B45" s="27" t="n">
        <v>27100</v>
      </c>
      <c r="C45" s="27" t="n">
        <v>40917</v>
      </c>
      <c r="D45" s="27" t="n">
        <v>49616</v>
      </c>
      <c r="E45" s="27" t="n">
        <v>58360</v>
      </c>
      <c r="F45" s="27" t="n">
        <v>68642</v>
      </c>
    </row>
    <row r="46" ht="18" customHeight="1">
      <c r="A46" s="25" t="inlineStr">
        <is>
          <t>Non-Current Assets</t>
        </is>
      </c>
    </row>
    <row r="47">
      <c r="A47" s="17" t="inlineStr">
        <is>
          <t>PP&amp;E (Net)</t>
        </is>
      </c>
      <c r="B47" s="18" t="n">
        <v>31176</v>
      </c>
      <c r="C47" s="18" t="n">
        <v>36635</v>
      </c>
      <c r="D47" s="18" t="n">
        <v>45123</v>
      </c>
      <c r="E47" s="18" t="n">
        <v>51507</v>
      </c>
      <c r="F47" s="18" t="n">
        <v>40643</v>
      </c>
    </row>
    <row r="48">
      <c r="A48" s="17" t="inlineStr">
        <is>
          <t>Goodwill</t>
        </is>
      </c>
      <c r="B48" s="18" t="n">
        <v>200</v>
      </c>
      <c r="C48" s="18" t="n">
        <v>194</v>
      </c>
      <c r="D48" s="18" t="n">
        <v>253</v>
      </c>
      <c r="E48" s="18" t="n">
        <v>244</v>
      </c>
      <c r="F48" s="18" t="n">
        <v>257</v>
      </c>
    </row>
    <row r="49">
      <c r="A49" s="17" t="inlineStr">
        <is>
          <t>Intangible Assets</t>
        </is>
      </c>
      <c r="B49" s="18" t="n">
        <v>1517</v>
      </c>
      <c r="C49" s="18" t="n">
        <v>399</v>
      </c>
      <c r="D49" s="18" t="n">
        <v>362</v>
      </c>
      <c r="E49" s="18" t="n">
        <v>1226</v>
      </c>
      <c r="F49" s="18" t="n">
        <v>135</v>
      </c>
    </row>
    <row r="50">
      <c r="A50" s="17" t="inlineStr">
        <is>
          <t>Long-Term Investments</t>
        </is>
      </c>
      <c r="B50" s="18" t="n">
        <v>522</v>
      </c>
      <c r="C50" s="18" t="n">
        <v>657</v>
      </c>
      <c r="D50" s="18" t="n">
        <v>0</v>
      </c>
      <c r="E50" s="18" t="n">
        <v>0</v>
      </c>
      <c r="F50" s="18" t="n">
        <v>0</v>
      </c>
    </row>
    <row r="51">
      <c r="A51" s="17" t="inlineStr">
        <is>
          <t>Tax Assets (Deferred)</t>
        </is>
      </c>
      <c r="B51" s="18" t="n">
        <v>0</v>
      </c>
      <c r="C51" s="18" t="n">
        <v>328</v>
      </c>
      <c r="D51" s="18" t="n">
        <v>6733</v>
      </c>
      <c r="E51" s="18" t="n">
        <v>6524</v>
      </c>
      <c r="F51" s="18" t="n">
        <v>6925</v>
      </c>
    </row>
    <row r="52">
      <c r="A52" s="17" t="inlineStr">
        <is>
          <t>Total Investments</t>
        </is>
      </c>
      <c r="B52" s="18" t="n">
        <v>653</v>
      </c>
      <c r="C52" s="18" t="n">
        <v>6589</v>
      </c>
      <c r="D52" s="18" t="n">
        <v>12696</v>
      </c>
      <c r="E52" s="18" t="n">
        <v>20424</v>
      </c>
      <c r="F52" s="18" t="n">
        <v>27546</v>
      </c>
    </row>
    <row r="53">
      <c r="A53" s="17" t="inlineStr">
        <is>
          <t>Other Non-Current Assets</t>
        </is>
      </c>
      <c r="B53" s="18" t="n">
        <v>1612</v>
      </c>
      <c r="C53" s="18" t="n">
        <v>3208</v>
      </c>
      <c r="D53" s="18" t="n">
        <v>4532</v>
      </c>
      <c r="E53" s="18" t="n">
        <v>4215</v>
      </c>
      <c r="F53" s="18" t="n">
        <v>21204</v>
      </c>
    </row>
    <row r="54">
      <c r="A54" s="26" t="inlineStr">
        <is>
          <t>Total Non-Current Assets</t>
        </is>
      </c>
      <c r="B54" s="27" t="n">
        <v>35027</v>
      </c>
      <c r="C54" s="27" t="n">
        <v>41421</v>
      </c>
      <c r="D54" s="27" t="n">
        <v>57003</v>
      </c>
      <c r="E54" s="27" t="n">
        <v>63716</v>
      </c>
      <c r="F54" s="27" t="n">
        <v>69164</v>
      </c>
    </row>
    <row r="55">
      <c r="A55" s="13" t="inlineStr">
        <is>
          <t>TOTAL ASSETS</t>
        </is>
      </c>
      <c r="B55" s="30" t="n">
        <v>62131</v>
      </c>
      <c r="C55" s="30" t="n">
        <v>82338</v>
      </c>
      <c r="D55" s="30" t="n">
        <v>106618</v>
      </c>
      <c r="E55" s="30" t="n">
        <v>122070</v>
      </c>
      <c r="F55" s="30" t="n">
        <v>137806</v>
      </c>
    </row>
    <row r="56" ht="18" customHeight="1">
      <c r="A56" s="25" t="inlineStr">
        <is>
          <t>Current Liabilities</t>
        </is>
      </c>
    </row>
    <row r="57">
      <c r="A57" s="17" t="inlineStr">
        <is>
          <t>Accounts Payable</t>
        </is>
      </c>
      <c r="B57" s="18" t="n">
        <v>10025</v>
      </c>
      <c r="C57" s="18" t="n">
        <v>15255</v>
      </c>
      <c r="D57" s="18" t="n">
        <v>14431</v>
      </c>
      <c r="E57" s="18" t="n">
        <v>12474</v>
      </c>
      <c r="F57" s="18" t="n">
        <v>13371</v>
      </c>
    </row>
    <row r="58">
      <c r="A58" s="17" t="inlineStr">
        <is>
          <t>Short-Term Debt</t>
        </is>
      </c>
      <c r="B58" s="18" t="n">
        <v>1088</v>
      </c>
      <c r="C58" s="18" t="n">
        <v>1016</v>
      </c>
      <c r="D58" s="18" t="n">
        <v>1975</v>
      </c>
      <c r="E58" s="18" t="n">
        <v>2343</v>
      </c>
      <c r="F58" s="18" t="n">
        <v>1640</v>
      </c>
    </row>
    <row r="59">
      <c r="A59" s="17" t="inlineStr">
        <is>
          <t>Short-Term Lease Liabilities</t>
        </is>
      </c>
      <c r="B59" s="18" t="n"/>
      <c r="C59" s="18" t="n"/>
      <c r="D59" s="18" t="n"/>
      <c r="E59" s="18" t="n"/>
      <c r="F59" s="18" t="n"/>
    </row>
    <row r="60">
      <c r="A60" s="17" t="inlineStr">
        <is>
          <t>Deferred Revenue (Current)</t>
        </is>
      </c>
      <c r="B60" s="18" t="n">
        <v>2372</v>
      </c>
      <c r="C60" s="18" t="n">
        <v>2810</v>
      </c>
      <c r="D60" s="18" t="n">
        <v>3740</v>
      </c>
      <c r="E60" s="18" t="n">
        <v>4161</v>
      </c>
      <c r="F60" s="18" t="n">
        <v>3424</v>
      </c>
    </row>
    <row r="61">
      <c r="A61" s="17" t="inlineStr">
        <is>
          <t>Accrued &amp; Other Current Liabilities</t>
        </is>
      </c>
      <c r="B61" s="18" t="n">
        <v>1278</v>
      </c>
      <c r="C61" s="18" t="n">
        <v>1649</v>
      </c>
      <c r="D61" s="18" t="n">
        <v>2282</v>
      </c>
      <c r="E61" s="18" t="n">
        <v>3771</v>
      </c>
      <c r="F61" s="18" t="n">
        <v>9494</v>
      </c>
    </row>
    <row r="62">
      <c r="A62" s="17" t="inlineStr">
        <is>
          <t>Other Current Liabilities</t>
        </is>
      </c>
      <c r="B62" s="23">
        <f>IFERROR(B63-B57-B58-B59-B60-B61,"")</f>
        <v/>
      </c>
      <c r="C62" s="23">
        <f>IFERROR(C63-C57-C58-C59-C60-C61,"")</f>
        <v/>
      </c>
      <c r="D62" s="23">
        <f>IFERROR(D63-D57-D58-D59-D60-D61,"")</f>
        <v/>
      </c>
      <c r="E62" s="23">
        <f>IFERROR(E63-E57-E58-E59-E60-E61,"")</f>
        <v/>
      </c>
      <c r="F62" s="23">
        <f>IFERROR(F63-F57-F58-F59-F60-F61,"")</f>
        <v/>
      </c>
    </row>
    <row r="63">
      <c r="A63" s="26" t="inlineStr">
        <is>
          <t>Total Current Liabilities</t>
        </is>
      </c>
      <c r="B63" s="27" t="n">
        <v>19705</v>
      </c>
      <c r="C63" s="27" t="n">
        <v>26709</v>
      </c>
      <c r="D63" s="27" t="n">
        <v>28748</v>
      </c>
      <c r="E63" s="27" t="n">
        <v>28821</v>
      </c>
      <c r="F63" s="27" t="n">
        <v>31714</v>
      </c>
    </row>
    <row r="64" ht="18" customHeight="1">
      <c r="A64" s="25" t="inlineStr">
        <is>
          <t>Non-Current Liabilities</t>
        </is>
      </c>
    </row>
    <row r="65">
      <c r="A65" s="17" t="inlineStr">
        <is>
          <t>Long-Term Debt</t>
        </is>
      </c>
      <c r="B65" s="18" t="n">
        <v>4254</v>
      </c>
      <c r="C65" s="18" t="n">
        <v>1029</v>
      </c>
      <c r="D65" s="18" t="n">
        <v>2682</v>
      </c>
      <c r="E65" s="18" t="n">
        <v>5535</v>
      </c>
      <c r="F65" s="18" t="n">
        <v>6736</v>
      </c>
    </row>
    <row r="66">
      <c r="A66" s="17" t="inlineStr">
        <is>
          <t>Long-Term Operating Lease Liabilities</t>
        </is>
      </c>
      <c r="B66" s="18" t="n"/>
      <c r="C66" s="18" t="n"/>
      <c r="D66" s="18" t="n"/>
      <c r="E66" s="18" t="n"/>
      <c r="F66" s="18" t="n"/>
    </row>
    <row r="67">
      <c r="A67" s="17" t="inlineStr">
        <is>
          <t>Deferred Revenue (Non-Current)</t>
        </is>
      </c>
      <c r="B67" s="18" t="n">
        <v>2052</v>
      </c>
      <c r="C67" s="18" t="n">
        <v>2804</v>
      </c>
      <c r="D67" s="18" t="n">
        <v>3251</v>
      </c>
      <c r="E67" s="18" t="n">
        <v>3317</v>
      </c>
      <c r="F67" s="18" t="n">
        <v>3631</v>
      </c>
    </row>
    <row r="68">
      <c r="A68" s="17" t="inlineStr">
        <is>
          <t>Deferred Tax Liabilities</t>
        </is>
      </c>
      <c r="B68" s="18" t="n">
        <v>24</v>
      </c>
      <c r="C68" s="18" t="n">
        <v>82</v>
      </c>
      <c r="D68" s="18" t="n">
        <v>0</v>
      </c>
      <c r="E68" s="18" t="n">
        <v>0</v>
      </c>
      <c r="F68" s="18" t="n">
        <v>0</v>
      </c>
    </row>
    <row r="69">
      <c r="A69" s="17" t="inlineStr">
        <is>
          <t>Other Non-Current Liabilities</t>
        </is>
      </c>
      <c r="B69" s="18" t="n">
        <v>1851</v>
      </c>
      <c r="C69" s="18" t="n">
        <v>3084</v>
      </c>
      <c r="D69" s="18" t="n">
        <v>4482</v>
      </c>
      <c r="E69" s="18" t="n">
        <v>5892</v>
      </c>
      <c r="F69" s="18" t="n">
        <v>12860</v>
      </c>
    </row>
    <row r="70">
      <c r="A70" s="26" t="inlineStr">
        <is>
          <t>Total Non-Current Liabilities</t>
        </is>
      </c>
      <c r="B70" s="31">
        <f>IFERROR(B65+B66+B67+B68+B69,"")</f>
        <v/>
      </c>
      <c r="C70" s="31">
        <f>IFERROR(C65+C66+C67+C68+C69,"")</f>
        <v/>
      </c>
      <c r="D70" s="31">
        <f>IFERROR(D65+D66+D67+D68+D69,"")</f>
        <v/>
      </c>
      <c r="E70" s="31">
        <f>IFERROR(E65+E66+E67+E68+E69,"")</f>
        <v/>
      </c>
      <c r="F70" s="31">
        <f>IFERROR(F65+F66+F67+F68+F69,"")</f>
        <v/>
      </c>
    </row>
    <row r="71">
      <c r="A71" s="13" t="inlineStr">
        <is>
          <t>TOTAL LIABILITIES</t>
        </is>
      </c>
      <c r="B71" s="30" t="n">
        <v>30548</v>
      </c>
      <c r="C71" s="30" t="n">
        <v>36440</v>
      </c>
      <c r="D71" s="30" t="n">
        <v>43009</v>
      </c>
      <c r="E71" s="30" t="n">
        <v>48390</v>
      </c>
      <c r="F71" s="30" t="n">
        <v>54941</v>
      </c>
    </row>
    <row r="72" ht="18" customHeight="1">
      <c r="A72" s="25" t="inlineStr">
        <is>
          <t>Shareholders' Equity</t>
        </is>
      </c>
    </row>
    <row r="73">
      <c r="A73" s="17" t="inlineStr">
        <is>
          <t>Common Stock &amp; APIC</t>
        </is>
      </c>
      <c r="B73" s="18" t="n">
        <v>3</v>
      </c>
      <c r="C73" s="18" t="n">
        <v>3</v>
      </c>
      <c r="D73" s="18" t="n">
        <v>3</v>
      </c>
      <c r="E73" s="18" t="n">
        <v>3</v>
      </c>
      <c r="F73" s="18" t="n">
        <v>3</v>
      </c>
    </row>
    <row r="74">
      <c r="A74" s="17" t="inlineStr">
        <is>
          <t>Retained Earnings</t>
        </is>
      </c>
      <c r="B74" s="18" t="n">
        <v>329</v>
      </c>
      <c r="C74" s="18" t="n">
        <v>12885</v>
      </c>
      <c r="D74" s="18" t="n">
        <v>27882</v>
      </c>
      <c r="E74" s="18" t="n">
        <v>35209</v>
      </c>
      <c r="F74" s="18" t="n">
        <v>39003</v>
      </c>
    </row>
    <row r="75">
      <c r="A75" s="17" t="inlineStr">
        <is>
          <t>Other Total Stockholders Equity</t>
        </is>
      </c>
      <c r="B75" s="23">
        <f>IFERROR(B78-B73-B74-B77,"")</f>
        <v/>
      </c>
      <c r="C75" s="23">
        <f>IFERROR(C78-C73-C74-C77,"")</f>
        <v/>
      </c>
      <c r="D75" s="23">
        <f>IFERROR(D78-D73-D74-D77,"")</f>
        <v/>
      </c>
      <c r="E75" s="23">
        <f>IFERROR(E78-E73-E74-E77,"")</f>
        <v/>
      </c>
      <c r="F75" s="23">
        <f>IFERROR(F78-F73-F74-F77,"")</f>
        <v/>
      </c>
    </row>
    <row r="76">
      <c r="A76" s="26" t="inlineStr">
        <is>
          <t>Total Stockholders Equity</t>
        </is>
      </c>
      <c r="B76" s="31">
        <f>IFERROR(B73+B74+B75,"")</f>
        <v/>
      </c>
      <c r="C76" s="31">
        <f>IFERROR(C73+C74+C75,"")</f>
        <v/>
      </c>
      <c r="D76" s="31">
        <f>IFERROR(D73+D74+D75,"")</f>
        <v/>
      </c>
      <c r="E76" s="31">
        <f>IFERROR(E73+E74+E75,"")</f>
        <v/>
      </c>
      <c r="F76" s="31">
        <f>IFERROR(F73+F74+F75,"")</f>
        <v/>
      </c>
    </row>
    <row r="77">
      <c r="A77" s="17" t="inlineStr">
        <is>
          <t>Minority Interest</t>
        </is>
      </c>
      <c r="B77" s="18" t="n">
        <v>1394</v>
      </c>
      <c r="C77" s="18" t="n">
        <v>1194</v>
      </c>
      <c r="D77" s="18" t="n">
        <v>975</v>
      </c>
      <c r="E77" s="18" t="n">
        <v>767</v>
      </c>
      <c r="F77" s="18" t="n">
        <v>728</v>
      </c>
    </row>
    <row r="78">
      <c r="A78" s="26" t="inlineStr">
        <is>
          <t>Total Equity (inc. Minority)</t>
        </is>
      </c>
      <c r="B78" s="27" t="n">
        <v>31583</v>
      </c>
      <c r="C78" s="27" t="n">
        <v>45898</v>
      </c>
      <c r="D78" s="27" t="n">
        <v>63609</v>
      </c>
      <c r="E78" s="27" t="n">
        <v>73680</v>
      </c>
      <c r="F78" s="27" t="n">
        <v>82865</v>
      </c>
    </row>
    <row r="79" ht="18" customHeight="1">
      <c r="A79" s="25" t="inlineStr">
        <is>
          <t>Key Derived Balances</t>
        </is>
      </c>
    </row>
    <row r="80">
      <c r="A80" s="15" t="inlineStr">
        <is>
          <t>Total Debt (ST + LT)</t>
        </is>
      </c>
      <c r="B80" s="32">
        <f>B18+B22</f>
        <v/>
      </c>
      <c r="C80" s="32">
        <f>C18+C22</f>
        <v/>
      </c>
      <c r="D80" s="32">
        <f>D18+D22</f>
        <v/>
      </c>
      <c r="E80" s="32">
        <f>E18+E22</f>
        <v/>
      </c>
      <c r="F80" s="32">
        <f>F18+F22</f>
        <v/>
      </c>
    </row>
    <row r="81">
      <c r="A81" s="15" t="inlineStr">
        <is>
          <t>Net Debt</t>
        </is>
      </c>
      <c r="B81" s="32">
        <f>B80-B5</f>
        <v/>
      </c>
      <c r="C81" s="32">
        <f>C80-C5</f>
        <v/>
      </c>
      <c r="D81" s="32">
        <f>D80-D5</f>
        <v/>
      </c>
      <c r="E81" s="32">
        <f>E80-E5</f>
        <v/>
      </c>
      <c r="F81" s="32">
        <f>F80-F5</f>
        <v/>
      </c>
    </row>
    <row r="82">
      <c r="A82" s="15" t="inlineStr">
        <is>
          <t>Working Capital</t>
        </is>
      </c>
      <c r="B82" s="32">
        <f>IFERROR(B9-B21,"")</f>
        <v/>
      </c>
      <c r="C82" s="32">
        <f>IFERROR(C9-C21,"")</f>
        <v/>
      </c>
      <c r="D82" s="32">
        <f>IFERROR(D9-D21,"")</f>
        <v/>
      </c>
      <c r="E82" s="32">
        <f>IFERROR(E9-E21,"")</f>
        <v/>
      </c>
      <c r="F82" s="32">
        <f>IFERROR(F9-F21,"")</f>
        <v/>
      </c>
    </row>
    <row r="83">
      <c r="A83" s="13" t="inlineStr">
        <is>
          <t>TOTAL LIABILITIES &amp; EQUITY</t>
        </is>
      </c>
      <c r="B83" s="33">
        <f>B31</f>
        <v/>
      </c>
      <c r="C83" s="33">
        <f>C31</f>
        <v/>
      </c>
      <c r="D83" s="33">
        <f>D31</f>
        <v/>
      </c>
      <c r="E83" s="33">
        <f>E31</f>
        <v/>
      </c>
      <c r="F83" s="33">
        <f>F31</f>
        <v/>
      </c>
    </row>
  </sheetData>
  <mergeCells count="10">
    <mergeCell ref="A2:F2"/>
    <mergeCell ref="A33:F33"/>
    <mergeCell ref="A46:F46"/>
    <mergeCell ref="A1:F1"/>
    <mergeCell ref="A79:F79"/>
    <mergeCell ref="A35:F35"/>
    <mergeCell ref="A4:F4"/>
    <mergeCell ref="A56:F56"/>
    <mergeCell ref="A72:F72"/>
    <mergeCell ref="A64:F6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TSLA — Cash Flow Statement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CASH FLOW STATEMENT</t>
        </is>
      </c>
    </row>
    <row r="5">
      <c r="A5" s="19" t="inlineStr">
        <is>
          <t>(1)  Net Cash from Operations (CFO)</t>
        </is>
      </c>
      <c r="B5" s="24" t="n">
        <v>11497</v>
      </c>
      <c r="C5" s="24" t="n">
        <v>14724</v>
      </c>
      <c r="D5" s="24" t="n">
        <v>13256</v>
      </c>
      <c r="E5" s="24" t="n">
        <v>14923</v>
      </c>
      <c r="F5" s="24" t="n">
        <v>14747</v>
      </c>
    </row>
    <row r="6">
      <c r="A6" s="17" t="inlineStr">
        <is>
          <t>(2)  Capital Expenditures</t>
        </is>
      </c>
      <c r="B6" s="18" t="n">
        <v>-8014</v>
      </c>
      <c r="C6" s="18" t="n">
        <v>-7172</v>
      </c>
      <c r="D6" s="18" t="n">
        <v>-8899</v>
      </c>
      <c r="E6" s="18" t="n">
        <v>-11342</v>
      </c>
      <c r="F6" s="18" t="n">
        <v>-8527</v>
      </c>
    </row>
    <row r="7">
      <c r="A7" s="19" t="inlineStr">
        <is>
          <t>(3)  Net Cash from Investing (CFI)</t>
        </is>
      </c>
      <c r="B7" s="20">
        <f>B39</f>
        <v/>
      </c>
      <c r="C7" s="20">
        <f>C39</f>
        <v/>
      </c>
      <c r="D7" s="20">
        <f>D39</f>
        <v/>
      </c>
      <c r="E7" s="20">
        <f>E39</f>
        <v/>
      </c>
      <c r="F7" s="20">
        <f>F39</f>
        <v/>
      </c>
    </row>
    <row r="8" ht="6" customHeight="1"/>
    <row r="9">
      <c r="A9" s="17" t="inlineStr">
        <is>
          <t>(4)  Debt Drawdowns</t>
        </is>
      </c>
      <c r="B9" s="18" t="n">
        <v>-5732</v>
      </c>
      <c r="C9" s="18" t="n">
        <v>-3866</v>
      </c>
      <c r="D9" s="18" t="n">
        <v>2116</v>
      </c>
      <c r="E9" s="18" t="n">
        <v>2863</v>
      </c>
      <c r="F9" s="18" t="n">
        <v>-3158</v>
      </c>
    </row>
    <row r="10">
      <c r="A10" s="17" t="inlineStr">
        <is>
          <t>(5)  Debt Repayments</t>
        </is>
      </c>
      <c r="B10" s="18" t="n"/>
      <c r="C10" s="18" t="n"/>
      <c r="D10" s="18" t="n"/>
      <c r="E10" s="18" t="n"/>
      <c r="F10" s="18" t="n"/>
    </row>
    <row r="11">
      <c r="A11" s="17" t="inlineStr">
        <is>
          <t>(6)  Issuance of Common Stock</t>
        </is>
      </c>
      <c r="B11" s="18" t="n">
        <v>707</v>
      </c>
      <c r="C11" s="18" t="n">
        <v>541</v>
      </c>
      <c r="D11" s="18" t="n">
        <v>700</v>
      </c>
      <c r="E11" s="18" t="n">
        <v>1241</v>
      </c>
      <c r="F11" s="18" t="n">
        <v>222</v>
      </c>
    </row>
    <row r="12">
      <c r="A12" s="17" t="inlineStr">
        <is>
          <t>(7)  Dividends Paid</t>
        </is>
      </c>
      <c r="B12" s="18" t="n">
        <v>0</v>
      </c>
      <c r="C12" s="18" t="n">
        <v>0</v>
      </c>
      <c r="D12" s="18" t="n">
        <v>0</v>
      </c>
      <c r="E12" s="18" t="n">
        <v>0</v>
      </c>
      <c r="F12" s="18" t="n">
        <v>0</v>
      </c>
    </row>
    <row r="13">
      <c r="A13" s="19" t="inlineStr">
        <is>
          <t>(8)  Net Cash from Financing (CFF)</t>
        </is>
      </c>
      <c r="B13" s="20">
        <f>B47</f>
        <v/>
      </c>
      <c r="C13" s="20">
        <f>C47</f>
        <v/>
      </c>
      <c r="D13" s="20">
        <f>D47</f>
        <v/>
      </c>
      <c r="E13" s="20">
        <f>E47</f>
        <v/>
      </c>
      <c r="F13" s="20">
        <f>F47</f>
        <v/>
      </c>
    </row>
    <row r="14" ht="6" customHeight="1"/>
    <row r="15">
      <c r="A15" s="19" t="inlineStr">
        <is>
          <t xml:space="preserve">     Free Cash Flow (FCF)</t>
        </is>
      </c>
      <c r="B15" s="24" t="n">
        <v>3483</v>
      </c>
      <c r="C15" s="24" t="n">
        <v>7552</v>
      </c>
      <c r="D15" s="24" t="n">
        <v>4357</v>
      </c>
      <c r="E15" s="24" t="n">
        <v>3581</v>
      </c>
      <c r="F15" s="24" t="n">
        <v>6220</v>
      </c>
    </row>
    <row r="16">
      <c r="A16" s="15" t="inlineStr">
        <is>
          <t xml:space="preserve">     Net Change in Cash</t>
        </is>
      </c>
      <c r="B16" s="16" t="n">
        <v>-1757</v>
      </c>
      <c r="C16" s="16" t="n">
        <v>-1220</v>
      </c>
      <c r="D16" s="16" t="n">
        <v>265</v>
      </c>
      <c r="E16" s="16" t="n">
        <v>-152</v>
      </c>
      <c r="F16" s="16" t="n">
        <v>579</v>
      </c>
    </row>
    <row r="17" ht="6" customHeight="1"/>
    <row r="18" ht="18" customHeight="1">
      <c r="A18" s="10" t="inlineStr">
        <is>
          <t>DETAIL — ALL LINE ITEMS FROM FMP</t>
        </is>
      </c>
    </row>
    <row r="19" ht="18" customHeight="1">
      <c r="A19" s="13" t="inlineStr">
        <is>
          <t>Fiscal Year Ending</t>
        </is>
      </c>
      <c r="B19" s="14" t="inlineStr">
        <is>
          <t>2021</t>
        </is>
      </c>
      <c r="C19" s="14" t="inlineStr">
        <is>
          <t>2022</t>
        </is>
      </c>
      <c r="D19" s="14" t="inlineStr">
        <is>
          <t>2023</t>
        </is>
      </c>
      <c r="E19" s="14" t="inlineStr">
        <is>
          <t>2024</t>
        </is>
      </c>
      <c r="F19" s="14" t="inlineStr">
        <is>
          <t>2025</t>
        </is>
      </c>
    </row>
    <row r="20" ht="18" customHeight="1">
      <c r="A20" s="25" t="inlineStr">
        <is>
          <t>Operating Activities</t>
        </is>
      </c>
    </row>
    <row r="21">
      <c r="A21" s="17" t="inlineStr">
        <is>
          <t>Net Income</t>
        </is>
      </c>
      <c r="B21" s="18" t="n">
        <v>5519</v>
      </c>
      <c r="C21" s="18" t="n">
        <v>12583</v>
      </c>
      <c r="D21" s="18" t="n">
        <v>14999</v>
      </c>
      <c r="E21" s="18" t="n">
        <v>7130</v>
      </c>
      <c r="F21" s="18" t="n">
        <v>3855</v>
      </c>
    </row>
    <row r="22">
      <c r="A22" s="17" t="inlineStr">
        <is>
          <t>Depreciation &amp; Amortisation</t>
        </is>
      </c>
      <c r="B22" s="18" t="n">
        <v>2911</v>
      </c>
      <c r="C22" s="18" t="n">
        <v>3543</v>
      </c>
      <c r="D22" s="18" t="n">
        <v>4667</v>
      </c>
      <c r="E22" s="18" t="n">
        <v>5368</v>
      </c>
      <c r="F22" s="18" t="n">
        <v>6148</v>
      </c>
    </row>
    <row r="23">
      <c r="A23" s="17" t="inlineStr">
        <is>
          <t>Deferred Income Tax</t>
        </is>
      </c>
      <c r="B23" s="18" t="n">
        <v>-149</v>
      </c>
      <c r="C23" s="18" t="n">
        <v>0</v>
      </c>
      <c r="D23" s="18" t="n">
        <v>-6349</v>
      </c>
      <c r="E23" s="18" t="n">
        <v>477</v>
      </c>
      <c r="F23" s="18" t="n">
        <v>123</v>
      </c>
    </row>
    <row r="24">
      <c r="A24" s="17" t="inlineStr">
        <is>
          <t>Stock-Based Compensation</t>
        </is>
      </c>
      <c r="B24" s="18" t="n">
        <v>2121</v>
      </c>
      <c r="C24" s="18" t="n">
        <v>1560</v>
      </c>
      <c r="D24" s="18" t="n">
        <v>1812</v>
      </c>
      <c r="E24" s="18" t="n">
        <v>1999</v>
      </c>
      <c r="F24" s="18" t="n">
        <v>2825</v>
      </c>
    </row>
    <row r="25">
      <c r="A25" s="17" t="inlineStr">
        <is>
          <t>Change in Working Capital</t>
        </is>
      </c>
      <c r="B25" s="18" t="n">
        <v>667</v>
      </c>
      <c r="C25" s="18" t="n">
        <v>-3712</v>
      </c>
      <c r="D25" s="18" t="n">
        <v>-2248</v>
      </c>
      <c r="E25" s="18" t="n">
        <v>81</v>
      </c>
      <c r="F25" s="18" t="n">
        <v>642</v>
      </c>
    </row>
    <row r="26">
      <c r="A26" s="21" t="inlineStr">
        <is>
          <t xml:space="preserve">  — Accounts Receivable</t>
        </is>
      </c>
      <c r="B26" s="18" t="n">
        <v>-130</v>
      </c>
      <c r="C26" s="18" t="n">
        <v>-1124</v>
      </c>
      <c r="D26" s="18" t="n">
        <v>-586</v>
      </c>
      <c r="E26" s="18" t="n">
        <v>-1083</v>
      </c>
      <c r="F26" s="18" t="n">
        <v>-261</v>
      </c>
    </row>
    <row r="27">
      <c r="A27" s="21" t="inlineStr">
        <is>
          <t xml:space="preserve">  — Inventory</t>
        </is>
      </c>
      <c r="B27" s="18" t="n">
        <v>-1709</v>
      </c>
      <c r="C27" s="18" t="n">
        <v>-6465</v>
      </c>
      <c r="D27" s="18" t="n">
        <v>-1195</v>
      </c>
      <c r="E27" s="18" t="n">
        <v>937</v>
      </c>
      <c r="F27" s="18" t="n">
        <v>-630</v>
      </c>
    </row>
    <row r="28">
      <c r="A28" s="21" t="inlineStr">
        <is>
          <t xml:space="preserve">  — Accounts Payable</t>
        </is>
      </c>
      <c r="B28" s="18" t="n">
        <v>4578</v>
      </c>
      <c r="C28" s="18" t="n">
        <v>6029</v>
      </c>
      <c r="D28" s="18" t="n">
        <v>2605</v>
      </c>
      <c r="E28" s="18" t="n">
        <v>3588</v>
      </c>
      <c r="F28" s="18" t="n">
        <v>4376</v>
      </c>
    </row>
    <row r="29">
      <c r="A29" s="21" t="inlineStr">
        <is>
          <t xml:space="preserve">  — Other Working Capital</t>
        </is>
      </c>
      <c r="B29" s="18" t="n">
        <v>-2072</v>
      </c>
      <c r="C29" s="18" t="n">
        <v>-2152</v>
      </c>
      <c r="D29" s="18" t="n">
        <v>-3072</v>
      </c>
      <c r="E29" s="18" t="n">
        <v>-3361</v>
      </c>
      <c r="F29" s="18" t="n">
        <v>-2843</v>
      </c>
    </row>
    <row r="30">
      <c r="A30" s="17" t="inlineStr">
        <is>
          <t>Other Non-Cash Items</t>
        </is>
      </c>
      <c r="B30" s="18" t="n">
        <v>428</v>
      </c>
      <c r="C30" s="18" t="n">
        <v>777</v>
      </c>
      <c r="D30" s="18" t="n">
        <v>400</v>
      </c>
      <c r="E30" s="18" t="n">
        <v>-155</v>
      </c>
      <c r="F30" s="18" t="n">
        <v>1154</v>
      </c>
    </row>
    <row r="31">
      <c r="A31" s="26" t="inlineStr">
        <is>
          <t>Net Cash from Operations (CFO)</t>
        </is>
      </c>
      <c r="B31" s="27" t="n">
        <v>11497</v>
      </c>
      <c r="C31" s="27" t="n">
        <v>14724</v>
      </c>
      <c r="D31" s="27" t="n">
        <v>13256</v>
      </c>
      <c r="E31" s="27" t="n">
        <v>14923</v>
      </c>
      <c r="F31" s="27" t="n">
        <v>14747</v>
      </c>
    </row>
    <row r="32" ht="18" customHeight="1">
      <c r="A32" s="25" t="inlineStr">
        <is>
          <t>Investing Activities</t>
        </is>
      </c>
    </row>
    <row r="33">
      <c r="A33" s="17" t="inlineStr">
        <is>
          <t>Capital Expenditures</t>
        </is>
      </c>
      <c r="B33" s="18" t="n">
        <v>-8014</v>
      </c>
      <c r="C33" s="18" t="n">
        <v>-7172</v>
      </c>
      <c r="D33" s="18" t="n">
        <v>-8899</v>
      </c>
      <c r="E33" s="18" t="n">
        <v>-11342</v>
      </c>
      <c r="F33" s="18" t="n">
        <v>-8527</v>
      </c>
    </row>
    <row r="34">
      <c r="A34" s="21" t="inlineStr">
        <is>
          <t xml:space="preserve">  (Alt: Invest. in PP&amp;E)</t>
        </is>
      </c>
      <c r="B34" s="18" t="n">
        <v>-6514</v>
      </c>
      <c r="C34" s="18" t="n">
        <v>-7163</v>
      </c>
      <c r="D34" s="18" t="n">
        <v>-8899</v>
      </c>
      <c r="E34" s="18" t="n">
        <v>-11342</v>
      </c>
      <c r="F34" s="18" t="n">
        <v>-8527</v>
      </c>
    </row>
    <row r="35">
      <c r="A35" s="17" t="inlineStr">
        <is>
          <t>Acquisitions (Net)</t>
        </is>
      </c>
      <c r="B35" s="18" t="n">
        <v>0</v>
      </c>
      <c r="C35" s="18" t="n">
        <v>0</v>
      </c>
      <c r="D35" s="18" t="n">
        <v>-64</v>
      </c>
      <c r="E35" s="18" t="n">
        <v>0</v>
      </c>
      <c r="F35" s="18" t="n">
        <v>0</v>
      </c>
    </row>
    <row r="36">
      <c r="A36" s="17" t="inlineStr">
        <is>
          <t>Purchases of Investments</t>
        </is>
      </c>
      <c r="B36" s="18" t="n">
        <v>-132</v>
      </c>
      <c r="C36" s="18" t="n">
        <v>-5835</v>
      </c>
      <c r="D36" s="18" t="n">
        <v>-19112</v>
      </c>
      <c r="E36" s="18" t="n">
        <v>-35955</v>
      </c>
      <c r="F36" s="18" t="n">
        <v>-37109</v>
      </c>
    </row>
    <row r="37">
      <c r="A37" s="17" t="inlineStr">
        <is>
          <t>Sales / Maturities of Investments</t>
        </is>
      </c>
      <c r="B37" s="18" t="n">
        <v>0</v>
      </c>
      <c r="C37" s="18" t="n">
        <v>22</v>
      </c>
      <c r="D37" s="18" t="n">
        <v>12491</v>
      </c>
      <c r="E37" s="18" t="n">
        <v>28510</v>
      </c>
      <c r="F37" s="18" t="n">
        <v>30158</v>
      </c>
    </row>
    <row r="38">
      <c r="A38" s="17" t="inlineStr">
        <is>
          <t>Other Investing Activities</t>
        </is>
      </c>
      <c r="B38" s="18" t="n">
        <v>-1222</v>
      </c>
      <c r="C38" s="18" t="n">
        <v>1003</v>
      </c>
      <c r="D38" s="18" t="n">
        <v>0</v>
      </c>
      <c r="E38" s="18" t="n">
        <v>0</v>
      </c>
      <c r="F38" s="18" t="n">
        <v>0</v>
      </c>
    </row>
    <row r="39">
      <c r="A39" s="26" t="inlineStr">
        <is>
          <t>Net Cash from Investing (CFI)</t>
        </is>
      </c>
      <c r="B39" s="31">
        <f>IFERROR(B33+B35+B36+B37+B38,"")</f>
        <v/>
      </c>
      <c r="C39" s="31">
        <f>IFERROR(C33+C35+C36+C37+C38,"")</f>
        <v/>
      </c>
      <c r="D39" s="31">
        <f>IFERROR(D33+D35+D36+D37+D38,"")</f>
        <v/>
      </c>
      <c r="E39" s="31">
        <f>IFERROR(E33+E35+E36+E37+E38,"")</f>
        <v/>
      </c>
      <c r="F39" s="31">
        <f>IFERROR(F33+F35+F36+F37+F38,"")</f>
        <v/>
      </c>
    </row>
    <row r="40" ht="18" customHeight="1">
      <c r="A40" s="25" t="inlineStr">
        <is>
          <t>Financing Activities</t>
        </is>
      </c>
    </row>
    <row r="41">
      <c r="A41" s="17" t="inlineStr">
        <is>
          <t>Debt Issuance (Net)</t>
        </is>
      </c>
      <c r="B41" s="18" t="n">
        <v>-5732</v>
      </c>
      <c r="C41" s="18" t="n">
        <v>-3866</v>
      </c>
      <c r="D41" s="18" t="n">
        <v>2116</v>
      </c>
      <c r="E41" s="18" t="n">
        <v>2863</v>
      </c>
      <c r="F41" s="18" t="n">
        <v>-3158</v>
      </c>
    </row>
    <row r="42">
      <c r="A42" s="17" t="inlineStr">
        <is>
          <t>Debt Repayment</t>
        </is>
      </c>
      <c r="B42" s="18" t="n"/>
      <c r="C42" s="18" t="n"/>
      <c r="D42" s="18" t="n"/>
      <c r="E42" s="18" t="n"/>
      <c r="F42" s="18" t="n"/>
    </row>
    <row r="43">
      <c r="A43" s="17" t="inlineStr">
        <is>
          <t>Common Stock Issuance</t>
        </is>
      </c>
      <c r="B43" s="18" t="n">
        <v>707</v>
      </c>
      <c r="C43" s="18" t="n">
        <v>541</v>
      </c>
      <c r="D43" s="18" t="n">
        <v>700</v>
      </c>
      <c r="E43" s="18" t="n">
        <v>1241</v>
      </c>
      <c r="F43" s="18" t="n">
        <v>222</v>
      </c>
    </row>
    <row r="44">
      <c r="A44" s="17" t="inlineStr">
        <is>
          <t>Common Stock Repurchased (Buybacks)</t>
        </is>
      </c>
      <c r="B44" s="18" t="n">
        <v>0</v>
      </c>
      <c r="C44" s="18" t="n">
        <v>0</v>
      </c>
      <c r="D44" s="18" t="n">
        <v>0</v>
      </c>
      <c r="E44" s="18" t="n">
        <v>0</v>
      </c>
      <c r="F44" s="18" t="n">
        <v>0</v>
      </c>
    </row>
    <row r="45">
      <c r="A45" s="17" t="inlineStr">
        <is>
          <t>Dividends Paid</t>
        </is>
      </c>
      <c r="B45" s="18" t="n">
        <v>0</v>
      </c>
      <c r="C45" s="18" t="n">
        <v>0</v>
      </c>
      <c r="D45" s="18" t="n">
        <v>0</v>
      </c>
      <c r="E45" s="18" t="n">
        <v>0</v>
      </c>
      <c r="F45" s="18" t="n">
        <v>0</v>
      </c>
    </row>
    <row r="46">
      <c r="A46" s="17" t="inlineStr">
        <is>
          <t>Other Financing Activities</t>
        </is>
      </c>
      <c r="B46" s="18" t="n">
        <v>-178</v>
      </c>
      <c r="C46" s="18" t="n">
        <v>-202</v>
      </c>
      <c r="D46" s="18" t="n">
        <v>-227</v>
      </c>
      <c r="E46" s="18" t="n">
        <v>-251</v>
      </c>
      <c r="F46" s="18" t="n">
        <v>4075</v>
      </c>
    </row>
    <row r="47">
      <c r="A47" s="26" t="inlineStr">
        <is>
          <t>Net Cash from Financing (CFF)</t>
        </is>
      </c>
      <c r="B47" s="31">
        <f>IFERROR(B41+B42+B43+B44+B45+B46,"")</f>
        <v/>
      </c>
      <c r="C47" s="31">
        <f>IFERROR(C41+C42+C43+C44+C45+C46,"")</f>
        <v/>
      </c>
      <c r="D47" s="31">
        <f>IFERROR(D41+D42+D43+D44+D45+D46,"")</f>
        <v/>
      </c>
      <c r="E47" s="31">
        <f>IFERROR(E41+E42+E43+E44+E45+E46,"")</f>
        <v/>
      </c>
      <c r="F47" s="31">
        <f>IFERROR(F41+F42+F43+F44+F45+F46,"")</f>
        <v/>
      </c>
    </row>
    <row r="48" ht="18" customHeight="1">
      <c r="A48" s="25" t="inlineStr">
        <is>
          <t>Cash Summary</t>
        </is>
      </c>
    </row>
    <row r="49">
      <c r="A49" s="17" t="inlineStr">
        <is>
          <t>Effect of Forex on Cash</t>
        </is>
      </c>
      <c r="B49" s="18" t="n">
        <v>-183</v>
      </c>
      <c r="C49" s="18" t="n">
        <v>-444</v>
      </c>
      <c r="D49" s="18" t="n">
        <v>4</v>
      </c>
      <c r="E49" s="18" t="n">
        <v>-141</v>
      </c>
      <c r="F49" s="18" t="n">
        <v>171</v>
      </c>
    </row>
    <row r="50">
      <c r="A50" s="15" t="inlineStr">
        <is>
          <t>Net Change in Cash</t>
        </is>
      </c>
      <c r="B50" s="16" t="n">
        <v>-1757</v>
      </c>
      <c r="C50" s="16" t="n">
        <v>-1220</v>
      </c>
      <c r="D50" s="16" t="n">
        <v>265</v>
      </c>
      <c r="E50" s="16" t="n">
        <v>-152</v>
      </c>
      <c r="F50" s="16" t="n">
        <v>579</v>
      </c>
    </row>
    <row r="51">
      <c r="A51" s="17" t="inlineStr">
        <is>
          <t>Cash at Beginning of Period</t>
        </is>
      </c>
      <c r="B51" s="18" t="n">
        <v>19901</v>
      </c>
      <c r="C51" s="18" t="n">
        <v>18144</v>
      </c>
      <c r="D51" s="18" t="n">
        <v>16924</v>
      </c>
      <c r="E51" s="18" t="n">
        <v>17189</v>
      </c>
      <c r="F51" s="18" t="n">
        <v>17037</v>
      </c>
    </row>
    <row r="52">
      <c r="A52" s="26" t="inlineStr">
        <is>
          <t>Cash at End of Period</t>
        </is>
      </c>
      <c r="B52" s="27" t="n">
        <v>18144</v>
      </c>
      <c r="C52" s="27" t="n">
        <v>16924</v>
      </c>
      <c r="D52" s="27" t="n">
        <v>17189</v>
      </c>
      <c r="E52" s="27" t="n">
        <v>17037</v>
      </c>
      <c r="F52" s="27" t="n">
        <v>17616</v>
      </c>
    </row>
    <row r="53">
      <c r="A53" s="26" t="inlineStr">
        <is>
          <t>Free Cash Flow</t>
        </is>
      </c>
      <c r="B53" s="27" t="n">
        <v>3483</v>
      </c>
      <c r="C53" s="27" t="n">
        <v>7552</v>
      </c>
      <c r="D53" s="27" t="n">
        <v>4357</v>
      </c>
      <c r="E53" s="27" t="n">
        <v>3581</v>
      </c>
      <c r="F53" s="27" t="n">
        <v>6220</v>
      </c>
    </row>
    <row r="54">
      <c r="A54" s="17" t="inlineStr">
        <is>
          <t>Operating Cash Flow per Share</t>
        </is>
      </c>
      <c r="B54" s="18" t="n"/>
      <c r="C54" s="18" t="n"/>
      <c r="D54" s="18" t="n"/>
      <c r="E54" s="18" t="n"/>
      <c r="F54" s="18" t="n"/>
    </row>
    <row r="55">
      <c r="A55" s="17" t="inlineStr">
        <is>
          <t>Free Cash Flow per Share</t>
        </is>
      </c>
      <c r="B55" s="18" t="n"/>
      <c r="C55" s="18" t="n"/>
      <c r="D55" s="18" t="n"/>
      <c r="E55" s="18" t="n"/>
      <c r="F55" s="18" t="n"/>
    </row>
  </sheetData>
  <mergeCells count="8">
    <mergeCell ref="A2:F2"/>
    <mergeCell ref="A1:F1"/>
    <mergeCell ref="A32:F32"/>
    <mergeCell ref="A40:F40"/>
    <mergeCell ref="A18:F18"/>
    <mergeCell ref="A4:F4"/>
    <mergeCell ref="A48:F48"/>
    <mergeCell ref="A20:F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TSLA — Key Ratios &amp; Free Cash Flow Bridge</t>
        </is>
      </c>
    </row>
    <row r="2" ht="14" customHeight="1">
      <c r="A2" s="2" t="inlineStr">
        <is>
          <t>All formulas. Black = calculated. Cross-sheet references pull from P&amp;L, Balance Sheet, Cash Flow tabs.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UNLEVERED FREE CASH FLOW (UFCF) — STEP-BY-STEP BRIDGE</t>
        </is>
      </c>
    </row>
    <row r="5" ht="18" customHeight="1">
      <c r="A5" s="34" t="inlineStr">
        <is>
          <t>Note: UFCF = NOPAT + D&amp;A − ΔNWC − Capex  |  Used as input to DCF (unlevered / WACC-based)</t>
        </is>
      </c>
    </row>
    <row r="6">
      <c r="A6" s="15" t="inlineStr">
        <is>
          <t>EBIT (Operating Income)</t>
        </is>
      </c>
      <c r="B6" s="32">
        <f>'P&amp;L'!B15</f>
        <v/>
      </c>
      <c r="C6" s="32">
        <f>'P&amp;L'!C15</f>
        <v/>
      </c>
      <c r="D6" s="32">
        <f>'P&amp;L'!D15</f>
        <v/>
      </c>
      <c r="E6" s="32">
        <f>'P&amp;L'!E15</f>
        <v/>
      </c>
      <c r="F6" s="32">
        <f>'P&amp;L'!F15</f>
        <v/>
      </c>
    </row>
    <row r="7">
      <c r="A7" s="21" t="inlineStr">
        <is>
          <t xml:space="preserve">  (−) Taxes on EBIT  [EBIT × Eff. Tax Rate]</t>
        </is>
      </c>
      <c r="B7" s="23">
        <f>IFERROR(-B6*MAX(0,MIN(0.5,'P&amp;L'!B22/'P&amp;L'!B21)),0)</f>
        <v/>
      </c>
      <c r="C7" s="23">
        <f>IFERROR(-C6*MAX(0,MIN(0.5,'P&amp;L'!C22/'P&amp;L'!C21)),0)</f>
        <v/>
      </c>
      <c r="D7" s="23">
        <f>IFERROR(-D6*MAX(0,MIN(0.5,'P&amp;L'!D22/'P&amp;L'!D21)),0)</f>
        <v/>
      </c>
      <c r="E7" s="23">
        <f>IFERROR(-E6*MAX(0,MIN(0.5,'P&amp;L'!E22/'P&amp;L'!E21)),0)</f>
        <v/>
      </c>
      <c r="F7" s="23">
        <f>IFERROR(-F6*MAX(0,MIN(0.5,'P&amp;L'!F22/'P&amp;L'!F21)),0)</f>
        <v/>
      </c>
    </row>
    <row r="8">
      <c r="A8" s="19" t="inlineStr">
        <is>
          <t>NOPAT  (Net Operating Profit After Tax)</t>
        </is>
      </c>
      <c r="B8" s="20">
        <f>B6+B7</f>
        <v/>
      </c>
      <c r="C8" s="20">
        <f>C6+C7</f>
        <v/>
      </c>
      <c r="D8" s="20">
        <f>D6+D7</f>
        <v/>
      </c>
      <c r="E8" s="20">
        <f>E6+E7</f>
        <v/>
      </c>
      <c r="F8" s="20">
        <f>F6+F7</f>
        <v/>
      </c>
    </row>
    <row r="9">
      <c r="A9" s="21" t="inlineStr">
        <is>
          <t xml:space="preserve">  (+) Depreciation &amp; Amortisation</t>
        </is>
      </c>
      <c r="B9" s="23">
        <f>'P&amp;L'!B14</f>
        <v/>
      </c>
      <c r="C9" s="23">
        <f>'P&amp;L'!C14</f>
        <v/>
      </c>
      <c r="D9" s="23">
        <f>'P&amp;L'!D14</f>
        <v/>
      </c>
      <c r="E9" s="23">
        <f>'P&amp;L'!E14</f>
        <v/>
      </c>
      <c r="F9" s="23">
        <f>'P&amp;L'!F14</f>
        <v/>
      </c>
    </row>
    <row r="10">
      <c r="A10" s="35" t="inlineStr">
        <is>
          <t xml:space="preserve">  = EBITDA (cross-check)</t>
        </is>
      </c>
      <c r="B10" s="36">
        <f>B8+B9</f>
        <v/>
      </c>
      <c r="C10" s="36">
        <f>C8+C9</f>
        <v/>
      </c>
      <c r="D10" s="36">
        <f>D8+D9</f>
        <v/>
      </c>
      <c r="E10" s="36">
        <f>E8+E9</f>
        <v/>
      </c>
      <c r="F10" s="36">
        <f>F8+F9</f>
        <v/>
      </c>
    </row>
    <row r="11">
      <c r="A11" s="21" t="inlineStr">
        <is>
          <t xml:space="preserve">  (−) Increase in Net Working Capital  [ΔRec + ΔInv − ΔAP]</t>
        </is>
      </c>
      <c r="B11" s="23">
        <f>0</f>
        <v/>
      </c>
      <c r="C11" s="23">
        <f>IFERROR(('Balance Sheet'!C6-'Balance Sheet'!B6)+('Balance Sheet'!C7-'Balance Sheet'!B7)-('Balance Sheet'!C17-'Balance Sheet'!B17),0)</f>
        <v/>
      </c>
      <c r="D11" s="23">
        <f>IFERROR(('Balance Sheet'!D6-'Balance Sheet'!C6)+('Balance Sheet'!D7-'Balance Sheet'!C7)-('Balance Sheet'!D17-'Balance Sheet'!C17),0)</f>
        <v/>
      </c>
      <c r="E11" s="23">
        <f>IFERROR(('Balance Sheet'!E6-'Balance Sheet'!D6)+('Balance Sheet'!E7-'Balance Sheet'!D7)-('Balance Sheet'!E17-'Balance Sheet'!D17),0)</f>
        <v/>
      </c>
      <c r="F11" s="23">
        <f>IFERROR(('Balance Sheet'!F6-'Balance Sheet'!E6)+('Balance Sheet'!F7-'Balance Sheet'!E7)-('Balance Sheet'!F17-'Balance Sheet'!E17),0)</f>
        <v/>
      </c>
    </row>
    <row r="12">
      <c r="A12" s="21" t="inlineStr">
        <is>
          <t xml:space="preserve">  (−) Capital Expenditures</t>
        </is>
      </c>
      <c r="B12" s="23">
        <f>'Cash Flow'!B6</f>
        <v/>
      </c>
      <c r="C12" s="23">
        <f>'Cash Flow'!C6</f>
        <v/>
      </c>
      <c r="D12" s="23">
        <f>'Cash Flow'!D6</f>
        <v/>
      </c>
      <c r="E12" s="23">
        <f>'Cash Flow'!E6</f>
        <v/>
      </c>
      <c r="F12" s="23">
        <f>'Cash Flow'!F6</f>
        <v/>
      </c>
    </row>
    <row r="13">
      <c r="A13" s="19" t="inlineStr">
        <is>
          <t>UNLEVERED FREE CASH FLOW (UFCF)</t>
        </is>
      </c>
      <c r="B13" s="20">
        <f>B8+B9-B11+B12</f>
        <v/>
      </c>
      <c r="C13" s="20">
        <f>C8+C9-C11+C12</f>
        <v/>
      </c>
      <c r="D13" s="20">
        <f>D8+D9-D11+D12</f>
        <v/>
      </c>
      <c r="E13" s="20">
        <f>E8+E9-E11+E12</f>
        <v/>
      </c>
      <c r="F13" s="20">
        <f>F8+F9-F11+F12</f>
        <v/>
      </c>
    </row>
    <row r="14">
      <c r="A14" s="21" t="inlineStr">
        <is>
          <t xml:space="preserve">  UFCF Margin %</t>
        </is>
      </c>
      <c r="B14" s="22">
        <f>IFERROR(B13/'P&amp;L'!B5,"")</f>
        <v/>
      </c>
      <c r="C14" s="22">
        <f>IFERROR(C13/'P&amp;L'!C5,"")</f>
        <v/>
      </c>
      <c r="D14" s="22">
        <f>IFERROR(D13/'P&amp;L'!D5,"")</f>
        <v/>
      </c>
      <c r="E14" s="22">
        <f>IFERROR(E13/'P&amp;L'!E5,"")</f>
        <v/>
      </c>
      <c r="F14" s="22">
        <f>IFERROR(F13/'P&amp;L'!F5,"")</f>
        <v/>
      </c>
    </row>
    <row r="15" ht="6" customHeight="1"/>
    <row r="16" ht="18" customHeight="1">
      <c r="A16" s="5" t="inlineStr">
        <is>
          <t>LEVERED FREE CASH FLOW (LFCF) — STEP-BY-STEP BRIDGE</t>
        </is>
      </c>
    </row>
    <row r="17" ht="18" customHeight="1">
      <c r="A17" s="34" t="inlineStr">
        <is>
          <t>Note: LFCF = Net Income + D&amp;A − ΔNWC − Capex  |  Represents cash available to equity holders</t>
        </is>
      </c>
    </row>
    <row r="18">
      <c r="A18" s="15" t="inlineStr">
        <is>
          <t>Net Income</t>
        </is>
      </c>
      <c r="B18" s="32">
        <f>'P&amp;L'!B24</f>
        <v/>
      </c>
      <c r="C18" s="32">
        <f>'P&amp;L'!C24</f>
        <v/>
      </c>
      <c r="D18" s="32">
        <f>'P&amp;L'!D24</f>
        <v/>
      </c>
      <c r="E18" s="32">
        <f>'P&amp;L'!E24</f>
        <v/>
      </c>
      <c r="F18" s="32">
        <f>'P&amp;L'!F24</f>
        <v/>
      </c>
    </row>
    <row r="19">
      <c r="A19" s="21" t="inlineStr">
        <is>
          <t xml:space="preserve">  (+) Depreciation &amp; Amortisation</t>
        </is>
      </c>
      <c r="B19" s="23">
        <f>'P&amp;L'!B14</f>
        <v/>
      </c>
      <c r="C19" s="23">
        <f>'P&amp;L'!C14</f>
        <v/>
      </c>
      <c r="D19" s="23">
        <f>'P&amp;L'!D14</f>
        <v/>
      </c>
      <c r="E19" s="23">
        <f>'P&amp;L'!E14</f>
        <v/>
      </c>
      <c r="F19" s="23">
        <f>'P&amp;L'!F14</f>
        <v/>
      </c>
    </row>
    <row r="20">
      <c r="A20" s="21" t="inlineStr">
        <is>
          <t xml:space="preserve">  (−) Increase in Net Working Capital</t>
        </is>
      </c>
      <c r="B20" s="23">
        <f>0</f>
        <v/>
      </c>
      <c r="C20" s="23">
        <f>IFERROR(('Balance Sheet'!C6-'Balance Sheet'!B6)+('Balance Sheet'!C7-'Balance Sheet'!B7)-('Balance Sheet'!C17-'Balance Sheet'!B17),0)</f>
        <v/>
      </c>
      <c r="D20" s="23">
        <f>IFERROR(('Balance Sheet'!D6-'Balance Sheet'!C6)+('Balance Sheet'!D7-'Balance Sheet'!C7)-('Balance Sheet'!D17-'Balance Sheet'!C17),0)</f>
        <v/>
      </c>
      <c r="E20" s="23">
        <f>IFERROR(('Balance Sheet'!E6-'Balance Sheet'!D6)+('Balance Sheet'!E7-'Balance Sheet'!D7)-('Balance Sheet'!E17-'Balance Sheet'!D17),0)</f>
        <v/>
      </c>
      <c r="F20" s="23">
        <f>IFERROR(('Balance Sheet'!F6-'Balance Sheet'!E6)+('Balance Sheet'!F7-'Balance Sheet'!E7)-('Balance Sheet'!F17-'Balance Sheet'!E17),0)</f>
        <v/>
      </c>
    </row>
    <row r="21">
      <c r="A21" s="21" t="inlineStr">
        <is>
          <t xml:space="preserve">  (−) Capital Expenditures</t>
        </is>
      </c>
      <c r="B21" s="23">
        <f>'Cash Flow'!B6</f>
        <v/>
      </c>
      <c r="C21" s="23">
        <f>'Cash Flow'!C6</f>
        <v/>
      </c>
      <c r="D21" s="23">
        <f>'Cash Flow'!D6</f>
        <v/>
      </c>
      <c r="E21" s="23">
        <f>'Cash Flow'!E6</f>
        <v/>
      </c>
      <c r="F21" s="23">
        <f>'Cash Flow'!F6</f>
        <v/>
      </c>
    </row>
    <row r="22">
      <c r="A22" s="19" t="inlineStr">
        <is>
          <t>LEVERED FREE CASH FLOW (LFCF)</t>
        </is>
      </c>
      <c r="B22" s="20">
        <f>B18+B19-B20+B21</f>
        <v/>
      </c>
      <c r="C22" s="20">
        <f>C18+C19-C20+C21</f>
        <v/>
      </c>
      <c r="D22" s="20">
        <f>D18+D19-D20+D21</f>
        <v/>
      </c>
      <c r="E22" s="20">
        <f>E18+E19-E20+E21</f>
        <v/>
      </c>
      <c r="F22" s="20">
        <f>F18+F19-F20+F21</f>
        <v/>
      </c>
    </row>
    <row r="23">
      <c r="A23" s="21" t="inlineStr">
        <is>
          <t xml:space="preserve">  LFCF Margin %</t>
        </is>
      </c>
      <c r="B23" s="22">
        <f>IFERROR(B22/'P&amp;L'!B5,"")</f>
        <v/>
      </c>
      <c r="C23" s="22">
        <f>IFERROR(C22/'P&amp;L'!C5,"")</f>
        <v/>
      </c>
      <c r="D23" s="22">
        <f>IFERROR(D22/'P&amp;L'!D5,"")</f>
        <v/>
      </c>
      <c r="E23" s="22">
        <f>IFERROR(E22/'P&amp;L'!E5,"")</f>
        <v/>
      </c>
      <c r="F23" s="22">
        <f>IFERROR(F22/'P&amp;L'!F5,"")</f>
        <v/>
      </c>
    </row>
    <row r="24">
      <c r="A24" s="21" t="inlineStr">
        <is>
          <t xml:space="preserve">  FCF Conversion (LFCF / Net Income)</t>
        </is>
      </c>
      <c r="B24" s="22">
        <f>IFERROR(B22/B18,"")</f>
        <v/>
      </c>
      <c r="C24" s="22">
        <f>IFERROR(C22/C18,"")</f>
        <v/>
      </c>
      <c r="D24" s="22">
        <f>IFERROR(D22/D18,"")</f>
        <v/>
      </c>
      <c r="E24" s="22">
        <f>IFERROR(E22/E18,"")</f>
        <v/>
      </c>
      <c r="F24" s="22">
        <f>IFERROR(F22/F18,"")</f>
        <v/>
      </c>
    </row>
    <row r="25" ht="6" customHeight="1"/>
    <row r="26" ht="18" customHeight="1">
      <c r="A26" s="25" t="inlineStr">
        <is>
          <t>PROFITABILITY RATIOS</t>
        </is>
      </c>
    </row>
    <row r="27">
      <c r="A27" s="17" t="inlineStr">
        <is>
          <t>Gross Margin %</t>
        </is>
      </c>
      <c r="B27" s="22">
        <f>IFERROR('P&amp;L'!B7/'P&amp;L'!B5,"")</f>
        <v/>
      </c>
      <c r="C27" s="22">
        <f>IFERROR('P&amp;L'!C7/'P&amp;L'!C5,"")</f>
        <v/>
      </c>
      <c r="D27" s="22">
        <f>IFERROR('P&amp;L'!D7/'P&amp;L'!D5,"")</f>
        <v/>
      </c>
      <c r="E27" s="22">
        <f>IFERROR('P&amp;L'!E7/'P&amp;L'!E5,"")</f>
        <v/>
      </c>
      <c r="F27" s="22">
        <f>IFERROR('P&amp;L'!F7/'P&amp;L'!F5,"")</f>
        <v/>
      </c>
    </row>
    <row r="28">
      <c r="A28" s="17" t="inlineStr">
        <is>
          <t>EBITDA Margin %</t>
        </is>
      </c>
      <c r="B28" s="22">
        <f>IFERROR('P&amp;L'!B12/'P&amp;L'!B5,"")</f>
        <v/>
      </c>
      <c r="C28" s="22">
        <f>IFERROR('P&amp;L'!C12/'P&amp;L'!C5,"")</f>
        <v/>
      </c>
      <c r="D28" s="22">
        <f>IFERROR('P&amp;L'!D12/'P&amp;L'!D5,"")</f>
        <v/>
      </c>
      <c r="E28" s="22">
        <f>IFERROR('P&amp;L'!E12/'P&amp;L'!E5,"")</f>
        <v/>
      </c>
      <c r="F28" s="22">
        <f>IFERROR('P&amp;L'!F12/'P&amp;L'!F5,"")</f>
        <v/>
      </c>
    </row>
    <row r="29">
      <c r="A29" s="17" t="inlineStr">
        <is>
          <t>EBIT Margin %</t>
        </is>
      </c>
      <c r="B29" s="22">
        <f>IFERROR('P&amp;L'!B15/'P&amp;L'!B5,"")</f>
        <v/>
      </c>
      <c r="C29" s="22">
        <f>IFERROR('P&amp;L'!C15/'P&amp;L'!C5,"")</f>
        <v/>
      </c>
      <c r="D29" s="22">
        <f>IFERROR('P&amp;L'!D15/'P&amp;L'!D5,"")</f>
        <v/>
      </c>
      <c r="E29" s="22">
        <f>IFERROR('P&amp;L'!E15/'P&amp;L'!E5,"")</f>
        <v/>
      </c>
      <c r="F29" s="22">
        <f>IFERROR('P&amp;L'!F15/'P&amp;L'!F5,"")</f>
        <v/>
      </c>
    </row>
    <row r="30">
      <c r="A30" s="17" t="inlineStr">
        <is>
          <t>Net Margin %</t>
        </is>
      </c>
      <c r="B30" s="22">
        <f>IFERROR('P&amp;L'!B24/'P&amp;L'!B5,"")</f>
        <v/>
      </c>
      <c r="C30" s="22">
        <f>IFERROR('P&amp;L'!C24/'P&amp;L'!C5,"")</f>
        <v/>
      </c>
      <c r="D30" s="22">
        <f>IFERROR('P&amp;L'!D24/'P&amp;L'!D5,"")</f>
        <v/>
      </c>
      <c r="E30" s="22">
        <f>IFERROR('P&amp;L'!E24/'P&amp;L'!E5,"")</f>
        <v/>
      </c>
      <c r="F30" s="22">
        <f>IFERROR('P&amp;L'!F24/'P&amp;L'!F5,"")</f>
        <v/>
      </c>
    </row>
    <row r="31">
      <c r="A31" s="17" t="inlineStr">
        <is>
          <t>Return on Equity (ROE)</t>
        </is>
      </c>
      <c r="B31" s="22">
        <f>IFERROR('P&amp;L'!B24/'Balance Sheet'!B30,"")</f>
        <v/>
      </c>
      <c r="C31" s="22">
        <f>IFERROR('P&amp;L'!C24/'Balance Sheet'!C30,"")</f>
        <v/>
      </c>
      <c r="D31" s="22">
        <f>IFERROR('P&amp;L'!D24/'Balance Sheet'!D30,"")</f>
        <v/>
      </c>
      <c r="E31" s="22">
        <f>IFERROR('P&amp;L'!E24/'Balance Sheet'!E30,"")</f>
        <v/>
      </c>
      <c r="F31" s="22">
        <f>IFERROR('P&amp;L'!F24/'Balance Sheet'!F30,"")</f>
        <v/>
      </c>
    </row>
    <row r="32">
      <c r="A32" s="17" t="inlineStr">
        <is>
          <t>Return on Assets (ROA)</t>
        </is>
      </c>
      <c r="B32" s="22">
        <f>IFERROR('P&amp;L'!B24/'Balance Sheet'!B15,"")</f>
        <v/>
      </c>
      <c r="C32" s="22">
        <f>IFERROR('P&amp;L'!C24/'Balance Sheet'!C15,"")</f>
        <v/>
      </c>
      <c r="D32" s="22">
        <f>IFERROR('P&amp;L'!D24/'Balance Sheet'!D15,"")</f>
        <v/>
      </c>
      <c r="E32" s="22">
        <f>IFERROR('P&amp;L'!E24/'Balance Sheet'!E15,"")</f>
        <v/>
      </c>
      <c r="F32" s="22">
        <f>IFERROR('P&amp;L'!F24/'Balance Sheet'!F15,"")</f>
        <v/>
      </c>
    </row>
    <row r="33">
      <c r="A33" s="17" t="inlineStr">
        <is>
          <t>ROIC  [NOPAT / (Equity + Net Debt)]</t>
        </is>
      </c>
      <c r="B33" s="22">
        <f>IFERROR(('P&amp;L'!B15*MAX(0,MIN(0.5,1-'P&amp;L'!B22/'P&amp;L'!B21)))/('Balance Sheet'!B30+'Balance Sheet'!B81),"")</f>
        <v/>
      </c>
      <c r="C33" s="22">
        <f>IFERROR(('P&amp;L'!C15*MAX(0,MIN(0.5,1-'P&amp;L'!C22/'P&amp;L'!C21)))/('Balance Sheet'!C30+'Balance Sheet'!C81),"")</f>
        <v/>
      </c>
      <c r="D33" s="22">
        <f>IFERROR(('P&amp;L'!D15*MAX(0,MIN(0.5,1-'P&amp;L'!D22/'P&amp;L'!D21)))/('Balance Sheet'!D30+'Balance Sheet'!D81),"")</f>
        <v/>
      </c>
      <c r="E33" s="22">
        <f>IFERROR(('P&amp;L'!E15*MAX(0,MIN(0.5,1-'P&amp;L'!E22/'P&amp;L'!E21)))/('Balance Sheet'!E30+'Balance Sheet'!E81),"")</f>
        <v/>
      </c>
      <c r="F33" s="22">
        <f>IFERROR(('P&amp;L'!F15*MAX(0,MIN(0.5,1-'P&amp;L'!F22/'P&amp;L'!F21)))/('Balance Sheet'!F30+'Balance Sheet'!F81),"")</f>
        <v/>
      </c>
    </row>
    <row r="34" ht="6" customHeight="1"/>
    <row r="35" ht="18" customHeight="1">
      <c r="A35" s="25" t="inlineStr">
        <is>
          <t>LEVERAGE &amp; CREDIT RATIOS</t>
        </is>
      </c>
    </row>
    <row r="36">
      <c r="A36" s="17" t="inlineStr">
        <is>
          <t>Net Debt / EBITDA</t>
        </is>
      </c>
      <c r="B36" s="37">
        <f>IFERROR(('Balance Sheet'!B22-'Balance Sheet'!B5)/'P&amp;L'!B12,"")</f>
        <v/>
      </c>
      <c r="C36" s="37">
        <f>IFERROR(('Balance Sheet'!C22-'Balance Sheet'!C5)/'P&amp;L'!C12,"")</f>
        <v/>
      </c>
      <c r="D36" s="37">
        <f>IFERROR(('Balance Sheet'!D22-'Balance Sheet'!D5)/'P&amp;L'!D12,"")</f>
        <v/>
      </c>
      <c r="E36" s="37">
        <f>IFERROR(('Balance Sheet'!E22-'Balance Sheet'!E5)/'P&amp;L'!E12,"")</f>
        <v/>
      </c>
      <c r="F36" s="37">
        <f>IFERROR(('Balance Sheet'!F22-'Balance Sheet'!F5)/'P&amp;L'!F12,"")</f>
        <v/>
      </c>
    </row>
    <row r="37">
      <c r="A37" s="17" t="inlineStr">
        <is>
          <t>Total Debt / EBITDA</t>
        </is>
      </c>
      <c r="B37" s="37">
        <f>IFERROR('Balance Sheet'!B22/'P&amp;L'!B12,"")</f>
        <v/>
      </c>
      <c r="C37" s="37">
        <f>IFERROR('Balance Sheet'!C22/'P&amp;L'!C12,"")</f>
        <v/>
      </c>
      <c r="D37" s="37">
        <f>IFERROR('Balance Sheet'!D22/'P&amp;L'!D12,"")</f>
        <v/>
      </c>
      <c r="E37" s="37">
        <f>IFERROR('Balance Sheet'!E22/'P&amp;L'!E12,"")</f>
        <v/>
      </c>
      <c r="F37" s="37">
        <f>IFERROR('Balance Sheet'!F22/'P&amp;L'!F12,"")</f>
        <v/>
      </c>
    </row>
    <row r="38">
      <c r="A38" s="17" t="inlineStr">
        <is>
          <t>Interest Coverage  (EBIT / Interest Expense)</t>
        </is>
      </c>
      <c r="B38" s="37">
        <f>IFERROR('P&amp;L'!B15/ABS('P&amp;L'!B21-'P&amp;L'!B15),"")</f>
        <v/>
      </c>
      <c r="C38" s="37">
        <f>IFERROR('P&amp;L'!C15/ABS('P&amp;L'!C21-'P&amp;L'!C15),"")</f>
        <v/>
      </c>
      <c r="D38" s="37">
        <f>IFERROR('P&amp;L'!D15/ABS('P&amp;L'!D21-'P&amp;L'!D15),"")</f>
        <v/>
      </c>
      <c r="E38" s="37">
        <f>IFERROR('P&amp;L'!E15/ABS('P&amp;L'!E21-'P&amp;L'!E15),"")</f>
        <v/>
      </c>
      <c r="F38" s="37">
        <f>IFERROR('P&amp;L'!F15/ABS('P&amp;L'!F21-'P&amp;L'!F15),"")</f>
        <v/>
      </c>
    </row>
    <row r="39">
      <c r="A39" s="17" t="inlineStr">
        <is>
          <t>Debt / Equity</t>
        </is>
      </c>
      <c r="B39" s="37">
        <f>IFERROR('Balance Sheet'!B22/'Balance Sheet'!B30,"")</f>
        <v/>
      </c>
      <c r="C39" s="37">
        <f>IFERROR('Balance Sheet'!C22/'Balance Sheet'!C30,"")</f>
        <v/>
      </c>
      <c r="D39" s="37">
        <f>IFERROR('Balance Sheet'!D22/'Balance Sheet'!D30,"")</f>
        <v/>
      </c>
      <c r="E39" s="37">
        <f>IFERROR('Balance Sheet'!E22/'Balance Sheet'!E30,"")</f>
        <v/>
      </c>
      <c r="F39" s="37">
        <f>IFERROR('Balance Sheet'!F22/'Balance Sheet'!F30,"")</f>
        <v/>
      </c>
    </row>
    <row r="40">
      <c r="A40" s="17" t="inlineStr">
        <is>
          <t>Total Debt / Total Assets</t>
        </is>
      </c>
      <c r="B40" s="22">
        <f>IFERROR('Balance Sheet'!B22/'Balance Sheet'!B15,"")</f>
        <v/>
      </c>
      <c r="C40" s="22">
        <f>IFERROR('Balance Sheet'!C22/'Balance Sheet'!C15,"")</f>
        <v/>
      </c>
      <c r="D40" s="22">
        <f>IFERROR('Balance Sheet'!D22/'Balance Sheet'!D15,"")</f>
        <v/>
      </c>
      <c r="E40" s="22">
        <f>IFERROR('Balance Sheet'!E22/'Balance Sheet'!E15,"")</f>
        <v/>
      </c>
      <c r="F40" s="22">
        <f>IFERROR('Balance Sheet'!F22/'Balance Sheet'!F15,"")</f>
        <v/>
      </c>
    </row>
    <row r="41" ht="6" customHeight="1"/>
    <row r="42" ht="18" customHeight="1">
      <c r="A42" s="25" t="inlineStr">
        <is>
          <t>LIQUIDITY RATIOS</t>
        </is>
      </c>
    </row>
    <row r="43">
      <c r="A43" s="17" t="inlineStr">
        <is>
          <t>Current Ratio  (CA / CL)</t>
        </is>
      </c>
      <c r="B43" s="37">
        <f>IFERROR('Balance Sheet'!B9/'Balance Sheet'!B21,"")</f>
        <v/>
      </c>
      <c r="C43" s="37">
        <f>IFERROR('Balance Sheet'!C9/'Balance Sheet'!C21,"")</f>
        <v/>
      </c>
      <c r="D43" s="37">
        <f>IFERROR('Balance Sheet'!D9/'Balance Sheet'!D21,"")</f>
        <v/>
      </c>
      <c r="E43" s="37">
        <f>IFERROR('Balance Sheet'!E9/'Balance Sheet'!E21,"")</f>
        <v/>
      </c>
      <c r="F43" s="37">
        <f>IFERROR('Balance Sheet'!F9/'Balance Sheet'!F21,"")</f>
        <v/>
      </c>
    </row>
    <row r="44">
      <c r="A44" s="17" t="inlineStr">
        <is>
          <t>Quick Ratio  (CA − Inventory) / CL</t>
        </is>
      </c>
      <c r="B44" s="37">
        <f>IFERROR(('Balance Sheet'!B9-'Balance Sheet'!B7)/'Balance Sheet'!B21,"")</f>
        <v/>
      </c>
      <c r="C44" s="37">
        <f>IFERROR(('Balance Sheet'!C9-'Balance Sheet'!C7)/'Balance Sheet'!C21,"")</f>
        <v/>
      </c>
      <c r="D44" s="37">
        <f>IFERROR(('Balance Sheet'!D9-'Balance Sheet'!D7)/'Balance Sheet'!D21,"")</f>
        <v/>
      </c>
      <c r="E44" s="37">
        <f>IFERROR(('Balance Sheet'!E9-'Balance Sheet'!E7)/'Balance Sheet'!E21,"")</f>
        <v/>
      </c>
      <c r="F44" s="37">
        <f>IFERROR(('Balance Sheet'!F9-'Balance Sheet'!F7)/'Balance Sheet'!F21,"")</f>
        <v/>
      </c>
    </row>
    <row r="45">
      <c r="A45" s="17" t="inlineStr">
        <is>
          <t>Cash Ratio  (Cash / CL)</t>
        </is>
      </c>
      <c r="B45" s="37">
        <f>IFERROR('Balance Sheet'!B5/'Balance Sheet'!B21,"")</f>
        <v/>
      </c>
      <c r="C45" s="37">
        <f>IFERROR('Balance Sheet'!C5/'Balance Sheet'!C21,"")</f>
        <v/>
      </c>
      <c r="D45" s="37">
        <f>IFERROR('Balance Sheet'!D5/'Balance Sheet'!D21,"")</f>
        <v/>
      </c>
      <c r="E45" s="37">
        <f>IFERROR('Balance Sheet'!E5/'Balance Sheet'!E21,"")</f>
        <v/>
      </c>
      <c r="F45" s="37">
        <f>IFERROR('Balance Sheet'!F5/'Balance Sheet'!F21,"")</f>
        <v/>
      </c>
    </row>
    <row r="46" ht="6" customHeight="1"/>
    <row r="47" ht="18" customHeight="1">
      <c r="A47" s="25" t="inlineStr">
        <is>
          <t>EFFICIENCY &amp; WORKING CAPITAL</t>
        </is>
      </c>
    </row>
    <row r="48">
      <c r="A48" s="17" t="inlineStr">
        <is>
          <t>Asset Turnover  (Revenue / Assets)</t>
        </is>
      </c>
      <c r="B48" s="37">
        <f>IFERROR('P&amp;L'!B5/'Balance Sheet'!B15,"")</f>
        <v/>
      </c>
      <c r="C48" s="37">
        <f>IFERROR('P&amp;L'!C5/'Balance Sheet'!C15,"")</f>
        <v/>
      </c>
      <c r="D48" s="37">
        <f>IFERROR('P&amp;L'!D5/'Balance Sheet'!D15,"")</f>
        <v/>
      </c>
      <c r="E48" s="37">
        <f>IFERROR('P&amp;L'!E5/'Balance Sheet'!E15,"")</f>
        <v/>
      </c>
      <c r="F48" s="37">
        <f>IFERROR('P&amp;L'!F5/'Balance Sheet'!F15,"")</f>
        <v/>
      </c>
    </row>
    <row r="49">
      <c r="A49" s="17" t="inlineStr">
        <is>
          <t>Receivables Days  (Avg Rec / Rev × 365)</t>
        </is>
      </c>
      <c r="B49" s="23">
        <f>IFERROR('Balance Sheet'!B6/'P&amp;L'!B5*365,"")</f>
        <v/>
      </c>
      <c r="C49" s="23">
        <f>IFERROR(AVERAGE('Balance Sheet'!C6,'Balance Sheet'!B6)/'P&amp;L'!C5*365,"")</f>
        <v/>
      </c>
      <c r="D49" s="23">
        <f>IFERROR(AVERAGE('Balance Sheet'!D6,'Balance Sheet'!C6)/'P&amp;L'!D5*365,"")</f>
        <v/>
      </c>
      <c r="E49" s="23">
        <f>IFERROR(AVERAGE('Balance Sheet'!E6,'Balance Sheet'!D6)/'P&amp;L'!E5*365,"")</f>
        <v/>
      </c>
      <c r="F49" s="23">
        <f>IFERROR(AVERAGE('Balance Sheet'!F6,'Balance Sheet'!E6)/'P&amp;L'!F5*365,"")</f>
        <v/>
      </c>
    </row>
    <row r="50">
      <c r="A50" s="17" t="inlineStr">
        <is>
          <t>Inventory Days  (Avg Inv / COGS × 365)</t>
        </is>
      </c>
      <c r="B50" s="23">
        <f>IFERROR('Balance Sheet'!B7/'P&amp;L'!B6*365,"")</f>
        <v/>
      </c>
      <c r="C50" s="23">
        <f>IFERROR(AVERAGE('Balance Sheet'!C7,'Balance Sheet'!B7)/'P&amp;L'!C6*365,"")</f>
        <v/>
      </c>
      <c r="D50" s="23">
        <f>IFERROR(AVERAGE('Balance Sheet'!D7,'Balance Sheet'!C7)/'P&amp;L'!D6*365,"")</f>
        <v/>
      </c>
      <c r="E50" s="23">
        <f>IFERROR(AVERAGE('Balance Sheet'!E7,'Balance Sheet'!D7)/'P&amp;L'!E6*365,"")</f>
        <v/>
      </c>
      <c r="F50" s="23">
        <f>IFERROR(AVERAGE('Balance Sheet'!F7,'Balance Sheet'!E7)/'P&amp;L'!F6*365,"")</f>
        <v/>
      </c>
    </row>
    <row r="51">
      <c r="A51" s="17" t="inlineStr">
        <is>
          <t>Payables Days  (Avg AP / COGS × 365)</t>
        </is>
      </c>
      <c r="B51" s="23">
        <f>IFERROR('Balance Sheet'!B17/'P&amp;L'!B6*365,"")</f>
        <v/>
      </c>
      <c r="C51" s="23">
        <f>IFERROR(AVERAGE('Balance Sheet'!C17,'Balance Sheet'!B17)/'P&amp;L'!C6*365,"")</f>
        <v/>
      </c>
      <c r="D51" s="23">
        <f>IFERROR(AVERAGE('Balance Sheet'!D17,'Balance Sheet'!C17)/'P&amp;L'!D6*365,"")</f>
        <v/>
      </c>
      <c r="E51" s="23">
        <f>IFERROR(AVERAGE('Balance Sheet'!E17,'Balance Sheet'!D17)/'P&amp;L'!E6*365,"")</f>
        <v/>
      </c>
      <c r="F51" s="23">
        <f>IFERROR(AVERAGE('Balance Sheet'!F17,'Balance Sheet'!E17)/'P&amp;L'!F6*365,"")</f>
        <v/>
      </c>
    </row>
    <row r="52">
      <c r="A52" s="26" t="inlineStr">
        <is>
          <t>Cash Conversion Cycle  (Rec Days + Inv Days − AP Days)</t>
        </is>
      </c>
      <c r="B52" s="31">
        <f>IFERROR(B49+B50-B51,"")</f>
        <v/>
      </c>
      <c r="C52" s="31">
        <f>IFERROR(C49+C50-C51,"")</f>
        <v/>
      </c>
      <c r="D52" s="31">
        <f>IFERROR(D49+D50-D51,"")</f>
        <v/>
      </c>
      <c r="E52" s="31">
        <f>IFERROR(E49+E50-E51,"")</f>
        <v/>
      </c>
      <c r="F52" s="31">
        <f>IFERROR(F49+F50-F51,"")</f>
        <v/>
      </c>
    </row>
    <row r="53" ht="6" customHeight="1"/>
    <row r="54" ht="18" customHeight="1">
      <c r="A54" s="25" t="inlineStr">
        <is>
          <t>CASH FLOW QUALITY</t>
        </is>
      </c>
    </row>
    <row r="55">
      <c r="A55" s="17" t="inlineStr">
        <is>
          <t>FCF Margin  (FCF / Revenue)</t>
        </is>
      </c>
      <c r="B55" s="22">
        <f>IFERROR('Cash Flow'!B15/'P&amp;L'!B5,"")</f>
        <v/>
      </c>
      <c r="C55" s="22">
        <f>IFERROR('Cash Flow'!C15/'P&amp;L'!C5,"")</f>
        <v/>
      </c>
      <c r="D55" s="22">
        <f>IFERROR('Cash Flow'!D15/'P&amp;L'!D5,"")</f>
        <v/>
      </c>
      <c r="E55" s="22">
        <f>IFERROR('Cash Flow'!E15/'P&amp;L'!E5,"")</f>
        <v/>
      </c>
      <c r="F55" s="22">
        <f>IFERROR('Cash Flow'!F15/'P&amp;L'!F5,"")</f>
        <v/>
      </c>
    </row>
    <row r="56">
      <c r="A56" s="17" t="inlineStr">
        <is>
          <t>FCF Conversion  (FCF / Net Income)</t>
        </is>
      </c>
      <c r="B56" s="22">
        <f>IFERROR('Cash Flow'!B15/'P&amp;L'!B24,"")</f>
        <v/>
      </c>
      <c r="C56" s="22">
        <f>IFERROR('Cash Flow'!C15/'P&amp;L'!C24,"")</f>
        <v/>
      </c>
      <c r="D56" s="22">
        <f>IFERROR('Cash Flow'!D15/'P&amp;L'!D24,"")</f>
        <v/>
      </c>
      <c r="E56" s="22">
        <f>IFERROR('Cash Flow'!E15/'P&amp;L'!E24,"")</f>
        <v/>
      </c>
      <c r="F56" s="22">
        <f>IFERROR('Cash Flow'!F15/'P&amp;L'!F24,"")</f>
        <v/>
      </c>
    </row>
    <row r="57">
      <c r="A57" s="17" t="inlineStr">
        <is>
          <t>Capex as % of Revenue</t>
        </is>
      </c>
      <c r="B57" s="22">
        <f>IFERROR(ABS('Cash Flow'!B6)/'P&amp;L'!B5,"")</f>
        <v/>
      </c>
      <c r="C57" s="22">
        <f>IFERROR(ABS('Cash Flow'!C6)/'P&amp;L'!C5,"")</f>
        <v/>
      </c>
      <c r="D57" s="22">
        <f>IFERROR(ABS('Cash Flow'!D6)/'P&amp;L'!D5,"")</f>
        <v/>
      </c>
      <c r="E57" s="22">
        <f>IFERROR(ABS('Cash Flow'!E6)/'P&amp;L'!E5,"")</f>
        <v/>
      </c>
      <c r="F57" s="22">
        <f>IFERROR(ABS('Cash Flow'!F6)/'P&amp;L'!F5,"")</f>
        <v/>
      </c>
    </row>
    <row r="58">
      <c r="A58" s="17" t="inlineStr">
        <is>
          <t>CFO / Net Income  (Cash Quality)</t>
        </is>
      </c>
      <c r="B58" s="22">
        <f>IFERROR('Cash Flow'!B5/'P&amp;L'!B24,"")</f>
        <v/>
      </c>
      <c r="C58" s="22">
        <f>IFERROR('Cash Flow'!C5/'P&amp;L'!C24,"")</f>
        <v/>
      </c>
      <c r="D58" s="22">
        <f>IFERROR('Cash Flow'!D5/'P&amp;L'!D24,"")</f>
        <v/>
      </c>
      <c r="E58" s="22">
        <f>IFERROR('Cash Flow'!E5/'P&amp;L'!E24,"")</f>
        <v/>
      </c>
      <c r="F58" s="22">
        <f>IFERROR('Cash Flow'!F5/'P&amp;L'!F24,"")</f>
        <v/>
      </c>
    </row>
    <row r="59" ht="6" customHeight="1"/>
    <row r="60" ht="18" customHeight="1">
      <c r="A60" s="25" t="inlineStr">
        <is>
          <t>PER SHARE METRICS</t>
        </is>
      </c>
    </row>
    <row r="61">
      <c r="A61" s="17" t="inlineStr">
        <is>
          <t>Diluted Shares (mm)</t>
        </is>
      </c>
      <c r="B61" s="18" t="n">
        <v>3386</v>
      </c>
      <c r="C61" s="18" t="n">
        <v>3475</v>
      </c>
      <c r="D61" s="18" t="n">
        <v>3482.75</v>
      </c>
      <c r="E61" s="18" t="n">
        <v>3498</v>
      </c>
      <c r="F61" s="18" t="n">
        <v>3528</v>
      </c>
    </row>
    <row r="62">
      <c r="A62" s="17" t="inlineStr">
        <is>
          <t>FCF per Share</t>
        </is>
      </c>
      <c r="B62" s="23">
        <f>IFERROR('Cash Flow'!B15/'Ratios &amp; FCF'!B61,"")</f>
        <v/>
      </c>
      <c r="C62" s="23">
        <f>IFERROR('Cash Flow'!C15/'Ratios &amp; FCF'!C61,"")</f>
        <v/>
      </c>
      <c r="D62" s="23">
        <f>IFERROR('Cash Flow'!D15/'Ratios &amp; FCF'!D61,"")</f>
        <v/>
      </c>
      <c r="E62" s="23">
        <f>IFERROR('Cash Flow'!E15/'Ratios &amp; FCF'!E61,"")</f>
        <v/>
      </c>
      <c r="F62" s="23">
        <f>IFERROR('Cash Flow'!F15/'Ratios &amp; FCF'!F61,"")</f>
        <v/>
      </c>
    </row>
    <row r="63">
      <c r="A63" s="17" t="inlineStr">
        <is>
          <t>Book Value per Share</t>
        </is>
      </c>
      <c r="B63" s="23">
        <f>IFERROR('Balance Sheet'!B30/'Ratios &amp; FCF'!B61,"")</f>
        <v/>
      </c>
      <c r="C63" s="23">
        <f>IFERROR('Balance Sheet'!C30/'Ratios &amp; FCF'!C61,"")</f>
        <v/>
      </c>
      <c r="D63" s="23">
        <f>IFERROR('Balance Sheet'!D30/'Ratios &amp; FCF'!D61,"")</f>
        <v/>
      </c>
      <c r="E63" s="23">
        <f>IFERROR('Balance Sheet'!E30/'Ratios &amp; FCF'!E61,"")</f>
        <v/>
      </c>
      <c r="F63" s="23">
        <f>IFERROR('Balance Sheet'!F30/'Ratios &amp; FCF'!F61,"")</f>
        <v/>
      </c>
    </row>
    <row r="64" ht="6" customHeight="1"/>
    <row r="65" ht="18" customHeight="1">
      <c r="A65" s="38" t="inlineStr">
        <is>
          <t>MODEL CONTROLS — KEY RECONCILIATION CHECKS</t>
        </is>
      </c>
    </row>
    <row r="66" ht="18" customHeight="1">
      <c r="A66" s="34" t="inlineStr">
        <is>
          <t>Zero = OK  |  Non-zero = investigate  |  Blank = FMP returned no data for that field</t>
        </is>
      </c>
    </row>
    <row r="67">
      <c r="A67" s="39" t="inlineStr">
        <is>
          <t>MASTER CHECK — ALL CONTROLS</t>
        </is>
      </c>
      <c r="B67" s="40">
        <f>IF((IFERROR((ABS(B70)&gt;0.01)*1,0)+IFERROR((ABS(B71)&gt;0.01)*1,0)+IFERROR((ABS(B73)&gt;0.01)*1,0)+IFERROR((ABS(B75)&gt;0.01)*1,0)+IFERROR((ABS(B76)&gt;0.01)*1,0)+IFERROR((ABS(B78)&gt;0.01)*1,0)+IFERROR((ABS(B79)&gt;0.01)*1,0))=0,"ALL PASS","FAIL: "&amp;(IFERROR((ABS(B70)&gt;0.01)*1,0)+IFERROR((ABS(B71)&gt;0.01)*1,0)+IFERROR((ABS(B73)&gt;0.01)*1,0)+IFERROR((ABS(B75)&gt;0.01)*1,0)+IFERROR((ABS(B76)&gt;0.01)*1,0)+IFERROR((ABS(B78)&gt;0.01)*1,0)+IFERROR((ABS(B79)&gt;0.01)*1,0))&amp;" check(s) non-zero")</f>
        <v/>
      </c>
      <c r="C67" s="40">
        <f>IF((IFERROR((ABS(C70)&gt;0.01)*1,0)+IFERROR((ABS(C71)&gt;0.01)*1,0)+IFERROR((ABS(C73)&gt;0.01)*1,0)+IFERROR((ABS(C75)&gt;0.01)*1,0)+IFERROR((ABS(C76)&gt;0.01)*1,0)+IFERROR((ABS(C78)&gt;0.01)*1,0)+IFERROR((ABS(C79)&gt;0.01)*1,0))=0,"ALL PASS","FAIL: "&amp;(IFERROR((ABS(C70)&gt;0.01)*1,0)+IFERROR((ABS(C71)&gt;0.01)*1,0)+IFERROR((ABS(C73)&gt;0.01)*1,0)+IFERROR((ABS(C75)&gt;0.01)*1,0)+IFERROR((ABS(C76)&gt;0.01)*1,0)+IFERROR((ABS(C78)&gt;0.01)*1,0)+IFERROR((ABS(C79)&gt;0.01)*1,0))&amp;" check(s) non-zero")</f>
        <v/>
      </c>
      <c r="D67" s="40">
        <f>IF((IFERROR((ABS(D70)&gt;0.01)*1,0)+IFERROR((ABS(D71)&gt;0.01)*1,0)+IFERROR((ABS(D73)&gt;0.01)*1,0)+IFERROR((ABS(D75)&gt;0.01)*1,0)+IFERROR((ABS(D76)&gt;0.01)*1,0)+IFERROR((ABS(D78)&gt;0.01)*1,0)+IFERROR((ABS(D79)&gt;0.01)*1,0))=0,"ALL PASS","FAIL: "&amp;(IFERROR((ABS(D70)&gt;0.01)*1,0)+IFERROR((ABS(D71)&gt;0.01)*1,0)+IFERROR((ABS(D73)&gt;0.01)*1,0)+IFERROR((ABS(D75)&gt;0.01)*1,0)+IFERROR((ABS(D76)&gt;0.01)*1,0)+IFERROR((ABS(D78)&gt;0.01)*1,0)+IFERROR((ABS(D79)&gt;0.01)*1,0))&amp;" check(s) non-zero")</f>
        <v/>
      </c>
      <c r="E67" s="40">
        <f>IF((IFERROR((ABS(E70)&gt;0.01)*1,0)+IFERROR((ABS(E71)&gt;0.01)*1,0)+IFERROR((ABS(E73)&gt;0.01)*1,0)+IFERROR((ABS(E75)&gt;0.01)*1,0)+IFERROR((ABS(E76)&gt;0.01)*1,0)+IFERROR((ABS(E78)&gt;0.01)*1,0)+IFERROR((ABS(E79)&gt;0.01)*1,0))=0,"ALL PASS","FAIL: "&amp;(IFERROR((ABS(E70)&gt;0.01)*1,0)+IFERROR((ABS(E71)&gt;0.01)*1,0)+IFERROR((ABS(E73)&gt;0.01)*1,0)+IFERROR((ABS(E75)&gt;0.01)*1,0)+IFERROR((ABS(E76)&gt;0.01)*1,0)+IFERROR((ABS(E78)&gt;0.01)*1,0)+IFERROR((ABS(E79)&gt;0.01)*1,0))&amp;" check(s) non-zero")</f>
        <v/>
      </c>
      <c r="F67" s="40">
        <f>IF((IFERROR((ABS(F70)&gt;0.01)*1,0)+IFERROR((ABS(F71)&gt;0.01)*1,0)+IFERROR((ABS(F73)&gt;0.01)*1,0)+IFERROR((ABS(F75)&gt;0.01)*1,0)+IFERROR((ABS(F76)&gt;0.01)*1,0)+IFERROR((ABS(F78)&gt;0.01)*1,0)+IFERROR((ABS(F79)&gt;0.01)*1,0))=0,"ALL PASS","FAIL: "&amp;(IFERROR((ABS(F70)&gt;0.01)*1,0)+IFERROR((ABS(F71)&gt;0.01)*1,0)+IFERROR((ABS(F73)&gt;0.01)*1,0)+IFERROR((ABS(F75)&gt;0.01)*1,0)+IFERROR((ABS(F76)&gt;0.01)*1,0)+IFERROR((ABS(F78)&gt;0.01)*1,0)+IFERROR((ABS(F79)&gt;0.01)*1,0))&amp;" check(s) non-zero")</f>
        <v/>
      </c>
    </row>
    <row r="68" ht="6" customHeight="1"/>
    <row r="69" ht="18" customHeight="1">
      <c r="A69" s="10" t="inlineStr">
        <is>
          <t>P&amp;L Checks</t>
        </is>
      </c>
    </row>
    <row r="70">
      <c r="A70" s="17" t="inlineStr">
        <is>
          <t>Gross Profit: (Revenue - COGS) vs Reported  [= 0]</t>
        </is>
      </c>
      <c r="B70" s="23">
        <f>IFERROR('P&amp;L'!B5-'P&amp;L'!B6-'P&amp;L'!B7,"")</f>
        <v/>
      </c>
      <c r="C70" s="23">
        <f>IFERROR('P&amp;L'!C5-'P&amp;L'!C6-'P&amp;L'!C7,"")</f>
        <v/>
      </c>
      <c r="D70" s="23">
        <f>IFERROR('P&amp;L'!D5-'P&amp;L'!D6-'P&amp;L'!D7,"")</f>
        <v/>
      </c>
      <c r="E70" s="23">
        <f>IFERROR('P&amp;L'!E5-'P&amp;L'!E6-'P&amp;L'!E7,"")</f>
        <v/>
      </c>
      <c r="F70" s="23">
        <f>IFERROR('P&amp;L'!F5-'P&amp;L'!F6-'P&amp;L'!F7,"")</f>
        <v/>
      </c>
    </row>
    <row r="71">
      <c r="A71" s="17" t="inlineStr">
        <is>
          <t>EBITDA: (EBIT + D&amp;A) vs Reported  [= 0  — formula-driven, always passes]</t>
        </is>
      </c>
      <c r="B71" s="23">
        <f>IFERROR('P&amp;L'!B15+'P&amp;L'!B14-'P&amp;L'!B12,"")</f>
        <v/>
      </c>
      <c r="C71" s="23">
        <f>IFERROR('P&amp;L'!C15+'P&amp;L'!C14-'P&amp;L'!C12,"")</f>
        <v/>
      </c>
      <c r="D71" s="23">
        <f>IFERROR('P&amp;L'!D15+'P&amp;L'!D14-'P&amp;L'!D12,"")</f>
        <v/>
      </c>
      <c r="E71" s="23">
        <f>IFERROR('P&amp;L'!E15+'P&amp;L'!E14-'P&amp;L'!E12,"")</f>
        <v/>
      </c>
      <c r="F71" s="23">
        <f>IFERROR('P&amp;L'!F15+'P&amp;L'!F14-'P&amp;L'!F12,"")</f>
        <v/>
      </c>
    </row>
    <row r="72">
      <c r="A72" s="17" t="inlineStr">
        <is>
          <t>Below-the-Line Residual: (EBT - EBIT) - Net Interest  [non-zero = Other Non-Op items, informational]</t>
        </is>
      </c>
      <c r="B72" s="23">
        <f>IFERROR(('P&amp;L'!B21-'P&amp;L'!B15)-('P&amp;L'!B18-'P&amp;L'!B17),"")</f>
        <v/>
      </c>
      <c r="C72" s="23">
        <f>IFERROR(('P&amp;L'!C21-'P&amp;L'!C15)-('P&amp;L'!C18-'P&amp;L'!C17),"")</f>
        <v/>
      </c>
      <c r="D72" s="23">
        <f>IFERROR(('P&amp;L'!D21-'P&amp;L'!D15)-('P&amp;L'!D18-'P&amp;L'!D17),"")</f>
        <v/>
      </c>
      <c r="E72" s="23">
        <f>IFERROR(('P&amp;L'!E21-'P&amp;L'!E15)-('P&amp;L'!E18-'P&amp;L'!E17),"")</f>
        <v/>
      </c>
      <c r="F72" s="23">
        <f>IFERROR(('P&amp;L'!F21-'P&amp;L'!F15)-('P&amp;L'!F18-'P&amp;L'!F17),"")</f>
        <v/>
      </c>
    </row>
    <row r="73">
      <c r="A73" s="17" t="inlineStr">
        <is>
          <t>Net Income: (EBT - Tax) vs Reported  [= 0]</t>
        </is>
      </c>
      <c r="B73" s="23">
        <f>IFERROR('P&amp;L'!B21-'P&amp;L'!B22-'P&amp;L'!B24,"")</f>
        <v/>
      </c>
      <c r="C73" s="23">
        <f>IFERROR('P&amp;L'!C21-'P&amp;L'!C22-'P&amp;L'!C24,"")</f>
        <v/>
      </c>
      <c r="D73" s="23">
        <f>IFERROR('P&amp;L'!D21-'P&amp;L'!D22-'P&amp;L'!D24,"")</f>
        <v/>
      </c>
      <c r="E73" s="23">
        <f>IFERROR('P&amp;L'!E21-'P&amp;L'!E22-'P&amp;L'!E24,"")</f>
        <v/>
      </c>
      <c r="F73" s="23">
        <f>IFERROR('P&amp;L'!F21-'P&amp;L'!F22-'P&amp;L'!F24,"")</f>
        <v/>
      </c>
    </row>
    <row r="74" ht="18" customHeight="1">
      <c r="A74" s="10" t="inlineStr">
        <is>
          <t>Balance Sheet Checks</t>
        </is>
      </c>
    </row>
    <row r="75">
      <c r="A75" s="17" t="inlineStr">
        <is>
          <t>BS Balanced: Total Assets vs (Total Liabilities + Total Equity)  [= 0]</t>
        </is>
      </c>
      <c r="B75" s="23">
        <f>IFERROR('Balance Sheet'!B15-'Balance Sheet'!B25-'Balance Sheet'!B30,"")</f>
        <v/>
      </c>
      <c r="C75" s="23">
        <f>IFERROR('Balance Sheet'!C15-'Balance Sheet'!C25-'Balance Sheet'!C30,"")</f>
        <v/>
      </c>
      <c r="D75" s="23">
        <f>IFERROR('Balance Sheet'!D15-'Balance Sheet'!D25-'Balance Sheet'!D30,"")</f>
        <v/>
      </c>
      <c r="E75" s="23">
        <f>IFERROR('Balance Sheet'!E15-'Balance Sheet'!E25-'Balance Sheet'!E30,"")</f>
        <v/>
      </c>
      <c r="F75" s="23">
        <f>IFERROR('Balance Sheet'!F15-'Balance Sheet'!F25-'Balance Sheet'!F30,"")</f>
        <v/>
      </c>
    </row>
    <row r="76">
      <c r="A76" s="17" t="inlineStr">
        <is>
          <t>Assets: (Total CA + Total LT Assets) vs Total Assets  [= 0]</t>
        </is>
      </c>
      <c r="B76" s="23">
        <f>IFERROR('Balance Sheet'!B9+('Balance Sheet'!B14)-'Balance Sheet'!B15,"")</f>
        <v/>
      </c>
      <c r="C76" s="23">
        <f>IFERROR('Balance Sheet'!C9+('Balance Sheet'!C14)-'Balance Sheet'!C15,"")</f>
        <v/>
      </c>
      <c r="D76" s="23">
        <f>IFERROR('Balance Sheet'!D9+('Balance Sheet'!D14)-'Balance Sheet'!D15,"")</f>
        <v/>
      </c>
      <c r="E76" s="23">
        <f>IFERROR('Balance Sheet'!E9+('Balance Sheet'!E14)-'Balance Sheet'!E15,"")</f>
        <v/>
      </c>
      <c r="F76" s="23">
        <f>IFERROR('Balance Sheet'!F9+('Balance Sheet'!F14)-'Balance Sheet'!F15,"")</f>
        <v/>
      </c>
    </row>
    <row r="77" ht="18" customHeight="1">
      <c r="A77" s="10" t="inlineStr">
        <is>
          <t>Cash Flow Checks</t>
        </is>
      </c>
    </row>
    <row r="78">
      <c r="A78" s="17" t="inlineStr">
        <is>
          <t>Cash Change: CFO + CFI + CFF vs Reported Net Change  [= 0]</t>
        </is>
      </c>
      <c r="B78" s="23">
        <f>IFERROR('Cash Flow'!B5+'Cash Flow'!B7+'Cash Flow'!B13-'Cash Flow'!B50,"")</f>
        <v/>
      </c>
      <c r="C78" s="23">
        <f>IFERROR('Cash Flow'!C5+'Cash Flow'!C7+'Cash Flow'!C13-'Cash Flow'!C50,"")</f>
        <v/>
      </c>
      <c r="D78" s="23">
        <f>IFERROR('Cash Flow'!D5+'Cash Flow'!D7+'Cash Flow'!D13-'Cash Flow'!D50,"")</f>
        <v/>
      </c>
      <c r="E78" s="23">
        <f>IFERROR('Cash Flow'!E5+'Cash Flow'!E7+'Cash Flow'!E13-'Cash Flow'!E50,"")</f>
        <v/>
      </c>
      <c r="F78" s="23">
        <f>IFERROR('Cash Flow'!F5+'Cash Flow'!F7+'Cash Flow'!F13-'Cash Flow'!F50,"")</f>
        <v/>
      </c>
    </row>
    <row r="79">
      <c r="A79" s="17" t="inlineStr">
        <is>
          <t>FCF: (CFO + Capex) vs Reported FCF  [= 0]</t>
        </is>
      </c>
      <c r="B79" s="23">
        <f>IFERROR('Cash Flow'!B5+'Cash Flow'!B6-'Cash Flow'!B15,"")</f>
        <v/>
      </c>
      <c r="C79" s="23">
        <f>IFERROR('Cash Flow'!C5+'Cash Flow'!C6-'Cash Flow'!C15,"")</f>
        <v/>
      </c>
      <c r="D79" s="23">
        <f>IFERROR('Cash Flow'!D5+'Cash Flow'!D6-'Cash Flow'!D15,"")</f>
        <v/>
      </c>
      <c r="E79" s="23">
        <f>IFERROR('Cash Flow'!E5+'Cash Flow'!E6-'Cash Flow'!E15,"")</f>
        <v/>
      </c>
      <c r="F79" s="23">
        <f>IFERROR('Cash Flow'!F5+'Cash Flow'!F6-'Cash Flow'!F15,"")</f>
        <v/>
      </c>
    </row>
    <row r="80" ht="18" customHeight="1">
      <c r="A80" s="10" t="inlineStr">
        <is>
          <t>UFCF Bridge Check  [informational — not exact]</t>
        </is>
      </c>
    </row>
    <row r="81">
      <c r="A81" s="17" t="inlineStr">
        <is>
          <t>UFCF vs (CFO + Capex)  [difference = NWC and tax adjustments]</t>
        </is>
      </c>
      <c r="B81" s="23">
        <f>IFERROR(B13-('Cash Flow'!B5+'Cash Flow'!B6),"")</f>
        <v/>
      </c>
      <c r="C81" s="23">
        <f>IFERROR(C13-('Cash Flow'!C5+'Cash Flow'!C6),"")</f>
        <v/>
      </c>
      <c r="D81" s="23">
        <f>IFERROR(D13-('Cash Flow'!D5+'Cash Flow'!D6),"")</f>
        <v/>
      </c>
      <c r="E81" s="23">
        <f>IFERROR(E13-('Cash Flow'!E5+'Cash Flow'!E6),"")</f>
        <v/>
      </c>
      <c r="F81" s="23">
        <f>IFERROR(F13-('Cash Flow'!F5+'Cash Flow'!F6),"")</f>
        <v/>
      </c>
    </row>
  </sheetData>
  <mergeCells count="18">
    <mergeCell ref="A2:F2"/>
    <mergeCell ref="A16:F16"/>
    <mergeCell ref="A54:F54"/>
    <mergeCell ref="A47:F47"/>
    <mergeCell ref="A42:F42"/>
    <mergeCell ref="A60:F60"/>
    <mergeCell ref="A66:F66"/>
    <mergeCell ref="A1:F1"/>
    <mergeCell ref="A5:F5"/>
    <mergeCell ref="A80:F80"/>
    <mergeCell ref="A74:F74"/>
    <mergeCell ref="A17:F17"/>
    <mergeCell ref="A35:F35"/>
    <mergeCell ref="A4:F4"/>
    <mergeCell ref="A26:F26"/>
    <mergeCell ref="A77:F77"/>
    <mergeCell ref="A69:F69"/>
    <mergeCell ref="A65:F6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TSLA — Revenue Segmentation</t>
        </is>
      </c>
    </row>
    <row r="2" ht="14" customHeight="1">
      <c r="A2" s="2" t="inlineStr">
        <is>
          <t>Requires FMP Starter plan or above. Data sourced from company filings.</t>
        </is>
      </c>
    </row>
    <row r="3" ht="18" customHeight="1">
      <c r="A3" s="5" t="inlineStr">
        <is>
          <t>PRODUCT / BUSINESS SEGMENT REVENUE ($mm)</t>
        </is>
      </c>
    </row>
    <row r="4" ht="18" customHeight="1">
      <c r="A4" s="13" t="inlineStr">
        <is>
          <t>Fiscal Year Ending</t>
        </is>
      </c>
      <c r="B4" s="14" t="inlineStr">
        <is>
          <t>2025</t>
        </is>
      </c>
      <c r="C4" s="14" t="inlineStr">
        <is>
          <t>2024</t>
        </is>
      </c>
      <c r="D4" s="14" t="inlineStr">
        <is>
          <t>2023</t>
        </is>
      </c>
      <c r="E4" s="14" t="inlineStr">
        <is>
          <t>2022</t>
        </is>
      </c>
      <c r="F4" s="14" t="inlineStr">
        <is>
          <t>2021</t>
        </is>
      </c>
    </row>
    <row r="5">
      <c r="A5" s="17" t="inlineStr">
        <is>
          <t>data</t>
        </is>
      </c>
      <c r="B5" s="18" t="n">
        <v>69526</v>
      </c>
      <c r="C5" s="18" t="n">
        <v>77070</v>
      </c>
      <c r="D5" s="18" t="n">
        <v>82419</v>
      </c>
      <c r="E5" s="18" t="n">
        <v>71462</v>
      </c>
      <c r="F5" s="18" t="n">
        <v>47232</v>
      </c>
    </row>
    <row r="7" ht="6" customHeight="1"/>
    <row r="8" ht="18" customHeight="1">
      <c r="A8" s="5" t="inlineStr">
        <is>
          <t>GEOGRAPHIC SEGMENT REVENUE ($mm)</t>
        </is>
      </c>
    </row>
    <row r="9" ht="24" customHeight="1">
      <c r="A9" s="41" t="inlineStr">
        <is>
          <t>Data not available on your current FMP plan (requires Starter or above). Upgrade at financialmodelingprep.com to unlock segment data.</t>
        </is>
      </c>
    </row>
  </sheetData>
  <mergeCells count="5">
    <mergeCell ref="A2:F2"/>
    <mergeCell ref="A1:F1"/>
    <mergeCell ref="A9:F9"/>
    <mergeCell ref="A8:F8"/>
    <mergeCell ref="A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42" customWidth="1" min="3" max="3"/>
  </cols>
  <sheetData>
    <row r="1" ht="28" customHeight="1">
      <c r="A1" s="1" t="inlineStr">
        <is>
          <t>TSLA — WACC &amp; COST OF CAPITAL</t>
        </is>
      </c>
    </row>
    <row r="2" ht="14" customHeight="1">
      <c r="A2" s="2" t="inlineStr">
        <is>
          <t>Blue = user override  |  Green = selected input  |  Default pre-filled with average of all sources  |  All figures USD millions</t>
        </is>
      </c>
    </row>
    <row r="3">
      <c r="A3" s="42" t="n"/>
      <c r="B3" s="42" t="n"/>
      <c r="C3" s="42" t="n"/>
    </row>
    <row r="4" ht="18" customHeight="1">
      <c r="A4" s="25" t="inlineStr">
        <is>
          <t>CAPITAL STRUCTURE</t>
        </is>
      </c>
    </row>
    <row r="5">
      <c r="A5" s="17" t="inlineStr">
        <is>
          <t>Equity  (market capitalisation, $mm)</t>
        </is>
      </c>
      <c r="B5" s="43" t="n">
        <v>1599974.2772</v>
      </c>
      <c r="C5" s="44" t="inlineStr">
        <is>
          <t>FMP marketCap  |  price $426.01</t>
        </is>
      </c>
    </row>
    <row r="6">
      <c r="A6" s="17" t="inlineStr">
        <is>
          <t>Debt  (gross book value, $mm)</t>
        </is>
      </c>
      <c r="B6" s="43" t="n">
        <v>8376</v>
      </c>
      <c r="C6" s="44" t="inlineStr">
        <is>
          <t>FMP: shortTermDebt + longTermDebt, most recent yr-end</t>
        </is>
      </c>
    </row>
    <row r="7">
      <c r="A7" s="19" t="inlineStr">
        <is>
          <t>Total capital  (V = E + D)</t>
        </is>
      </c>
      <c r="B7" s="20">
        <f>B5+B6</f>
        <v/>
      </c>
      <c r="C7" s="45" t="inlineStr"/>
    </row>
    <row r="8">
      <c r="A8" s="17" t="inlineStr">
        <is>
          <t>Equity weight  (E / V)</t>
        </is>
      </c>
      <c r="B8" s="46">
        <f>IFERROR(B5/B7,1)</f>
        <v/>
      </c>
      <c r="C8" s="44" t="inlineStr">
        <is>
          <t>Weight applied to Re in WACC</t>
        </is>
      </c>
    </row>
    <row r="9">
      <c r="A9" s="17" t="inlineStr">
        <is>
          <t>Debt weight  (D / V)</t>
        </is>
      </c>
      <c r="B9" s="46">
        <f>IFERROR(B6/B7,0)</f>
        <v/>
      </c>
      <c r="C9" s="44" t="inlineStr">
        <is>
          <t>Weight applied to after-tax Rd in WACC</t>
        </is>
      </c>
    </row>
    <row r="10">
      <c r="A10" s="42" t="n"/>
      <c r="B10" s="42" t="n"/>
      <c r="C10" s="42" t="n"/>
    </row>
    <row r="11" ht="18" customHeight="1">
      <c r="A11" s="25" t="inlineStr">
        <is>
          <t>STEP 1 — RISK-FREE RATE</t>
        </is>
      </c>
    </row>
    <row r="12">
      <c r="A12" s="17" t="inlineStr">
        <is>
          <t>10-yr US Treasury yield  (FRED DGS10)</t>
        </is>
      </c>
      <c r="B12" s="46" t="n">
        <v>0.0446</v>
      </c>
      <c r="C12" s="44" t="inlineStr">
        <is>
          <t>FRED series DGS10  |  latest: 2026-06-18</t>
        </is>
      </c>
    </row>
    <row r="13">
      <c r="A13" s="47" t="inlineStr">
        <is>
          <t>► Selected Rf  (override if needed)</t>
        </is>
      </c>
      <c r="B13" s="48" t="n">
        <v>0.0446</v>
      </c>
      <c r="C13" s="49" t="inlineStr">
        <is>
          <t>Pre-filled with live FRED DGS10 rate</t>
        </is>
      </c>
    </row>
    <row r="14">
      <c r="A14" s="42" t="n"/>
      <c r="B14" s="42" t="n"/>
      <c r="C14" s="42" t="n"/>
    </row>
    <row r="15" ht="18" customHeight="1">
      <c r="A15" s="25" t="inlineStr">
        <is>
          <t>STEP 2 — BETA</t>
        </is>
      </c>
    </row>
    <row r="16">
      <c r="A16" s="17" t="inlineStr">
        <is>
          <t>Raw beta  (FMP — 5yr monthly vs S&amp;P 500)</t>
        </is>
      </c>
      <c r="B16" s="50" t="n">
        <v>1.793</v>
      </c>
      <c r="C16" s="44" t="inlineStr">
        <is>
          <t>FMP company profile endpoint</t>
        </is>
      </c>
    </row>
    <row r="17">
      <c r="A17" s="17" t="inlineStr">
        <is>
          <t>Blume-adjusted  (0.67 × raw + 0.33)</t>
        </is>
      </c>
      <c r="B17" s="50" t="n">
        <v>1.531</v>
      </c>
      <c r="C17" s="44" t="inlineStr">
        <is>
          <t>Mean-reversion toward market beta of 1.0</t>
        </is>
      </c>
    </row>
    <row r="18">
      <c r="A18" s="17" t="inlineStr">
        <is>
          <t>Damodaran industry unlevered  (Auto - Manufacturers)</t>
        </is>
      </c>
      <c r="B18" s="50" t="n">
        <v>1</v>
      </c>
      <c r="C18" s="44" t="inlineStr">
        <is>
          <t>Damodaran.com — betas by industry, Jan 2025 US</t>
        </is>
      </c>
    </row>
    <row r="19">
      <c r="A19" s="17" t="inlineStr">
        <is>
          <t>Damodaran re-levered  (D/E = 0.01x,  t = 27.0%)</t>
        </is>
      </c>
      <c r="B19" s="50" t="n">
        <v>1.004</v>
      </c>
      <c r="C19" s="44">
        <f> unlevered × (1 + (1 − t) × D/E)</f>
        <v/>
      </c>
    </row>
    <row r="20">
      <c r="A20" s="47" t="inlineStr">
        <is>
          <t>► Selected beta  (user override)</t>
        </is>
      </c>
      <c r="B20" s="51" t="n">
        <v>1.443</v>
      </c>
      <c r="C20" s="49" t="inlineStr">
        <is>
          <t>Default = average of 3 source(s) above — override freely</t>
        </is>
      </c>
    </row>
    <row r="21">
      <c r="A21" s="42" t="n"/>
      <c r="B21" s="42" t="n"/>
      <c r="C21" s="42" t="n"/>
    </row>
    <row r="22" ht="18" customHeight="1">
      <c r="A22" s="25" t="inlineStr">
        <is>
          <t>STEP 3 — EQUITY RISK PREMIUM  (ERP)</t>
        </is>
      </c>
    </row>
    <row r="23">
      <c r="A23" s="17" t="inlineStr">
        <is>
          <t>Damodaran implied ERP — US market (current)</t>
        </is>
      </c>
      <c r="B23" s="46" t="n">
        <v>0.0472</v>
      </c>
      <c r="C23" s="44" t="inlineStr">
        <is>
          <t>Damodaran.com implied ERP — Jan 2026</t>
        </is>
      </c>
    </row>
    <row r="24">
      <c r="A24" s="17" t="inlineStr">
        <is>
          <t>Damodaran historical avg — US 1928–2025</t>
        </is>
      </c>
      <c r="B24" s="46" t="n">
        <v>0.042</v>
      </c>
      <c r="C24" s="44" t="inlineStr">
        <is>
          <t>Arithmetic average excess return over T-bill</t>
        </is>
      </c>
    </row>
    <row r="25">
      <c r="A25" s="47" t="inlineStr">
        <is>
          <t>► Selected ERP  (user override)</t>
        </is>
      </c>
      <c r="B25" s="48" t="n">
        <v>0.0446</v>
      </c>
      <c r="C25" s="49" t="inlineStr">
        <is>
          <t>Default = average of Damodaran implied &amp; historical avg — override freely</t>
        </is>
      </c>
    </row>
    <row r="26">
      <c r="A26" s="42" t="n"/>
      <c r="B26" s="42" t="n"/>
      <c r="C26" s="42" t="n"/>
    </row>
    <row r="27" ht="18" customHeight="1">
      <c r="A27" s="25" t="inlineStr">
        <is>
          <t>STEP 4 — COST OF EQUITY  (CAPM:  Re = Rf + β × ERP)</t>
        </is>
      </c>
    </row>
    <row r="28">
      <c r="A28" s="19" t="inlineStr">
        <is>
          <t>Cost of equity  (Re)</t>
        </is>
      </c>
      <c r="B28" s="52">
        <f>B13+B20*B25</f>
        <v/>
      </c>
      <c r="C28" s="45" t="inlineStr">
        <is>
          <t>CAPM formula — references selected inputs above</t>
        </is>
      </c>
    </row>
    <row r="29">
      <c r="A29" s="42" t="n"/>
      <c r="B29" s="42" t="n"/>
      <c r="C29" s="42" t="n"/>
    </row>
    <row r="30" ht="18" customHeight="1">
      <c r="A30" s="25" t="inlineStr">
        <is>
          <t>STEP 5 — COST OF DEBT  (Pre-tax Rd)</t>
        </is>
      </c>
    </row>
    <row r="31">
      <c r="A31" s="17" t="inlineStr">
        <is>
          <t>Credit rating  (S&amp;P / Moody's)</t>
        </is>
      </c>
      <c r="B31" s="53" t="inlineStr">
        <is>
          <t>BBB-</t>
        </is>
      </c>
      <c r="C31" s="44" t="inlineStr">
        <is>
          <t>User input</t>
        </is>
      </c>
    </row>
    <row r="32">
      <c r="A32" s="17" t="inlineStr">
        <is>
          <t>FRED matched yield  (rating-tier index)</t>
        </is>
      </c>
      <c r="B32" s="46" t="n">
        <v>0.0535</v>
      </c>
      <c r="C32" s="44" t="inlineStr">
        <is>
          <t>FRED BAMLC0A4CBBBEY — BBB</t>
        </is>
      </c>
    </row>
    <row r="33">
      <c r="A33" s="17" t="inlineStr">
        <is>
          <t>Interest Coverage Ratio  (EBIT / Gross Int Exp)</t>
        </is>
      </c>
      <c r="B33" s="50" t="n">
        <v>12.9</v>
      </c>
      <c r="C33" s="44" t="inlineStr">
        <is>
          <t>EBIT $4355mm  /  Int Exp $338mm</t>
        </is>
      </c>
    </row>
    <row r="34">
      <c r="A34" s="17" t="inlineStr">
        <is>
          <t>Synthetic rating  (Damodaran ICR table)</t>
        </is>
      </c>
      <c r="B34" s="53" t="inlineStr">
        <is>
          <t>AAA</t>
        </is>
      </c>
      <c r="C34" s="44" t="inlineStr">
        <is>
          <t>ICR 12.9x  →  AAA</t>
        </is>
      </c>
    </row>
    <row r="35">
      <c r="A35" s="17" t="inlineStr">
        <is>
          <t>Synthetic Rd  (Rf + Damodaran default spread)</t>
        </is>
      </c>
      <c r="B35" s="46" t="n">
        <v>0.05</v>
      </c>
      <c r="C35" s="44" t="inlineStr">
        <is>
          <t>Rf 4.46% + spread 0.54%</t>
        </is>
      </c>
    </row>
    <row r="36">
      <c r="A36" s="17" t="inlineStr">
        <is>
          <t>Accounting Rd  (Gross int exp / Avg gross debt)</t>
        </is>
      </c>
      <c r="B36" s="46" t="n">
        <v>0.04158976251999508</v>
      </c>
      <c r="C36" s="44" t="inlineStr">
        <is>
          <t>Cross-check only — backward-looking</t>
        </is>
      </c>
    </row>
    <row r="37">
      <c r="A37" s="17" t="inlineStr">
        <is>
          <t xml:space="preserve">  Note: net interest INCOME of $1342mm  (int inc $1680mm &gt; int exp $338mm)</t>
        </is>
      </c>
      <c r="B37" s="53" t="n"/>
      <c r="C37" s="44" t="inlineStr">
        <is>
          <t>Gross Rd is the correct basis here — net figure is distorted</t>
        </is>
      </c>
    </row>
    <row r="38">
      <c r="A38" s="47" t="inlineStr">
        <is>
          <t>► Selected pre-tax Rd  (user override)</t>
        </is>
      </c>
      <c r="B38" s="48" t="n">
        <v>0.0484</v>
      </c>
      <c r="C38" s="49" t="inlineStr">
        <is>
          <t>Default = average of 3 source(s) above — override freely</t>
        </is>
      </c>
    </row>
    <row r="39">
      <c r="A39" s="42" t="n"/>
      <c r="B39" s="42" t="n"/>
      <c r="C39" s="42" t="n"/>
    </row>
    <row r="40" ht="18" customHeight="1">
      <c r="A40" s="25" t="inlineStr">
        <is>
          <t>STEP 6 — TAX RATE</t>
        </is>
      </c>
    </row>
    <row r="41">
      <c r="A41" s="17" t="inlineStr">
        <is>
          <t>Effective tax rate  (tax expense / pre-tax income)</t>
        </is>
      </c>
      <c r="B41" s="46" t="n">
        <v>0.2696</v>
      </c>
      <c r="C41" s="44" t="inlineStr">
        <is>
          <t>FMP: $1423mm  /  $5278mm</t>
        </is>
      </c>
    </row>
    <row r="42">
      <c r="A42" s="47" t="inlineStr">
        <is>
          <t>► Selected tax rate  (user override)</t>
        </is>
      </c>
      <c r="B42" s="48" t="n">
        <v>0.2696</v>
      </c>
      <c r="C42" s="49" t="inlineStr">
        <is>
          <t>Adjust to normalised / marginal rate if preferred</t>
        </is>
      </c>
    </row>
    <row r="43">
      <c r="A43" s="42" t="n"/>
      <c r="B43" s="42" t="n"/>
      <c r="C43" s="42" t="n"/>
    </row>
    <row r="44" ht="18" customHeight="1">
      <c r="A44" s="5" t="inlineStr">
        <is>
          <t>WACC OUTPUT</t>
        </is>
      </c>
    </row>
    <row r="45" ht="22" customHeight="1">
      <c r="A45" s="54" t="inlineStr">
        <is>
          <t>WACC  =  MAX(8.5%, (E/V × Re) + (D/V × Rd × (1 − t)))</t>
        </is>
      </c>
      <c r="B45" s="55">
        <f>MAX(0.085, B8*B28+B9*B38*(1-B42))</f>
        <v/>
      </c>
      <c r="C45" s="56" t="inlineStr">
        <is>
          <t>Floored 8.5% (D-001); raw formula below</t>
        </is>
      </c>
    </row>
    <row r="46">
      <c r="A46" s="42" t="n"/>
      <c r="B46" s="42" t="n"/>
      <c r="C46" s="42" t="n"/>
    </row>
    <row r="47" ht="18" customHeight="1">
      <c r="A47" s="10" t="inlineStr">
        <is>
          <t>SENSITIVITY — WACC (%)  by Beta offset × ERP offset</t>
        </is>
      </c>
    </row>
    <row r="48">
      <c r="A48" s="57" t="inlineStr">
        <is>
          <t>Beta offset  \  ERP offset →</t>
        </is>
      </c>
      <c r="B48" s="57" t="inlineStr">
        <is>
          <t>-1.0%</t>
        </is>
      </c>
      <c r="C48" s="57" t="inlineStr">
        <is>
          <t>-0.5%</t>
        </is>
      </c>
      <c r="D48" s="57" t="inlineStr">
        <is>
          <t>Base ERP</t>
        </is>
      </c>
      <c r="E48" s="57" t="inlineStr">
        <is>
          <t>+0.5%</t>
        </is>
      </c>
      <c r="F48" s="57" t="inlineStr">
        <is>
          <t>+1.0%</t>
        </is>
      </c>
    </row>
    <row r="49">
      <c r="A49" s="58" t="inlineStr">
        <is>
          <t>-1.0</t>
        </is>
      </c>
      <c r="B49" s="59">
        <f>B8*(B13+(B20+(-1.0))*(B25+(-0.01)))+B9*B38*(1-B42)</f>
        <v/>
      </c>
      <c r="C49" s="59">
        <f>B8*(B13+(B20+(-1.0))*(B25+(-0.005)))+B9*B38*(1-B42)</f>
        <v/>
      </c>
      <c r="D49" s="59">
        <f>B8*(B13+(B20+(-1.0))*(B25+(0.0)))+B9*B38*(1-B42)</f>
        <v/>
      </c>
      <c r="E49" s="59">
        <f>B8*(B13+(B20+(-1.0))*(B25+(0.005)))+B9*B38*(1-B42)</f>
        <v/>
      </c>
      <c r="F49" s="59">
        <f>B8*(B13+(B20+(-1.0))*(B25+(0.01)))+B9*B38*(1-B42)</f>
        <v/>
      </c>
    </row>
    <row r="50">
      <c r="A50" s="58" t="inlineStr">
        <is>
          <t>-0.5</t>
        </is>
      </c>
      <c r="B50" s="59">
        <f>B8*(B13+(B20+(-0.5))*(B25+(-0.01)))+B9*B38*(1-B42)</f>
        <v/>
      </c>
      <c r="C50" s="59">
        <f>B8*(B13+(B20+(-0.5))*(B25+(-0.005)))+B9*B38*(1-B42)</f>
        <v/>
      </c>
      <c r="D50" s="59">
        <f>B8*(B13+(B20+(-0.5))*(B25+(0.0)))+B9*B38*(1-B42)</f>
        <v/>
      </c>
      <c r="E50" s="59">
        <f>B8*(B13+(B20+(-0.5))*(B25+(0.005)))+B9*B38*(1-B42)</f>
        <v/>
      </c>
      <c r="F50" s="59">
        <f>B8*(B13+(B20+(-0.5))*(B25+(0.01)))+B9*B38*(1-B42)</f>
        <v/>
      </c>
    </row>
    <row r="51">
      <c r="A51" s="60" t="inlineStr">
        <is>
          <t>Base β</t>
        </is>
      </c>
      <c r="B51" s="61">
        <f>B8*(B13+(B20+(0.0))*(B25+(-0.01)))+B9*B38*(1-B42)</f>
        <v/>
      </c>
      <c r="C51" s="61">
        <f>B8*(B13+(B20+(0.0))*(B25+(-0.005)))+B9*B38*(1-B42)</f>
        <v/>
      </c>
      <c r="D51" s="62">
        <f>B8*(B13+(B20+(0.0))*(B25+(0.0)))+B9*B38*(1-B42)</f>
        <v/>
      </c>
      <c r="E51" s="61">
        <f>B8*(B13+(B20+(0.0))*(B25+(0.005)))+B9*B38*(1-B42)</f>
        <v/>
      </c>
      <c r="F51" s="61">
        <f>B8*(B13+(B20+(0.0))*(B25+(0.01)))+B9*B38*(1-B42)</f>
        <v/>
      </c>
    </row>
    <row r="52">
      <c r="A52" s="58" t="inlineStr">
        <is>
          <t>+0.5</t>
        </is>
      </c>
      <c r="B52" s="59">
        <f>B8*(B13+(B20+(0.5))*(B25+(-0.01)))+B9*B38*(1-B42)</f>
        <v/>
      </c>
      <c r="C52" s="59">
        <f>B8*(B13+(B20+(0.5))*(B25+(-0.005)))+B9*B38*(1-B42)</f>
        <v/>
      </c>
      <c r="D52" s="59">
        <f>B8*(B13+(B20+(0.5))*(B25+(0.0)))+B9*B38*(1-B42)</f>
        <v/>
      </c>
      <c r="E52" s="59">
        <f>B8*(B13+(B20+(0.5))*(B25+(0.005)))+B9*B38*(1-B42)</f>
        <v/>
      </c>
      <c r="F52" s="59">
        <f>B8*(B13+(B20+(0.5))*(B25+(0.01)))+B9*B38*(1-B42)</f>
        <v/>
      </c>
    </row>
    <row r="53">
      <c r="A53" s="58" t="inlineStr">
        <is>
          <t>+1.0</t>
        </is>
      </c>
      <c r="B53" s="59">
        <f>B8*(B13+(B20+(1.0))*(B25+(-0.01)))+B9*B38*(1-B42)</f>
        <v/>
      </c>
      <c r="C53" s="59">
        <f>B8*(B13+(B20+(1.0))*(B25+(-0.005)))+B9*B38*(1-B42)</f>
        <v/>
      </c>
      <c r="D53" s="59">
        <f>B8*(B13+(B20+(1.0))*(B25+(0.0)))+B9*B38*(1-B42)</f>
        <v/>
      </c>
      <c r="E53" s="59">
        <f>B8*(B13+(B20+(1.0))*(B25+(0.005)))+B9*B38*(1-B42)</f>
        <v/>
      </c>
      <c r="F53" s="59">
        <f>B8*(B13+(B20+(1.0))*(B25+(0.01)))+B9*B38*(1-B42)</f>
        <v/>
      </c>
    </row>
  </sheetData>
  <mergeCells count="11">
    <mergeCell ref="A11:C11"/>
    <mergeCell ref="A44:C44"/>
    <mergeCell ref="A47:C47"/>
    <mergeCell ref="A1:C1"/>
    <mergeCell ref="A22:C22"/>
    <mergeCell ref="A40:C40"/>
    <mergeCell ref="A27:C27"/>
    <mergeCell ref="A30:C30"/>
    <mergeCell ref="A15:C15"/>
    <mergeCell ref="A4:C4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40" customWidth="1" min="13" max="13"/>
  </cols>
  <sheetData>
    <row r="1" ht="28" customHeight="1">
      <c r="A1" s="1" t="inlineStr">
        <is>
          <t>TSLA — DCF VALUATION</t>
        </is>
      </c>
    </row>
    <row r="2" ht="14" customHeight="1">
      <c r="A2" s="2" t="inlineStr">
        <is>
          <t>Grey = historical actual  |  Blue (darker) = FMP analyst consensus  |  Blue (lighter) = user input  |  Amber = key assumption</t>
        </is>
      </c>
    </row>
    <row r="3" ht="16" customHeight="1">
      <c r="A3" s="63" t="inlineStr">
        <is>
          <t>Fiscal Year</t>
        </is>
      </c>
      <c r="B3" s="64" t="inlineStr">
        <is>
          <t>2021</t>
        </is>
      </c>
      <c r="C3" s="64" t="inlineStr">
        <is>
          <t>2022</t>
        </is>
      </c>
      <c r="D3" s="64" t="inlineStr">
        <is>
          <t>2023</t>
        </is>
      </c>
      <c r="E3" s="64" t="inlineStr">
        <is>
          <t>2024</t>
        </is>
      </c>
      <c r="F3" s="64" t="inlineStr">
        <is>
          <t>2025</t>
        </is>
      </c>
      <c r="G3" s="65" t="inlineStr">
        <is>
          <t>2026E</t>
        </is>
      </c>
      <c r="H3" s="65" t="inlineStr">
        <is>
          <t>2027E</t>
        </is>
      </c>
      <c r="I3" s="65" t="inlineStr">
        <is>
          <t>2028E</t>
        </is>
      </c>
      <c r="J3" s="65" t="inlineStr">
        <is>
          <t>2029E</t>
        </is>
      </c>
      <c r="K3" s="65" t="inlineStr">
        <is>
          <t>2030E</t>
        </is>
      </c>
      <c r="L3" s="66" t="inlineStr">
        <is>
          <t>Terminal</t>
        </is>
      </c>
      <c r="M3" s="63" t="inlineStr">
        <is>
          <t>Source / Notes</t>
        </is>
      </c>
    </row>
    <row r="4" ht="6" customHeight="1">
      <c r="A4" s="42" t="n"/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</row>
    <row r="5" ht="18" customHeight="1">
      <c r="A5" s="5" t="inlineStr">
        <is>
          <t>SECTION 1 — PROJECTION ASSUMPTIONS  (darker blue = FMP consensus-derived  |  lighter blue = user input)</t>
        </is>
      </c>
    </row>
    <row r="6" ht="20" customHeight="1">
      <c r="A6" s="67" t="inlineStr">
        <is>
          <t>Revenue Growth %</t>
        </is>
      </c>
      <c r="B6" s="68" t="inlineStr">
        <is>
          <t>—</t>
        </is>
      </c>
      <c r="C6" s="69">
        <f>'P&amp;L'!C5/'P&amp;L'!B5-1</f>
        <v/>
      </c>
      <c r="D6" s="69">
        <f>'P&amp;L'!D5/'P&amp;L'!C5-1</f>
        <v/>
      </c>
      <c r="E6" s="69">
        <f>'P&amp;L'!E5/'P&amp;L'!D5-1</f>
        <v/>
      </c>
      <c r="F6" s="69">
        <f>'P&amp;L'!F5/'P&amp;L'!E5-1</f>
        <v/>
      </c>
      <c r="G6" s="70" t="n">
        <v>0.08</v>
      </c>
      <c r="H6" s="70" t="n">
        <v>0.08</v>
      </c>
      <c r="I6" s="70" t="n">
        <v>0.08</v>
      </c>
      <c r="J6" s="70">
        <f>I6</f>
        <v/>
      </c>
      <c r="K6" s="70">
        <f>I6</f>
        <v/>
      </c>
      <c r="L6" s="71" t="n">
        <v>0.03</v>
      </c>
      <c r="M6" s="72" t="inlineStr">
        <is>
          <t>Yrs 1-3: FMP analyst consensus implied growth (back-calc from rev estimates).  Yrs 4-5: formula = Yr 3 growth.  Terminal = long-run growth (2-4%).</t>
        </is>
      </c>
    </row>
    <row r="7" ht="20" customHeight="1">
      <c r="A7" s="67" t="inlineStr">
        <is>
          <t>EBITDA Margin %</t>
        </is>
      </c>
      <c r="B7" s="69">
        <f>'P&amp;L'!B12/'P&amp;L'!B5</f>
        <v/>
      </c>
      <c r="C7" s="69">
        <f>'P&amp;L'!C12/'P&amp;L'!C5</f>
        <v/>
      </c>
      <c r="D7" s="69">
        <f>'P&amp;L'!D12/'P&amp;L'!D5</f>
        <v/>
      </c>
      <c r="E7" s="69">
        <f>'P&amp;L'!E12/'P&amp;L'!E5</f>
        <v/>
      </c>
      <c r="F7" s="69">
        <f>'P&amp;L'!F12/'P&amp;L'!F5</f>
        <v/>
      </c>
      <c r="G7" s="70" t="n">
        <v>0.1241</v>
      </c>
      <c r="H7" s="70" t="n">
        <v>0.1241</v>
      </c>
      <c r="I7" s="70" t="n">
        <v>0.1241</v>
      </c>
      <c r="J7" s="70">
        <f>I7</f>
        <v/>
      </c>
      <c r="K7" s="70">
        <f>I7</f>
        <v/>
      </c>
      <c r="L7" s="71" t="n">
        <v>0.1241</v>
      </c>
      <c r="M7" s="72" t="inlineStr">
        <is>
          <t>Yrs 1-3: FMP analyst consensus margin.  Yrs 4-5: = Yr 3 margin.  Terminal: long-run normalised EBITDA margin (user input).</t>
        </is>
      </c>
    </row>
    <row r="8" ht="20" customHeight="1">
      <c r="A8" s="67" t="inlineStr">
        <is>
          <t>D&amp;A as % of Revenue</t>
        </is>
      </c>
      <c r="B8" s="69">
        <f>'P&amp;L'!B14/'P&amp;L'!B5</f>
        <v/>
      </c>
      <c r="C8" s="69">
        <f>'P&amp;L'!C14/'P&amp;L'!C5</f>
        <v/>
      </c>
      <c r="D8" s="69">
        <f>'P&amp;L'!D14/'P&amp;L'!D5</f>
        <v/>
      </c>
      <c r="E8" s="69">
        <f>'P&amp;L'!E14/'P&amp;L'!E5</f>
        <v/>
      </c>
      <c r="F8" s="69">
        <f>'P&amp;L'!F14/'P&amp;L'!F5</f>
        <v/>
      </c>
      <c r="G8" s="70">
        <f>AVERAGE(B8:F8)</f>
        <v/>
      </c>
      <c r="H8" s="70">
        <f>G8</f>
        <v/>
      </c>
      <c r="I8" s="70">
        <f>G8</f>
        <v/>
      </c>
      <c r="J8" s="70">
        <f>G8</f>
        <v/>
      </c>
      <c r="K8" s="70">
        <f>G8</f>
        <v/>
      </c>
      <c r="L8" s="71">
        <f>G8</f>
        <v/>
      </c>
      <c r="M8" s="72" t="inlineStr">
        <is>
          <t>Historical linked from P&amp;L.  Yr 1 = avg of historicals; Yrs 2-5 &amp; terminal = Yr 1.</t>
        </is>
      </c>
    </row>
    <row r="9" ht="20" customHeight="1">
      <c r="A9" s="67" t="inlineStr">
        <is>
          <t>CapEx as % of Revenue</t>
        </is>
      </c>
      <c r="B9" s="69">
        <f>-'Cash Flow'!B6/'P&amp;L'!B5</f>
        <v/>
      </c>
      <c r="C9" s="69">
        <f>-'Cash Flow'!C6/'P&amp;L'!C5</f>
        <v/>
      </c>
      <c r="D9" s="69">
        <f>-'Cash Flow'!D6/'P&amp;L'!D5</f>
        <v/>
      </c>
      <c r="E9" s="69">
        <f>-'Cash Flow'!E6/'P&amp;L'!E5</f>
        <v/>
      </c>
      <c r="F9" s="69">
        <f>-'Cash Flow'!F6/'P&amp;L'!F5</f>
        <v/>
      </c>
      <c r="G9" s="70">
        <f>AVERAGE(B9:F9)</f>
        <v/>
      </c>
      <c r="H9" s="70">
        <f>G9</f>
        <v/>
      </c>
      <c r="I9" s="70">
        <f>G9</f>
        <v/>
      </c>
      <c r="J9" s="70">
        <f>G9</f>
        <v/>
      </c>
      <c r="K9" s="70">
        <f>G9</f>
        <v/>
      </c>
      <c r="L9" s="71">
        <f>G9</f>
        <v/>
      </c>
      <c r="M9" s="72" t="inlineStr">
        <is>
          <t>Historical linked from Cash Flow.  Yr 1 = avg of historicals; Yrs 2-5 &amp; terminal = Yr 1.</t>
        </is>
      </c>
    </row>
    <row r="10" ht="20" customHeight="1">
      <c r="A10" s="67" t="inlineStr">
        <is>
          <t>Change in NWC as % of Revenue</t>
        </is>
      </c>
      <c r="B10" s="68" t="inlineStr">
        <is>
          <t>—</t>
        </is>
      </c>
      <c r="C10" s="69">
        <f>(('Balance Sheet'!C9-'Balance Sheet'!C21)-('Balance Sheet'!B9-'Balance Sheet'!B21))/'P&amp;L'!C5</f>
        <v/>
      </c>
      <c r="D10" s="69">
        <f>(('Balance Sheet'!D9-'Balance Sheet'!D21)-('Balance Sheet'!C9-'Balance Sheet'!C21))/'P&amp;L'!D5</f>
        <v/>
      </c>
      <c r="E10" s="69">
        <f>(('Balance Sheet'!E9-'Balance Sheet'!E21)-('Balance Sheet'!D9-'Balance Sheet'!D21))/'P&amp;L'!E5</f>
        <v/>
      </c>
      <c r="F10" s="69">
        <f>(('Balance Sheet'!F9-'Balance Sheet'!F21)-('Balance Sheet'!E9-'Balance Sheet'!E21))/'P&amp;L'!F5</f>
        <v/>
      </c>
      <c r="G10" s="70">
        <f>MAX(-0.02,MIN(0.05,AVERAGE(C10:F10)))</f>
        <v/>
      </c>
      <c r="H10" s="70">
        <f>G10*4/5</f>
        <v/>
      </c>
      <c r="I10" s="70">
        <f>G10*3/5</f>
        <v/>
      </c>
      <c r="J10" s="70">
        <f>G10*2/5</f>
        <v/>
      </c>
      <c r="K10" s="70">
        <f>G10*1/5</f>
        <v/>
      </c>
      <c r="L10" s="71" t="n">
        <v>0</v>
      </c>
      <c r="M10" s="72" t="inlineStr">
        <is>
          <t>Yr 1 = clamped avg of historicals [-2%, +5%]. Yrs 2-5 fade linearly to 0. Terminal = 0 (steady-state: NWC tracks revenue).</t>
        </is>
      </c>
    </row>
    <row r="11" ht="20" customHeight="1">
      <c r="A11" s="67" t="inlineStr">
        <is>
          <t>Effective Tax Rate</t>
        </is>
      </c>
      <c r="B11" s="69">
        <f>IFERROR(MAX(0,MIN(0.5,'P&amp;L'!B22/'P&amp;L'!B21)),0)</f>
        <v/>
      </c>
      <c r="C11" s="69">
        <f>IFERROR(MAX(0,MIN(0.5,'P&amp;L'!C22/'P&amp;L'!C21)),0)</f>
        <v/>
      </c>
      <c r="D11" s="69">
        <f>IFERROR(MAX(0,MIN(0.5,'P&amp;L'!D22/'P&amp;L'!D21)),0)</f>
        <v/>
      </c>
      <c r="E11" s="69">
        <f>IFERROR(MAX(0,MIN(0.5,'P&amp;L'!E22/'P&amp;L'!E21)),0)</f>
        <v/>
      </c>
      <c r="F11" s="69">
        <f>IFERROR(MAX(0,MIN(0.5,'P&amp;L'!F22/'P&amp;L'!F21)),0)</f>
        <v/>
      </c>
      <c r="G11" s="70">
        <f>AVERAGE(B11:F11)</f>
        <v/>
      </c>
      <c r="H11" s="70">
        <f>G11</f>
        <v/>
      </c>
      <c r="I11" s="70">
        <f>G11</f>
        <v/>
      </c>
      <c r="J11" s="70">
        <f>G11</f>
        <v/>
      </c>
      <c r="K11" s="70">
        <f>G11</f>
        <v/>
      </c>
      <c r="L11" s="71">
        <f>G11</f>
        <v/>
      </c>
      <c r="M11" s="72" t="inlineStr">
        <is>
          <t>Historical linked from P&amp;L (tax / pretax income).  Forecast: avg of historicals, constant thereafter.</t>
        </is>
      </c>
    </row>
    <row r="12" ht="6" customHeight="1">
      <c r="A12" s="42" t="n"/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</row>
    <row r="13" ht="18" customHeight="1">
      <c r="A13" s="25" t="inlineStr">
        <is>
          <t>SECTION 2 — REVENUE &amp; EBITDA  ($mm)</t>
        </is>
      </c>
    </row>
    <row r="14" ht="20" customHeight="1">
      <c r="A14" s="73" t="inlineStr">
        <is>
          <t>Revenue</t>
        </is>
      </c>
      <c r="B14" s="74">
        <f>'P&amp;L'!B5</f>
        <v/>
      </c>
      <c r="C14" s="74">
        <f>'P&amp;L'!C5</f>
        <v/>
      </c>
      <c r="D14" s="74">
        <f>'P&amp;L'!D5</f>
        <v/>
      </c>
      <c r="E14" s="74">
        <f>'P&amp;L'!E5</f>
        <v/>
      </c>
      <c r="F14" s="74">
        <f>'P&amp;L'!F5</f>
        <v/>
      </c>
      <c r="G14" s="75">
        <f>F14*(1+G6)</f>
        <v/>
      </c>
      <c r="H14" s="75">
        <f>G14*(1+H6)</f>
        <v/>
      </c>
      <c r="I14" s="75">
        <f>H14*(1+I6)</f>
        <v/>
      </c>
      <c r="J14" s="75">
        <f>I14*(1+J6)</f>
        <v/>
      </c>
      <c r="K14" s="75">
        <f>J14*(1+K6)</f>
        <v/>
      </c>
      <c r="L14" s="76">
        <f>K14*(1+L6)</f>
        <v/>
      </c>
      <c r="M14" s="77" t="inlineStr">
        <is>
          <t>FMP consensus years: analyst revenue average ($mm).  Range: Low–High shown below.  User years: prior × (1+growth).</t>
        </is>
      </c>
    </row>
    <row r="15" ht="20" customHeight="1">
      <c r="A15" s="78" t="inlineStr">
        <is>
          <t xml:space="preserve">  Analyst Range:  Low — High  ($mm)</t>
        </is>
      </c>
      <c r="G15" s="79" t="inlineStr">
        <is>
          <t>—</t>
        </is>
      </c>
      <c r="H15" s="79" t="inlineStr">
        <is>
          <t>—</t>
        </is>
      </c>
      <c r="I15" s="79" t="inlineStr">
        <is>
          <t>—</t>
        </is>
      </c>
      <c r="J15" s="79" t="inlineStr">
        <is>
          <t>—</t>
        </is>
      </c>
      <c r="K15" s="79" t="inlineStr">
        <is>
          <t>—</t>
        </is>
      </c>
      <c r="L15" s="80" t="inlineStr">
        <is>
          <t>—</t>
        </is>
      </c>
      <c r="M15" s="77" t="inlineStr">
        <is>
          <t>Sell-side analyst low / high revenue estimates for consensus years</t>
        </is>
      </c>
    </row>
    <row r="16" ht="20" customHeight="1">
      <c r="A16" s="78" t="inlineStr">
        <is>
          <t xml:space="preserve">  Number of Analysts</t>
        </is>
      </c>
      <c r="G16" s="79" t="inlineStr">
        <is>
          <t>—</t>
        </is>
      </c>
      <c r="H16" s="79" t="inlineStr">
        <is>
          <t>—</t>
        </is>
      </c>
      <c r="I16" s="79" t="inlineStr">
        <is>
          <t>—</t>
        </is>
      </c>
      <c r="J16" s="79" t="inlineStr">
        <is>
          <t>—</t>
        </is>
      </c>
      <c r="K16" s="79" t="inlineStr">
        <is>
          <t>—</t>
        </is>
      </c>
      <c r="L16" s="80" t="inlineStr">
        <is>
          <t>—</t>
        </is>
      </c>
      <c r="M16" s="77" t="inlineStr">
        <is>
          <t>Red &lt; 5 analysts — treat estimate with caution.  Orange &lt; 10.</t>
        </is>
      </c>
    </row>
    <row r="17" ht="20" customHeight="1">
      <c r="A17" s="78" t="inlineStr">
        <is>
          <t xml:space="preserve">  YoY Revenue Growth %</t>
        </is>
      </c>
      <c r="B17" s="81" t="inlineStr">
        <is>
          <t>—</t>
        </is>
      </c>
      <c r="C17" s="82">
        <f>IFERROR(C14/B14-1,"")</f>
        <v/>
      </c>
      <c r="D17" s="82">
        <f>IFERROR(D14/C14-1,"")</f>
        <v/>
      </c>
      <c r="E17" s="82">
        <f>IFERROR(E14/D14-1,"")</f>
        <v/>
      </c>
      <c r="F17" s="82">
        <f>IFERROR(F14/E14-1,"")</f>
        <v/>
      </c>
      <c r="G17" s="83">
        <f>IFERROR(G14/F14-1,"")</f>
        <v/>
      </c>
      <c r="H17" s="83">
        <f>IFERROR(H14/G14-1,"")</f>
        <v/>
      </c>
      <c r="I17" s="83">
        <f>IFERROR(I14/H14-1,"")</f>
        <v/>
      </c>
      <c r="J17" s="83">
        <f>IFERROR(J14/I14-1,"")</f>
        <v/>
      </c>
      <c r="K17" s="83">
        <f>IFERROR(K14/J14-1,"")</f>
        <v/>
      </c>
      <c r="L17" s="84">
        <f>L6</f>
        <v/>
      </c>
      <c r="M17" s="77">
        <f> this year / prior year − 1  (formula cross-check on assumptions)</f>
        <v/>
      </c>
    </row>
    <row r="18" ht="6" customHeight="1">
      <c r="A18" s="42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</row>
    <row r="19" ht="20" customHeight="1">
      <c r="A19" s="73" t="inlineStr">
        <is>
          <t>EBITDA</t>
        </is>
      </c>
      <c r="B19" s="74">
        <f>'P&amp;L'!B12</f>
        <v/>
      </c>
      <c r="C19" s="74">
        <f>'P&amp;L'!C12</f>
        <v/>
      </c>
      <c r="D19" s="74">
        <f>'P&amp;L'!D12</f>
        <v/>
      </c>
      <c r="E19" s="74">
        <f>'P&amp;L'!E12</f>
        <v/>
      </c>
      <c r="F19" s="74">
        <f>'P&amp;L'!F12</f>
        <v/>
      </c>
      <c r="G19" s="75">
        <f>G14*G7</f>
        <v/>
      </c>
      <c r="H19" s="75">
        <f>H14*H7</f>
        <v/>
      </c>
      <c r="I19" s="75">
        <f>I14*I7</f>
        <v/>
      </c>
      <c r="J19" s="75">
        <f>J14*J7</f>
        <v/>
      </c>
      <c r="K19" s="75">
        <f>K14*K7</f>
        <v/>
      </c>
      <c r="L19" s="76">
        <f>L14*L7</f>
        <v/>
      </c>
      <c r="M19" s="77" t="inlineStr">
        <is>
          <t>FMP consensus years: analyst EBITDA average.  User years: Revenue × EBITDA margin assumption.</t>
        </is>
      </c>
    </row>
    <row r="20" ht="20" customHeight="1">
      <c r="A20" s="78" t="inlineStr">
        <is>
          <t xml:space="preserve">  Analyst Range:  Low — High  ($mm)</t>
        </is>
      </c>
      <c r="G20" s="79" t="inlineStr">
        <is>
          <t>—</t>
        </is>
      </c>
      <c r="H20" s="79" t="inlineStr">
        <is>
          <t>—</t>
        </is>
      </c>
      <c r="I20" s="79" t="inlineStr">
        <is>
          <t>—</t>
        </is>
      </c>
      <c r="J20" s="79" t="inlineStr">
        <is>
          <t>—</t>
        </is>
      </c>
      <c r="K20" s="79" t="inlineStr">
        <is>
          <t>—</t>
        </is>
      </c>
      <c r="L20" s="80" t="inlineStr">
        <is>
          <t>—</t>
        </is>
      </c>
      <c r="M20" s="77" t="inlineStr">
        <is>
          <t>Sell-side analyst low / high EBITDA estimates for consensus years</t>
        </is>
      </c>
    </row>
    <row r="21" ht="20" customHeight="1">
      <c r="A21" s="78" t="inlineStr">
        <is>
          <t xml:space="preserve">  EBITDA Margin %</t>
        </is>
      </c>
      <c r="B21" s="82">
        <f>IFERROR(B19/B14,"")</f>
        <v/>
      </c>
      <c r="C21" s="82">
        <f>IFERROR(C19/C14,"")</f>
        <v/>
      </c>
      <c r="D21" s="82">
        <f>IFERROR(D19/D14,"")</f>
        <v/>
      </c>
      <c r="E21" s="82">
        <f>IFERROR(E19/E14,"")</f>
        <v/>
      </c>
      <c r="F21" s="82">
        <f>IFERROR(F19/F14,"")</f>
        <v/>
      </c>
      <c r="G21" s="83">
        <f>IFERROR(G19/G14,"")</f>
        <v/>
      </c>
      <c r="H21" s="83">
        <f>IFERROR(H19/H14,"")</f>
        <v/>
      </c>
      <c r="I21" s="83">
        <f>IFERROR(I19/I14,"")</f>
        <v/>
      </c>
      <c r="J21" s="83">
        <f>IFERROR(J19/J14,"")</f>
        <v/>
      </c>
      <c r="K21" s="83">
        <f>IFERROR(K19/K14,"")</f>
        <v/>
      </c>
      <c r="L21" s="84">
        <f>IFERROR(L19/L14,"")</f>
        <v/>
      </c>
      <c r="M21" s="77">
        <f> EBITDA / Revenue  (formula — cross-check on margin assumption)</f>
        <v/>
      </c>
    </row>
    <row r="22" ht="6" customHeight="1">
      <c r="A22" s="42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</row>
    <row r="23" ht="18" customHeight="1">
      <c r="A23" s="25" t="inlineStr">
        <is>
          <t>SECTION 3 — UNLEVERED FREE CASH FLOW BUILD  ($mm)</t>
        </is>
      </c>
    </row>
    <row r="24" ht="20" customHeight="1">
      <c r="A24" s="85" t="inlineStr">
        <is>
          <t xml:space="preserve">  Less: D&amp;A</t>
        </is>
      </c>
      <c r="B24" s="74">
        <f>-'P&amp;L'!B14</f>
        <v/>
      </c>
      <c r="C24" s="74">
        <f>-'P&amp;L'!C14</f>
        <v/>
      </c>
      <c r="D24" s="74">
        <f>-'P&amp;L'!D14</f>
        <v/>
      </c>
      <c r="E24" s="74">
        <f>-'P&amp;L'!E14</f>
        <v/>
      </c>
      <c r="F24" s="74">
        <f>-'P&amp;L'!F14</f>
        <v/>
      </c>
      <c r="G24" s="75">
        <f>-G14*G8</f>
        <v/>
      </c>
      <c r="H24" s="75">
        <f>-H14*H8</f>
        <v/>
      </c>
      <c r="I24" s="75">
        <f>-I14*I8</f>
        <v/>
      </c>
      <c r="J24" s="75">
        <f>-J14*J8</f>
        <v/>
      </c>
      <c r="K24" s="75">
        <f>-K14*K8</f>
        <v/>
      </c>
      <c r="L24" s="76">
        <f>-L14*L8</f>
        <v/>
      </c>
      <c r="M24" s="77">
        <f> Revenue × D&amp;A % assumption  (negative = P&amp;L charge)</f>
        <v/>
      </c>
    </row>
    <row r="25" ht="20" customHeight="1">
      <c r="A25" s="63" t="inlineStr">
        <is>
          <t>EBIT  (Operating Profit)</t>
        </is>
      </c>
      <c r="B25" s="86">
        <f>B19+B24</f>
        <v/>
      </c>
      <c r="C25" s="86">
        <f>C19+C24</f>
        <v/>
      </c>
      <c r="D25" s="86">
        <f>D19+D24</f>
        <v/>
      </c>
      <c r="E25" s="86">
        <f>E19+E24</f>
        <v/>
      </c>
      <c r="F25" s="86">
        <f>F19+F24</f>
        <v/>
      </c>
      <c r="G25" s="87">
        <f>G19+G24</f>
        <v/>
      </c>
      <c r="H25" s="87">
        <f>H19+H24</f>
        <v/>
      </c>
      <c r="I25" s="87">
        <f>I19+I24</f>
        <v/>
      </c>
      <c r="J25" s="87">
        <f>J19+J24</f>
        <v/>
      </c>
      <c r="K25" s="87">
        <f>K19+K24</f>
        <v/>
      </c>
      <c r="L25" s="87">
        <f>L19+L24</f>
        <v/>
      </c>
      <c r="M25" s="77">
        <f> EBITDA + D&amp;A  (GAAP operating income, EBIT)</f>
        <v/>
      </c>
    </row>
    <row r="26" ht="20" customHeight="1">
      <c r="A26" s="85" t="inlineStr">
        <is>
          <t xml:space="preserve">  Less: Tax on EBIT  (unlevered)</t>
        </is>
      </c>
      <c r="B26" s="88">
        <f>-B25*B11</f>
        <v/>
      </c>
      <c r="C26" s="88">
        <f>-C25*C11</f>
        <v/>
      </c>
      <c r="D26" s="88">
        <f>-D25*D11</f>
        <v/>
      </c>
      <c r="E26" s="88">
        <f>-E25*E11</f>
        <v/>
      </c>
      <c r="F26" s="88">
        <f>-F25*F11</f>
        <v/>
      </c>
      <c r="G26" s="89">
        <f>-G25*G11</f>
        <v/>
      </c>
      <c r="H26" s="89">
        <f>-H25*H11</f>
        <v/>
      </c>
      <c r="I26" s="89">
        <f>-I25*I11</f>
        <v/>
      </c>
      <c r="J26" s="89">
        <f>-J25*J11</f>
        <v/>
      </c>
      <c r="K26" s="89">
        <f>-K25*K11</f>
        <v/>
      </c>
      <c r="L26" s="89">
        <f>-L25*L11</f>
        <v/>
      </c>
      <c r="M26" s="77">
        <f> EBIT × tax rate  (no interest tax shield — UFCF is pre-debt)</f>
        <v/>
      </c>
    </row>
    <row r="27" ht="20" customHeight="1">
      <c r="A27" s="73" t="inlineStr">
        <is>
          <t>NOPAT</t>
        </is>
      </c>
      <c r="B27" s="86">
        <f>B25+B26</f>
        <v/>
      </c>
      <c r="C27" s="86">
        <f>C25+C26</f>
        <v/>
      </c>
      <c r="D27" s="86">
        <f>D25+D26</f>
        <v/>
      </c>
      <c r="E27" s="86">
        <f>E25+E26</f>
        <v/>
      </c>
      <c r="F27" s="86">
        <f>F25+F26</f>
        <v/>
      </c>
      <c r="G27" s="90">
        <f>G25+G26</f>
        <v/>
      </c>
      <c r="H27" s="90">
        <f>H25+H26</f>
        <v/>
      </c>
      <c r="I27" s="90">
        <f>I25+I26</f>
        <v/>
      </c>
      <c r="J27" s="90">
        <f>J25+J26</f>
        <v/>
      </c>
      <c r="K27" s="90">
        <f>K25+K26</f>
        <v/>
      </c>
      <c r="L27" s="90">
        <f>L25+L26</f>
        <v/>
      </c>
      <c r="M27" s="77">
        <f> EBIT × (1 − tax rate)</f>
        <v/>
      </c>
    </row>
    <row r="28" ht="20" customHeight="1">
      <c r="A28" s="85" t="inlineStr">
        <is>
          <t xml:space="preserve">  (+) D&amp;A add-back  (non-cash)</t>
        </is>
      </c>
      <c r="B28" s="88">
        <f>-B24</f>
        <v/>
      </c>
      <c r="C28" s="88">
        <f>-C24</f>
        <v/>
      </c>
      <c r="D28" s="88">
        <f>-D24</f>
        <v/>
      </c>
      <c r="E28" s="88">
        <f>-E24</f>
        <v/>
      </c>
      <c r="F28" s="88">
        <f>-F24</f>
        <v/>
      </c>
      <c r="G28" s="89">
        <f>-G24</f>
        <v/>
      </c>
      <c r="H28" s="89">
        <f>-H24</f>
        <v/>
      </c>
      <c r="I28" s="89">
        <f>-I24</f>
        <v/>
      </c>
      <c r="J28" s="89">
        <f>-J24</f>
        <v/>
      </c>
      <c r="K28" s="89">
        <f>-K24</f>
        <v/>
      </c>
      <c r="L28" s="89">
        <f>-L24</f>
        <v/>
      </c>
      <c r="M28" s="77">
        <f> D&amp;A added back (non-cash charge — converts NOPAT to cash basis)</f>
        <v/>
      </c>
    </row>
    <row r="29" ht="20" customHeight="1">
      <c r="A29" s="85" t="inlineStr">
        <is>
          <t xml:space="preserve">  (−) Capital Expenditures</t>
        </is>
      </c>
      <c r="B29" s="74">
        <f>'Cash Flow'!B6</f>
        <v/>
      </c>
      <c r="C29" s="74">
        <f>'Cash Flow'!C6</f>
        <v/>
      </c>
      <c r="D29" s="74">
        <f>'Cash Flow'!D6</f>
        <v/>
      </c>
      <c r="E29" s="74">
        <f>'Cash Flow'!E6</f>
        <v/>
      </c>
      <c r="F29" s="74">
        <f>'Cash Flow'!F6</f>
        <v/>
      </c>
      <c r="G29" s="89">
        <f>-G14*G9</f>
        <v/>
      </c>
      <c r="H29" s="89">
        <f>-H14*H9</f>
        <v/>
      </c>
      <c r="I29" s="89">
        <f>-I14*I9</f>
        <v/>
      </c>
      <c r="J29" s="89">
        <f>-J14*J9</f>
        <v/>
      </c>
      <c r="K29" s="89">
        <f>-K14*K9</f>
        <v/>
      </c>
      <c r="L29" s="89">
        <f>-L14*L9</f>
        <v/>
      </c>
      <c r="M29" s="77">
        <f> Revenue × CapEx % assumption  (negative = cash outflow)</f>
        <v/>
      </c>
    </row>
    <row r="30" ht="20" customHeight="1">
      <c r="A30" s="85" t="inlineStr">
        <is>
          <t xml:space="preserve">  (−) Increase in Net Working Capital</t>
        </is>
      </c>
      <c r="B30" s="88" t="n"/>
      <c r="C30" s="88">
        <f>-(('Balance Sheet'!C9-'Balance Sheet'!C21)-('Balance Sheet'!B9-'Balance Sheet'!B21))</f>
        <v/>
      </c>
      <c r="D30" s="88">
        <f>-(('Balance Sheet'!D9-'Balance Sheet'!D21)-('Balance Sheet'!C9-'Balance Sheet'!C21))</f>
        <v/>
      </c>
      <c r="E30" s="88">
        <f>-(('Balance Sheet'!E9-'Balance Sheet'!E21)-('Balance Sheet'!D9-'Balance Sheet'!D21))</f>
        <v/>
      </c>
      <c r="F30" s="88">
        <f>-(('Balance Sheet'!F9-'Balance Sheet'!F21)-('Balance Sheet'!E9-'Balance Sheet'!E21))</f>
        <v/>
      </c>
      <c r="G30" s="89">
        <f>-G14*G10</f>
        <v/>
      </c>
      <c r="H30" s="89">
        <f>-H14*H10</f>
        <v/>
      </c>
      <c r="I30" s="89">
        <f>-I14*I10</f>
        <v/>
      </c>
      <c r="J30" s="89">
        <f>-J14*J10</f>
        <v/>
      </c>
      <c r="K30" s="89">
        <f>-K14*K10</f>
        <v/>
      </c>
      <c r="L30" s="89">
        <f>-L14*L10</f>
        <v/>
      </c>
      <c r="M30" s="77">
        <f> −Revenue × NWC%  (positive NWC% → cash outflow, reduces UFCF)</f>
        <v/>
      </c>
    </row>
    <row r="31" ht="20" customHeight="1">
      <c r="A31" s="73" t="inlineStr">
        <is>
          <t>UNLEVERED FREE CASH FLOW  (UFCF)</t>
        </is>
      </c>
      <c r="B31" s="86">
        <f>B27+B28+B29+B30</f>
        <v/>
      </c>
      <c r="C31" s="86">
        <f>C27+C28+C29+C30</f>
        <v/>
      </c>
      <c r="D31" s="86">
        <f>D27+D28+D29+D30</f>
        <v/>
      </c>
      <c r="E31" s="86">
        <f>E27+E28+E29+E30</f>
        <v/>
      </c>
      <c r="F31" s="86">
        <f>F27+F28+F29+F30</f>
        <v/>
      </c>
      <c r="G31" s="90">
        <f>G27+G28+G29+G30</f>
        <v/>
      </c>
      <c r="H31" s="90">
        <f>H27+H28+H29+H30</f>
        <v/>
      </c>
      <c r="I31" s="90">
        <f>I27+I28+I29+I30</f>
        <v/>
      </c>
      <c r="J31" s="90">
        <f>J27+J28+J29+J30</f>
        <v/>
      </c>
      <c r="K31" s="90">
        <f>K27+K28+K29+K30</f>
        <v/>
      </c>
      <c r="L31" s="90">
        <f>L27+L28+L29+L30</f>
        <v/>
      </c>
      <c r="M31" s="77">
        <f> NOPAT + D&amp;A − CapEx − ΔNWC  (pre-debt, pre-interest free cash flow)</f>
        <v/>
      </c>
    </row>
    <row r="32" ht="20" customHeight="1">
      <c r="A32" s="78" t="inlineStr">
        <is>
          <t xml:space="preserve">  UFCF Margin %</t>
        </is>
      </c>
      <c r="B32" s="82">
        <f>B31/B14</f>
        <v/>
      </c>
      <c r="C32" s="82">
        <f>C31/C14</f>
        <v/>
      </c>
      <c r="D32" s="82">
        <f>D31/D14</f>
        <v/>
      </c>
      <c r="E32" s="82">
        <f>E31/E14</f>
        <v/>
      </c>
      <c r="F32" s="82">
        <f>F31/F14</f>
        <v/>
      </c>
      <c r="G32" s="91">
        <f>IFERROR(G31/G14,"")</f>
        <v/>
      </c>
      <c r="H32" s="91">
        <f>IFERROR(H31/H14,"")</f>
        <v/>
      </c>
      <c r="I32" s="91">
        <f>IFERROR(I31/I14,"")</f>
        <v/>
      </c>
      <c r="J32" s="91">
        <f>IFERROR(J31/J14,"")</f>
        <v/>
      </c>
      <c r="K32" s="91">
        <f>IFERROR(K31/K14,"")</f>
        <v/>
      </c>
      <c r="L32" s="91">
        <f>IFERROR(L31/L14,"")</f>
        <v/>
      </c>
      <c r="M32" s="77" t="inlineStr">
        <is>
          <t>Sense check — should approximate EBITDA margin less capex intensity</t>
        </is>
      </c>
    </row>
    <row r="33" ht="6" customHeight="1">
      <c r="A33" s="42" t="n"/>
      <c r="B33" s="42" t="n"/>
      <c r="C33" s="42" t="n"/>
      <c r="D33" s="42" t="n"/>
      <c r="E33" s="42" t="n"/>
      <c r="F33" s="42" t="n"/>
      <c r="G33" s="42" t="n"/>
      <c r="H33" s="42" t="n"/>
      <c r="I33" s="42" t="n"/>
      <c r="J33" s="42" t="n"/>
      <c r="K33" s="42" t="n"/>
      <c r="L33" s="42" t="n"/>
      <c r="M33" s="42" t="n"/>
    </row>
    <row r="34" ht="18" customHeight="1">
      <c r="A34" s="5" t="inlineStr">
        <is>
          <t>SECTION 4 — TERMINAL VALUE  ($mm)</t>
        </is>
      </c>
    </row>
    <row r="35" ht="20" customHeight="1">
      <c r="A35" s="67" t="inlineStr">
        <is>
          <t>WACC  (from WACC tab)</t>
        </is>
      </c>
      <c r="B35" s="92">
        <f>WACC!B45</f>
        <v/>
      </c>
      <c r="C35" s="93" t="n"/>
      <c r="D35" s="93" t="n"/>
      <c r="E35" s="93" t="n"/>
      <c r="F35" s="93" t="n"/>
      <c r="G35" s="93" t="n"/>
      <c r="H35" s="93" t="n"/>
      <c r="I35" s="93" t="n"/>
      <c r="J35" s="93" t="n"/>
      <c r="K35" s="93" t="n"/>
      <c r="L35" s="93" t="n"/>
      <c r="M35" s="72" t="inlineStr">
        <is>
          <t>Auto-linked from WACC tab selected output.  Override manually if needed.</t>
        </is>
      </c>
    </row>
    <row r="36" ht="20" customHeight="1">
      <c r="A36" s="67" t="inlineStr">
        <is>
          <t>Terminal Growth Rate  (g)</t>
        </is>
      </c>
      <c r="B36" s="94" t="n">
        <v>0.03</v>
      </c>
      <c r="C36" s="93" t="n"/>
      <c r="D36" s="93" t="n"/>
      <c r="E36" s="93" t="n"/>
      <c r="F36" s="93" t="n"/>
      <c r="G36" s="93" t="n"/>
      <c r="H36" s="93" t="n"/>
      <c r="I36" s="93" t="n"/>
      <c r="J36" s="93" t="n"/>
      <c r="K36" s="93" t="n"/>
      <c r="L36" s="93" t="n"/>
      <c r="M36" s="72" t="inlineStr">
        <is>
          <t>Growth tier: MEDIUM (5.6% 3yr avg rev growth).  Bear 2.25% / Base 3.0% / Bull 3.75%.  Keep below WACC.</t>
        </is>
      </c>
    </row>
    <row r="37" ht="20" customHeight="1">
      <c r="A37" s="67" t="inlineStr">
        <is>
          <t>Terminal EV/EBITDA Multiple  (exit multiple method)</t>
        </is>
      </c>
      <c r="B37" s="95" t="n">
        <v>28</v>
      </c>
      <c r="C37" s="93" t="n"/>
      <c r="D37" s="93" t="n"/>
      <c r="E37" s="93" t="n"/>
      <c r="F37" s="93" t="n"/>
      <c r="G37" s="93" t="n"/>
      <c r="H37" s="93" t="n"/>
      <c r="I37" s="93" t="n"/>
      <c r="J37" s="93" t="n"/>
      <c r="K37" s="93" t="n"/>
      <c r="L37" s="93" t="n"/>
      <c r="M37" s="72" t="inlineStr">
        <is>
          <t>Growth tier: MEDIUM (5.6% 3yr avg rev growth).  Bear 20x / Base 28x / Bull 32x.  Override manually if needed.</t>
        </is>
      </c>
    </row>
    <row r="38" ht="6" customHeight="1">
      <c r="A38" s="42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</row>
    <row r="39" ht="20" customHeight="1">
      <c r="A39" s="96" t="inlineStr">
        <is>
          <t>Terminal Year UFCF  (grown by g)</t>
        </is>
      </c>
      <c r="B39" s="97">
        <f>L31</f>
        <v/>
      </c>
      <c r="C39" s="98" t="n"/>
      <c r="D39" s="98" t="n"/>
      <c r="E39" s="98" t="n"/>
      <c r="F39" s="98" t="n"/>
      <c r="G39" s="98" t="n"/>
      <c r="H39" s="98" t="n"/>
      <c r="I39" s="98" t="n"/>
      <c r="J39" s="98" t="n"/>
      <c r="K39" s="98" t="n"/>
      <c r="L39" s="98" t="n"/>
      <c r="M39" s="77" t="inlineStr">
        <is>
          <t>Cross-ref from Section 3 — terminal year UFCF (already grown by g in assumptions)</t>
        </is>
      </c>
    </row>
    <row r="40" ht="20" customHeight="1">
      <c r="A40" s="73" t="inlineStr">
        <is>
          <t>Terminal Value  [Gordon Growth:  UFCF / (WACC − g)]</t>
        </is>
      </c>
      <c r="B40" s="90">
        <f>B39/(B35-B36)</f>
        <v/>
      </c>
      <c r="C40" s="99" t="n"/>
      <c r="D40" s="99" t="n"/>
      <c r="E40" s="99" t="n"/>
      <c r="F40" s="99" t="n"/>
      <c r="G40" s="99" t="n"/>
      <c r="H40" s="99" t="n"/>
      <c r="I40" s="99" t="n"/>
      <c r="J40" s="99" t="n"/>
      <c r="K40" s="99" t="n"/>
      <c r="L40" s="99" t="n"/>
      <c r="M40" s="77" t="inlineStr">
        <is>
          <t>Sensitive to g — always cross-check vs Exit Multiple below</t>
        </is>
      </c>
    </row>
    <row r="41" ht="20" customHeight="1">
      <c r="A41" s="73" t="inlineStr">
        <is>
          <t>Terminal Value  [Exit Multiple:  Terminal EBITDA × Multiple]</t>
        </is>
      </c>
      <c r="B41" s="90">
        <f>L19*B37</f>
        <v/>
      </c>
      <c r="C41" s="99" t="n"/>
      <c r="D41" s="99" t="n"/>
      <c r="E41" s="99" t="n"/>
      <c r="F41" s="99" t="n"/>
      <c r="G41" s="99" t="n"/>
      <c r="H41" s="99" t="n"/>
      <c r="I41" s="99" t="n"/>
      <c r="J41" s="99" t="n"/>
      <c r="K41" s="99" t="n"/>
      <c r="L41" s="99" t="n"/>
      <c r="M41" s="77" t="inlineStr">
        <is>
          <t>Anchored to observable market multiples — less model-sensitive than Gordon Growth</t>
        </is>
      </c>
    </row>
    <row r="42" ht="6" customHeight="1">
      <c r="A42" s="42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</row>
    <row r="43" ht="18" customHeight="1">
      <c r="A43" s="25" t="inlineStr">
        <is>
          <t>SECTION 5 — DISCOUNTING  &amp;  ENTERPRISE VALUE  ($mm)</t>
        </is>
      </c>
    </row>
    <row r="44" ht="20" customHeight="1">
      <c r="A44" s="96" t="inlineStr">
        <is>
          <t>Discount Period  (mid-year convention)</t>
        </is>
      </c>
      <c r="G44" s="100" t="n">
        <v>0.5</v>
      </c>
      <c r="H44" s="100" t="n">
        <v>1.5</v>
      </c>
      <c r="I44" s="100" t="n">
        <v>2.5</v>
      </c>
      <c r="J44" s="100" t="n">
        <v>3.5</v>
      </c>
      <c r="K44" s="100" t="n">
        <v>4.5</v>
      </c>
      <c r="L44" s="101" t="n">
        <v>5</v>
      </c>
      <c r="M44" s="77" t="inlineStr">
        <is>
          <t>Mid-year: 0.5, 1.5, 2.5...  assumes FCF received evenly through each year</t>
        </is>
      </c>
    </row>
    <row r="45" ht="20" customHeight="1">
      <c r="A45" s="96" t="inlineStr">
        <is>
          <t>Discount Factor  =  1 / (1 + WACC) ^ period</t>
        </is>
      </c>
      <c r="G45" s="102">
        <f>1/(1+B35)^G44</f>
        <v/>
      </c>
      <c r="H45" s="102">
        <f>1/(1+B35)^H44</f>
        <v/>
      </c>
      <c r="I45" s="102">
        <f>1/(1+B35)^I44</f>
        <v/>
      </c>
      <c r="J45" s="102">
        <f>1/(1+B35)^J44</f>
        <v/>
      </c>
      <c r="K45" s="102">
        <f>1/(1+B35)^K44</f>
        <v/>
      </c>
      <c r="L45" s="103">
        <f>1/(1+B35)^L44</f>
        <v/>
      </c>
      <c r="M45" s="77">
        <f> 1 / (1 + WACC) ^ discount period</f>
        <v/>
      </c>
    </row>
    <row r="46" ht="20" customHeight="1">
      <c r="A46" s="73" t="inlineStr">
        <is>
          <t>PV of UFCF</t>
        </is>
      </c>
      <c r="G46" s="90">
        <f>G31*G45</f>
        <v/>
      </c>
      <c r="H46" s="90">
        <f>H31*H45</f>
        <v/>
      </c>
      <c r="I46" s="90">
        <f>I31*I45</f>
        <v/>
      </c>
      <c r="J46" s="90">
        <f>J31*J45</f>
        <v/>
      </c>
      <c r="K46" s="90">
        <f>K31*K45</f>
        <v/>
      </c>
      <c r="L46" s="99" t="n"/>
      <c r="M46" s="77">
        <f> UFCF × discount factor</f>
        <v/>
      </c>
    </row>
    <row r="47" ht="20" customHeight="1">
      <c r="A47" s="63" t="inlineStr">
        <is>
          <t>Sum of PV of FCFs  (explicit period)</t>
        </is>
      </c>
      <c r="B47" s="87">
        <f>G46+H46+I46+J46+K46</f>
        <v/>
      </c>
      <c r="C47" s="104" t="n"/>
      <c r="D47" s="104" t="n"/>
      <c r="E47" s="104" t="n"/>
      <c r="F47" s="104" t="n"/>
      <c r="G47" s="104" t="n"/>
      <c r="H47" s="104" t="n"/>
      <c r="I47" s="104" t="n"/>
      <c r="J47" s="104" t="n"/>
      <c r="K47" s="104" t="n"/>
      <c r="L47" s="104" t="n"/>
      <c r="M47" s="77" t="inlineStr">
        <is>
          <t>Sum of 5 discounted annual FCFs</t>
        </is>
      </c>
    </row>
    <row r="48" ht="20" customHeight="1">
      <c r="A48" s="63" t="inlineStr">
        <is>
          <t>PV of Terminal Value  [Gordon Growth]</t>
        </is>
      </c>
      <c r="B48" s="87">
        <f>B40*L45</f>
        <v/>
      </c>
      <c r="C48" s="104" t="n"/>
      <c r="D48" s="104" t="n"/>
      <c r="E48" s="104" t="n"/>
      <c r="F48" s="104" t="n"/>
      <c r="G48" s="104" t="n"/>
      <c r="H48" s="104" t="n"/>
      <c r="I48" s="104" t="n"/>
      <c r="J48" s="104" t="n"/>
      <c r="K48" s="104" t="n"/>
      <c r="L48" s="104" t="n"/>
      <c r="M48" s="77" t="inlineStr">
        <is>
          <t>Terminal value × terminal-year discount factor</t>
        </is>
      </c>
    </row>
    <row r="49" ht="20" customHeight="1">
      <c r="A49" s="63" t="inlineStr">
        <is>
          <t>PV of Terminal Value  [Exit Multiple]</t>
        </is>
      </c>
      <c r="B49" s="87">
        <f>B41*L45</f>
        <v/>
      </c>
      <c r="C49" s="104" t="n"/>
      <c r="D49" s="104" t="n"/>
      <c r="E49" s="104" t="n"/>
      <c r="F49" s="104" t="n"/>
      <c r="G49" s="104" t="n"/>
      <c r="H49" s="104" t="n"/>
      <c r="I49" s="104" t="n"/>
      <c r="J49" s="104" t="n"/>
      <c r="K49" s="104" t="n"/>
      <c r="L49" s="104" t="n"/>
      <c r="M49" s="77" t="inlineStr">
        <is>
          <t>Terminal value × terminal-year discount factor</t>
        </is>
      </c>
    </row>
    <row r="50" ht="6" customHeight="1">
      <c r="A50" s="42" t="n"/>
      <c r="B50" s="42" t="n"/>
      <c r="C50" s="42" t="n"/>
      <c r="D50" s="42" t="n"/>
      <c r="E50" s="42" t="n"/>
      <c r="F50" s="42" t="n"/>
      <c r="G50" s="42" t="n"/>
      <c r="H50" s="42" t="n"/>
      <c r="I50" s="42" t="n"/>
      <c r="J50" s="42" t="n"/>
      <c r="K50" s="42" t="n"/>
      <c r="L50" s="42" t="n"/>
      <c r="M50" s="42" t="n"/>
    </row>
    <row r="51" ht="18" customHeight="1">
      <c r="A51" s="5" t="inlineStr">
        <is>
          <t>SECTION 6 — EQUITY VALUE BRIDGE  &amp;  IMPLIED SHARE PRICE</t>
        </is>
      </c>
    </row>
    <row r="52">
      <c r="A52" s="73" t="inlineStr">
        <is>
          <t>Enterprise Value  [Gordon Growth]</t>
        </is>
      </c>
      <c r="B52" s="90">
        <f>B47+B48</f>
        <v/>
      </c>
      <c r="C52" s="99" t="n"/>
      <c r="D52" s="99" t="n"/>
      <c r="E52" s="99" t="n"/>
      <c r="F52" s="99" t="n"/>
      <c r="G52" s="99" t="n"/>
      <c r="H52" s="99" t="n"/>
      <c r="I52" s="99" t="n"/>
      <c r="J52" s="99" t="n"/>
      <c r="K52" s="99" t="n"/>
      <c r="L52" s="99" t="n"/>
      <c r="M52" s="99" t="n"/>
    </row>
    <row r="53">
      <c r="A53" s="73" t="inlineStr">
        <is>
          <t>Enterprise Value  [Exit Multiple]</t>
        </is>
      </c>
      <c r="B53" s="90">
        <f>B47+B49</f>
        <v/>
      </c>
      <c r="C53" s="99" t="n"/>
      <c r="D53" s="99" t="n"/>
      <c r="E53" s="99" t="n"/>
      <c r="F53" s="99" t="n"/>
      <c r="G53" s="99" t="n"/>
      <c r="H53" s="99" t="n"/>
      <c r="I53" s="99" t="n"/>
      <c r="J53" s="99" t="n"/>
      <c r="K53" s="99" t="n"/>
      <c r="L53" s="99" t="n"/>
      <c r="M53" s="99" t="n"/>
    </row>
    <row r="54" ht="20" customHeight="1">
      <c r="A54" s="85" t="inlineStr">
        <is>
          <t xml:space="preserve">  Less: Net Debt  (Debt − Cash)</t>
        </is>
      </c>
      <c r="B54" s="97">
        <f>'Balance Sheet'!F81</f>
        <v/>
      </c>
      <c r="C54" s="98" t="n"/>
      <c r="D54" s="98" t="n"/>
      <c r="E54" s="98" t="n"/>
      <c r="F54" s="98" t="n"/>
      <c r="G54" s="98" t="n"/>
      <c r="H54" s="98" t="n"/>
      <c r="I54" s="98" t="n"/>
      <c r="J54" s="98" t="n"/>
      <c r="K54" s="98" t="n"/>
      <c r="L54" s="98" t="n"/>
      <c r="M54" s="77" t="inlineStr">
        <is>
          <t>Linked from Balance Sheet: Total Debt (ST+LT) − Cash &amp; Equivalents  (negative = net cash)</t>
        </is>
      </c>
    </row>
    <row r="55" ht="20" customHeight="1">
      <c r="A55" s="85" t="inlineStr">
        <is>
          <t xml:space="preserve">  Less: Minority Interest</t>
        </is>
      </c>
      <c r="B55" s="97" t="n">
        <v>728</v>
      </c>
      <c r="C55" s="98" t="n"/>
      <c r="D55" s="98" t="n"/>
      <c r="E55" s="98" t="n"/>
      <c r="F55" s="98" t="n"/>
      <c r="G55" s="98" t="n"/>
      <c r="H55" s="98" t="n"/>
      <c r="I55" s="98" t="n"/>
      <c r="J55" s="98" t="n"/>
      <c r="K55" s="98" t="n"/>
      <c r="L55" s="98" t="n"/>
      <c r="M55" s="77" t="inlineStr">
        <is>
          <t>Auto-linked from Balance Sheet: minorityInterest</t>
        </is>
      </c>
    </row>
    <row r="56" ht="20" customHeight="1">
      <c r="A56" s="85" t="inlineStr">
        <is>
          <t xml:space="preserve">  Shares Outstanding — Diluted  (mm)</t>
        </is>
      </c>
      <c r="B56" s="97" t="n">
        <v>3528</v>
      </c>
      <c r="C56" s="98" t="n"/>
      <c r="D56" s="98" t="n"/>
      <c r="E56" s="98" t="n"/>
      <c r="F56" s="98" t="n"/>
      <c r="G56" s="98" t="n"/>
      <c r="H56" s="98" t="n"/>
      <c r="I56" s="98" t="n"/>
      <c r="J56" s="98" t="n"/>
      <c r="K56" s="98" t="n"/>
      <c r="L56" s="98" t="n"/>
      <c r="M56" s="77" t="inlineStr">
        <is>
          <t>Auto-linked: weightedAverageShsOutDil from income statement (diluted)</t>
        </is>
      </c>
    </row>
    <row r="57" ht="6" customHeight="1">
      <c r="A57" s="42" t="n"/>
      <c r="B57" s="42" t="n"/>
      <c r="C57" s="42" t="n"/>
      <c r="D57" s="42" t="n"/>
      <c r="E57" s="42" t="n"/>
      <c r="F57" s="42" t="n"/>
      <c r="G57" s="42" t="n"/>
      <c r="H57" s="42" t="n"/>
      <c r="I57" s="42" t="n"/>
      <c r="J57" s="42" t="n"/>
      <c r="K57" s="42" t="n"/>
      <c r="L57" s="42" t="n"/>
      <c r="M57" s="42" t="n"/>
    </row>
    <row r="58">
      <c r="A58" s="73" t="inlineStr">
        <is>
          <t>Implied Share Price  [Gordon Growth]  ($)</t>
        </is>
      </c>
      <c r="B58" s="105">
        <f>IFERROR((B52-B54-B55)/B56,"")</f>
        <v/>
      </c>
      <c r="C58" s="99" t="n"/>
      <c r="D58" s="99" t="n"/>
      <c r="E58" s="99" t="n"/>
      <c r="F58" s="99" t="n"/>
      <c r="G58" s="99" t="n"/>
      <c r="H58" s="99" t="n"/>
      <c r="I58" s="99" t="n"/>
      <c r="J58" s="99" t="n"/>
      <c r="K58" s="99" t="n"/>
      <c r="L58" s="99" t="n"/>
      <c r="M58" s="99" t="n"/>
    </row>
    <row r="59">
      <c r="A59" s="73" t="inlineStr">
        <is>
          <t>Implied Share Price  [Exit Multiple]  ($)</t>
        </is>
      </c>
      <c r="B59" s="105">
        <f>IFERROR((B53-B54-B55)/B56,"")</f>
        <v/>
      </c>
      <c r="C59" s="99" t="n"/>
      <c r="D59" s="99" t="n"/>
      <c r="E59" s="99" t="n"/>
      <c r="F59" s="99" t="n"/>
      <c r="G59" s="99" t="n"/>
      <c r="H59" s="99" t="n"/>
      <c r="I59" s="99" t="n"/>
      <c r="J59" s="99" t="n"/>
      <c r="K59" s="99" t="n"/>
      <c r="L59" s="99" t="n"/>
      <c r="M59" s="99" t="n"/>
    </row>
    <row r="60" ht="20" customHeight="1">
      <c r="A60" s="96" t="inlineStr">
        <is>
          <t>Current Market Price  ($)</t>
        </is>
      </c>
      <c r="B60" s="106" t="n">
        <v>426.01</v>
      </c>
      <c r="C60" s="98" t="n"/>
      <c r="D60" s="98" t="n"/>
      <c r="E60" s="98" t="n"/>
      <c r="F60" s="98" t="n"/>
      <c r="G60" s="98" t="n"/>
      <c r="H60" s="98" t="n"/>
      <c r="I60" s="98" t="n"/>
      <c r="J60" s="98" t="n"/>
      <c r="K60" s="98" t="n"/>
      <c r="L60" s="98" t="n"/>
      <c r="M60" s="77" t="inlineStr">
        <is>
          <t>Auto-linked from FMP company profile — price</t>
        </is>
      </c>
    </row>
    <row r="61">
      <c r="A61" s="63" t="inlineStr">
        <is>
          <t>Upside / (Downside)  [Gordon Growth]</t>
        </is>
      </c>
      <c r="B61" s="107">
        <f>IFERROR(B58/B60-1,"")</f>
        <v/>
      </c>
      <c r="C61" s="104" t="n"/>
      <c r="D61" s="104" t="n"/>
      <c r="E61" s="104" t="n"/>
      <c r="F61" s="104" t="n"/>
      <c r="G61" s="104" t="n"/>
      <c r="H61" s="104" t="n"/>
      <c r="I61" s="104" t="n"/>
      <c r="J61" s="104" t="n"/>
      <c r="K61" s="104" t="n"/>
      <c r="L61" s="104" t="n"/>
      <c r="M61" s="104" t="n"/>
    </row>
    <row r="62">
      <c r="A62" s="63" t="inlineStr">
        <is>
          <t>Upside / (Downside)  [Exit Multiple]</t>
        </is>
      </c>
      <c r="B62" s="107">
        <f>IFERROR(B59/B60-1,"")</f>
        <v/>
      </c>
      <c r="C62" s="104" t="n"/>
      <c r="D62" s="104" t="n"/>
      <c r="E62" s="104" t="n"/>
      <c r="F62" s="104" t="n"/>
      <c r="G62" s="104" t="n"/>
      <c r="H62" s="104" t="n"/>
      <c r="I62" s="104" t="n"/>
      <c r="J62" s="104" t="n"/>
      <c r="K62" s="104" t="n"/>
      <c r="L62" s="104" t="n"/>
      <c r="M62" s="104" t="n"/>
    </row>
  </sheetData>
  <mergeCells count="8">
    <mergeCell ref="A13:M13"/>
    <mergeCell ref="A1:M1"/>
    <mergeCell ref="A23:M23"/>
    <mergeCell ref="A5:M5"/>
    <mergeCell ref="A34:M34"/>
    <mergeCell ref="A43:M43"/>
    <mergeCell ref="A2:M2"/>
    <mergeCell ref="A51:M5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44" customWidth="1" min="1" max="1"/>
    <col width="7" customWidth="1" min="2" max="2"/>
    <col width="9" customWidth="1" min="3" max="3"/>
    <col width="26" customWidth="1" min="4" max="4"/>
    <col width="13" customWidth="1" min="5" max="5"/>
    <col width="8" customWidth="1" min="6" max="6"/>
    <col width="12" customWidth="1" min="7" max="7"/>
    <col width="52" customWidth="1" min="8" max="8"/>
  </cols>
  <sheetData>
    <row r="1" ht="18" customHeight="1">
      <c r="A1" s="108" t="inlineStr">
        <is>
          <t>JS SCORECARD — TSLA  |  Master Prompt v2  |  23 Jun 2026  |  Sector bucket: Tech Growth</t>
        </is>
      </c>
    </row>
    <row r="2" ht="18" customHeight="1">
      <c r="A2" s="109" t="inlineStr">
        <is>
          <t>Blue rows = auto-scored (FMP data + yfinance proxies).  Yellow rows = manual — select tier from dropdown in column E.  Only 2 criteria require manual input: Business Clarity + Long-Term Potential.  Score: HIGH=10 | MOD-HIGH=7 | MOD-LOW=3 | LOW=0</t>
        </is>
      </c>
    </row>
    <row r="3">
      <c r="A3" s="42" t="n"/>
      <c r="B3" s="42" t="n"/>
      <c r="C3" s="42" t="n"/>
      <c r="D3" s="42" t="n"/>
      <c r="E3" s="42" t="n"/>
      <c r="F3" s="42" t="n"/>
      <c r="G3" s="42" t="n"/>
      <c r="H3" s="42" t="n"/>
    </row>
    <row r="4" ht="18" customHeight="1">
      <c r="A4" s="110" t="inlineStr">
        <is>
          <t>✓  No floor cap (D/EBITDA and EBIT/Interest within safe thresholds)</t>
        </is>
      </c>
    </row>
    <row r="5">
      <c r="A5" s="42" t="n"/>
      <c r="B5" s="42" t="n"/>
      <c r="C5" s="42" t="n"/>
      <c r="D5" s="42" t="n"/>
      <c r="E5" s="42" t="n"/>
      <c r="F5" s="42" t="n"/>
      <c r="G5" s="42" t="n"/>
      <c r="H5" s="42" t="n"/>
    </row>
    <row r="6" ht="20" customHeight="1">
      <c r="A6" s="111" t="inlineStr">
        <is>
          <t>CRITERION</t>
        </is>
      </c>
      <c r="B6" s="112" t="inlineStr">
        <is>
          <t>PART</t>
        </is>
      </c>
      <c r="C6" s="112" t="inlineStr">
        <is>
          <t>WEIGHT %</t>
        </is>
      </c>
      <c r="D6" s="112" t="inlineStr">
        <is>
          <t>CALCULATED VALUE</t>
        </is>
      </c>
      <c r="E6" s="112" t="inlineStr">
        <is>
          <t>TIER  ▼</t>
        </is>
      </c>
      <c r="F6" s="112" t="inlineStr">
        <is>
          <t>SCORE</t>
        </is>
      </c>
      <c r="G6" s="112" t="inlineStr">
        <is>
          <t>WTD SCORE</t>
        </is>
      </c>
      <c r="H6" s="111" t="inlineStr">
        <is>
          <t>NOTES / COMMENTARY (editable)</t>
        </is>
      </c>
    </row>
    <row r="7" ht="18" customHeight="1">
      <c r="A7" s="25" t="inlineStr">
        <is>
          <t>PART 1 — BUSINESS QUALITY  (qualitative)</t>
        </is>
      </c>
    </row>
    <row r="8" ht="18" customHeight="1">
      <c r="A8" s="113" t="inlineStr">
        <is>
          <t xml:space="preserve">  Business Clarity</t>
        </is>
      </c>
      <c r="B8" s="114" t="inlineStr">
        <is>
          <t>P1</t>
        </is>
      </c>
      <c r="C8" s="115" t="n">
        <v>0.025</v>
      </c>
      <c r="D8" s="116" t="inlineStr">
        <is>
          <t>— user input required</t>
        </is>
      </c>
      <c r="E8" s="117" t="n"/>
      <c r="F8" s="118">
        <f>IF(E8="HIGH",10,IF(E8="MOD-HIGH",7,IF(E8="MOD-LOW",3,IF(E8="LOW",0,""))))</f>
        <v/>
      </c>
      <c r="G8" s="119">
        <f>IF(F8="",0,C8*F8*10)</f>
        <v/>
      </c>
      <c r="H8" s="120" t="inlineStr"/>
    </row>
    <row r="9" ht="18" customHeight="1">
      <c r="A9" s="121" t="inlineStr">
        <is>
          <t xml:space="preserve">  Moat Profile</t>
        </is>
      </c>
      <c r="B9" s="122" t="inlineStr">
        <is>
          <t>P1</t>
        </is>
      </c>
      <c r="C9" s="123" t="n">
        <v>0.1</v>
      </c>
      <c r="D9" s="124" t="inlineStr">
        <is>
          <t>GM 18.0% ✗ (&gt;40%)  |  GM trend -7.6% ✗ (&gt;+1pp)  |  ROIC-WACC -7.9% ✗ (&gt;+5pp)  |  Rev consistency σ=21.4% ✗ (&lt;8%)  [0/4 indicators positive — proxy score]</t>
        </is>
      </c>
      <c r="E9" s="125" t="inlineStr">
        <is>
          <t>LOW</t>
        </is>
      </c>
      <c r="F9" s="126" t="n">
        <v>0</v>
      </c>
      <c r="G9" s="127">
        <f>IF(F9="",0,C9*F9*10)</f>
        <v/>
      </c>
      <c r="H9" s="128" t="inlineStr">
        <is>
          <t>GM 18.0% ✗ (&gt;40%)  |  GM trend -7.6% ✗ (&gt;+1pp)  |  ROIC-WACC -7.9% ✗ (&gt;+5pp)  |  Rev consistency σ=21.4% ✗ (&lt;8%)  [0/4 indicators positive — proxy score]</t>
        </is>
      </c>
    </row>
    <row r="10" ht="18" customHeight="1">
      <c r="A10" s="113" t="inlineStr">
        <is>
          <t xml:space="preserve">  Long-Term Potential</t>
        </is>
      </c>
      <c r="B10" s="114" t="inlineStr">
        <is>
          <t>P1</t>
        </is>
      </c>
      <c r="C10" s="115" t="n">
        <v>0.1</v>
      </c>
      <c r="D10" s="116" t="inlineStr">
        <is>
          <t>— user input required</t>
        </is>
      </c>
      <c r="E10" s="117" t="n"/>
      <c r="F10" s="118">
        <f>IF(E10="HIGH",10,IF(E10="MOD-HIGH",7,IF(E10="MOD-LOW",3,IF(E10="LOW",0,""))))</f>
        <v/>
      </c>
      <c r="G10" s="119">
        <f>IF(F10="",0,C10*F10*10)</f>
        <v/>
      </c>
      <c r="H10" s="120" t="inlineStr"/>
    </row>
    <row r="11" ht="18" customHeight="1">
      <c r="A11" s="121" t="inlineStr">
        <is>
          <t xml:space="preserve">  Management</t>
        </is>
      </c>
      <c r="B11" s="122" t="inlineStr">
        <is>
          <t>P1</t>
        </is>
      </c>
      <c r="C11" s="123" t="n">
        <v>0.075</v>
      </c>
      <c r="D11" s="124" t="inlineStr">
        <is>
          <t>ROIC trend -36.8% ✗ (&gt;=-2pp)  |  GM maintained -7.6% ✗  |  Op margin -12.2% ✗ (≥-2pp)  |  Capital returns LOW ✗  |  Share count +2.2%/yr ✗ (≤+2%/yr)  |  Goodwill/Equity 0% ✓ (&lt;40%)  [1/6 indicators positive — proxy score]</t>
        </is>
      </c>
      <c r="E11" s="125" t="inlineStr">
        <is>
          <t>LOW</t>
        </is>
      </c>
      <c r="F11" s="126" t="n">
        <v>1.67</v>
      </c>
      <c r="G11" s="127">
        <f>IF(F11="",0,C11*F11*10)</f>
        <v/>
      </c>
      <c r="H11" s="128" t="inlineStr">
        <is>
          <t>ROIC trend -36.8% ✗ (&gt;=-2pp)  |  GM maintained -7.6% ✗  |  Op margin -12.2% ✗ (≥-2pp)  |  Capital returns LOW ✗  |  Share count +2.2%/yr ✗ (≤+2%/yr)  |  Goodwill/Equity 0% ✓ (&lt;40%)  [1/6 indicators positive — proxy score]</t>
        </is>
      </c>
    </row>
    <row r="12" ht="18" customHeight="1">
      <c r="A12" s="25" t="inlineStr">
        <is>
          <t>PART 2 — FINANCIAL PERFORMANCE  (quantitative)</t>
        </is>
      </c>
    </row>
    <row r="13" ht="18" customHeight="1">
      <c r="A13" s="121" t="inlineStr">
        <is>
          <t xml:space="preserve">  Revenue 3yr CAGR</t>
        </is>
      </c>
      <c r="B13" s="122" t="inlineStr">
        <is>
          <t>P2</t>
        </is>
      </c>
      <c r="C13" s="123" t="n">
        <v>0.1</v>
      </c>
      <c r="D13" s="124" t="inlineStr">
        <is>
          <t>5.2%</t>
        </is>
      </c>
      <c r="E13" s="125" t="inlineStr">
        <is>
          <t>LOW</t>
        </is>
      </c>
      <c r="F13" s="126" t="n">
        <v>2.6</v>
      </c>
      <c r="G13" s="127">
        <f>IF(F13="",0,C13*F13*10)</f>
        <v/>
      </c>
      <c r="H13" s="128" t="inlineStr">
        <is>
          <t>5.2%</t>
        </is>
      </c>
    </row>
    <row r="14" ht="18" customHeight="1">
      <c r="A14" s="121" t="inlineStr">
        <is>
          <t xml:space="preserve">  Cash Quality  (FCF / Net Income)</t>
        </is>
      </c>
      <c r="B14" s="122" t="inlineStr">
        <is>
          <t>P2</t>
        </is>
      </c>
      <c r="C14" s="123" t="n">
        <v>0.1</v>
      </c>
      <c r="D14" s="124" t="inlineStr">
        <is>
          <t>133%  [through-cycle: 70/30 latest+5yr median, latest 163.9% → smoothed 132.8%]</t>
        </is>
      </c>
      <c r="E14" s="129" t="inlineStr">
        <is>
          <t>HIGH</t>
        </is>
      </c>
      <c r="F14" s="126" t="n">
        <v>10</v>
      </c>
      <c r="G14" s="127">
        <f>IF(F14="",0,C14*F14*10)</f>
        <v/>
      </c>
      <c r="H14" s="128" t="inlineStr">
        <is>
          <t>133%  [through-cycle: 70/30 latest+5yr median, latest 163.9% → smoothed 132.8%]</t>
        </is>
      </c>
    </row>
    <row r="15" ht="18" customHeight="1">
      <c r="A15" s="121" t="inlineStr">
        <is>
          <t xml:space="preserve">  Capital Returns</t>
        </is>
      </c>
      <c r="B15" s="122" t="inlineStr">
        <is>
          <t>P2</t>
        </is>
      </c>
      <c r="C15" s="123" t="n">
        <v>0.05</v>
      </c>
      <c r="D15" s="124" t="inlineStr">
        <is>
          <t>No capital returns in latest year</t>
        </is>
      </c>
      <c r="E15" s="125" t="inlineStr">
        <is>
          <t>LOW</t>
        </is>
      </c>
      <c r="F15" s="126" t="n">
        <v>0</v>
      </c>
      <c r="G15" s="127">
        <f>IF(F15="",0,C15*F15*10)</f>
        <v/>
      </c>
      <c r="H15" s="128" t="inlineStr">
        <is>
          <t>No capital returns in latest year</t>
        </is>
      </c>
    </row>
    <row r="16" ht="18" customHeight="1">
      <c r="A16" s="121" t="inlineStr">
        <is>
          <t xml:space="preserve">  ROIC</t>
        </is>
      </c>
      <c r="B16" s="122" t="inlineStr">
        <is>
          <t>P2</t>
        </is>
      </c>
      <c r="C16" s="123" t="n">
        <v>0.075</v>
      </c>
      <c r="D16" s="124" t="inlineStr">
        <is>
          <t>5.6%  [trend penalty: declined &gt;5pp vs 3yr ago]  [through-cycle: 70/30 latest+5yr median, latest 4.3% → smoothed 5.6%]</t>
        </is>
      </c>
      <c r="E16" s="125" t="inlineStr">
        <is>
          <t>LOW</t>
        </is>
      </c>
      <c r="F16" s="126" t="n">
        <v>0</v>
      </c>
      <c r="G16" s="127">
        <f>IF(F16="",0,C16*F16*10)</f>
        <v/>
      </c>
      <c r="H16" s="128" t="inlineStr">
        <is>
          <t>5.6%  [trend penalty: declined &gt;5pp vs 3yr ago]  [through-cycle: 70/30 latest+5yr median, latest 4.3% → smoothed 5.6%]</t>
        </is>
      </c>
    </row>
    <row r="17" ht="18" customHeight="1">
      <c r="A17" s="25" t="inlineStr">
        <is>
          <t>PART 3 — RISK PROFILE  (quantitative / qualitative)</t>
        </is>
      </c>
    </row>
    <row r="18" ht="18" customHeight="1">
      <c r="A18" s="121" t="inlineStr">
        <is>
          <t xml:space="preserve">  Credit Risk  (D / EBITDA)</t>
        </is>
      </c>
      <c r="B18" s="122" t="inlineStr">
        <is>
          <t>P3</t>
        </is>
      </c>
      <c r="C18" s="123" t="n">
        <v>0.05</v>
      </c>
      <c r="D18" s="124" t="inlineStr">
        <is>
          <t>Net cash $8,137mm — no net leverage  [through-cycle: 70/30 latest+5yr median, latest 0.7x → smoothed 0.7x]</t>
        </is>
      </c>
      <c r="E18" s="129" t="inlineStr">
        <is>
          <t>HIGH</t>
        </is>
      </c>
      <c r="F18" s="126" t="n">
        <v>10</v>
      </c>
      <c r="G18" s="127">
        <f>IF(F18="",0,C18*F18*10)</f>
        <v/>
      </c>
      <c r="H18" s="128" t="inlineStr">
        <is>
          <t>Net cash $8,137mm — no net leverage  [through-cycle: 70/30 latest+5yr median, latest 0.7x → smoothed 0.7x]</t>
        </is>
      </c>
    </row>
    <row r="19" ht="18" customHeight="1">
      <c r="A19" s="121" t="inlineStr">
        <is>
          <t xml:space="preserve">  Interest Cover  (EBIT / Interest)</t>
        </is>
      </c>
      <c r="B19" s="122" t="inlineStr">
        <is>
          <t>P3</t>
        </is>
      </c>
      <c r="C19" s="123" t="n">
        <v>0.075</v>
      </c>
      <c r="D19" s="124" t="inlineStr">
        <is>
          <t>12.9x</t>
        </is>
      </c>
      <c r="E19" s="129" t="inlineStr">
        <is>
          <t>HIGH</t>
        </is>
      </c>
      <c r="F19" s="126" t="n">
        <v>10</v>
      </c>
      <c r="G19" s="127">
        <f>IF(F19="",0,C19*F19*10)</f>
        <v/>
      </c>
      <c r="H19" s="128" t="inlineStr">
        <is>
          <t>12.9x</t>
        </is>
      </c>
    </row>
    <row r="20" ht="18" customHeight="1">
      <c r="A20" s="121" t="inlineStr">
        <is>
          <t xml:space="preserve">  Execution Risk</t>
        </is>
      </c>
      <c r="B20" s="122" t="inlineStr">
        <is>
          <t>P3</t>
        </is>
      </c>
      <c r="C20" s="123" t="n">
        <v>0.05</v>
      </c>
      <c r="D20" s="124" t="inlineStr">
        <is>
          <t>Rev growth σ=21.4%  |  OM trend -7.5%, σ=4.2%  [quality = direction + stability]</t>
        </is>
      </c>
      <c r="E20" s="125" t="inlineStr">
        <is>
          <t>LOW</t>
        </is>
      </c>
      <c r="F20" s="126" t="n">
        <v>0</v>
      </c>
      <c r="G20" s="127">
        <f>IF(F20="",0,C20*F20*10)</f>
        <v/>
      </c>
      <c r="H20" s="128" t="inlineStr">
        <is>
          <t>Rev growth σ=21.4%  |  OM trend -7.5%, σ=4.2%  [quality = direction + stability]</t>
        </is>
      </c>
    </row>
    <row r="21" ht="18" customHeight="1">
      <c r="A21" s="25" t="inlineStr">
        <is>
          <t>PART 4 — VALUATION  (qualitative / user-supplied market data)</t>
        </is>
      </c>
    </row>
    <row r="22" ht="18" customHeight="1">
      <c r="A22" s="121" t="inlineStr">
        <is>
          <t xml:space="preserve">  Valuation vs Median  (P/E)</t>
        </is>
      </c>
      <c r="B22" s="122" t="inlineStr">
        <is>
          <t>P4</t>
        </is>
      </c>
      <c r="C22" s="123" t="n">
        <v>0.1</v>
      </c>
      <c r="D22" s="124" t="inlineStr">
        <is>
          <t>Fwd P/E 223.8x (scoring basis)  |  5yr avg 215.0x  [+348% vs benchmark]  [trail=0.00 | fwd_pe=223.8x→0.00 | abs=0.0 → blended 40/40/20=0.00]  PEG=362.05 (fwd_pe=223.8x / eps_growth=62%)  [revision:Strong upgrade cycle→+0.50]</t>
        </is>
      </c>
      <c r="E22" s="125" t="inlineStr">
        <is>
          <t>LOW</t>
        </is>
      </c>
      <c r="F22" s="126" t="n">
        <v>0.5</v>
      </c>
      <c r="G22" s="127">
        <f>IF(F22="",0,C22*F22*10)</f>
        <v/>
      </c>
      <c r="H22" s="128" t="inlineStr">
        <is>
          <t>Fwd P/E 223.8x (scoring basis)  |  5yr avg 215.0x  [+348% vs benchmark]  [trail=0.00 | fwd_pe=223.8x→0.00 | abs=0.0 → blended 40/40/20=0.00]  PEG=362.05 (fwd_pe=223.8x / eps_growth=62%)  [revision:Strong upgrade cycle→+0.50]</t>
        </is>
      </c>
    </row>
    <row r="23" ht="18" customHeight="1">
      <c r="A23" s="121" t="inlineStr">
        <is>
          <t xml:space="preserve">  Valuation vs Median  (P/FCF)</t>
        </is>
      </c>
      <c r="B23" s="122" t="inlineStr">
        <is>
          <t>P4</t>
        </is>
      </c>
      <c r="C23" s="123" t="n">
        <v>0.1</v>
      </c>
      <c r="D23" s="124" t="inlineStr">
        <is>
          <t>Current 233.2x  |  5yr avg 229.0x  [+366% vs benchmark]  [trail=0.00 | fwd_pfcf=203.8x→0.00 | abs=0.0 → blended 40/40/20=0.00]  [fcf_yield=0.4% vs rf=4.5%  spread=-4.0%→modifier=-0.50]</t>
        </is>
      </c>
      <c r="E23" s="125" t="inlineStr">
        <is>
          <t>LOW</t>
        </is>
      </c>
      <c r="F23" s="126" t="n">
        <v>0</v>
      </c>
      <c r="G23" s="127">
        <f>IF(F23="",0,C23*F23*10)</f>
        <v/>
      </c>
      <c r="H23" s="128" t="inlineStr">
        <is>
          <t>Current 233.2x  |  5yr avg 229.0x  [+366% vs benchmark]  [trail=0.00 | fwd_pfcf=203.8x→0.00 | abs=0.0 → blended 40/40/20=0.00]  [fcf_yield=0.4% vs rf=4.5%  spread=-4.0%→modifier=-0.50]</t>
        </is>
      </c>
    </row>
    <row r="24">
      <c r="A24" s="42" t="n"/>
      <c r="B24" s="42" t="n"/>
      <c r="C24" s="42" t="n"/>
      <c r="D24" s="42" t="n"/>
      <c r="E24" s="42" t="n"/>
      <c r="F24" s="42" t="n"/>
      <c r="G24" s="42" t="n"/>
      <c r="H24" s="42" t="n"/>
    </row>
    <row r="25" ht="20" customHeight="1">
      <c r="A25" s="130" t="inlineStr">
        <is>
          <t>TOTAL SCORE  (max = 100.0)</t>
        </is>
      </c>
      <c r="B25" s="131" t="n"/>
      <c r="C25" s="131" t="n"/>
      <c r="D25" s="131" t="n"/>
      <c r="E25" s="131" t="n"/>
      <c r="F25" s="131" t="n"/>
      <c r="G25" s="132">
        <f>G8+G9+G10+G11+G13+G14+G15+G16+G18+G19+G20+G22+G23</f>
        <v/>
      </c>
      <c r="H25" s="133" t="inlineStr">
        <is>
          <t>No floor cap.</t>
        </is>
      </c>
    </row>
    <row r="26">
      <c r="A26" s="42" t="n"/>
      <c r="B26" s="42" t="n"/>
      <c r="C26" s="42" t="n"/>
      <c r="D26" s="42" t="n"/>
      <c r="E26" s="42" t="n"/>
      <c r="F26" s="42" t="n"/>
      <c r="G26" s="42" t="n"/>
      <c r="H26" s="42" t="n"/>
    </row>
    <row r="27" ht="24" customHeight="1">
      <c r="A27" s="134">
        <f>IF(G25="","Score incomplete — fill qualitative tiers above",IF(G25&gt;=80,"STRONG BUY",IF(G25&gt;=65,"BUY",IF(G25&gt;=50,"HOLD",IF(G25&gt;=35,"REDUCE","SELL")))))</f>
        <v/>
      </c>
    </row>
    <row r="28">
      <c r="A28" s="42" t="n"/>
      <c r="B28" s="42" t="n"/>
      <c r="C28" s="42" t="n"/>
      <c r="D28" s="42" t="n"/>
      <c r="E28" s="42" t="n"/>
      <c r="F28" s="42" t="n"/>
      <c r="G28" s="42" t="n"/>
      <c r="H28" s="42" t="n"/>
    </row>
    <row r="29" ht="18" customHeight="1">
      <c r="A29" s="135" t="inlineStr">
        <is>
          <t>SCORING GUIDE:  ≥80 STRONG BUY  |  65–79 BUY  |  50–64 HOLD  |  35–49 REDUCE  |  &lt;35 SELL    ||  Soft cap (non-banks only): −5pts per 1.0x of D/EBITDA above 3.0x; −4pts per 1.0x of EBIT/Int below 3.0x; min 40    ||  Banks: gates exempt; P3 uses Equity/Assets (CET1 proxy) instead of D/EBITDA</t>
        </is>
      </c>
    </row>
  </sheetData>
  <mergeCells count="9">
    <mergeCell ref="A12:H12"/>
    <mergeCell ref="A4:H4"/>
    <mergeCell ref="A21:H21"/>
    <mergeCell ref="A29:H29"/>
    <mergeCell ref="A7:H7"/>
    <mergeCell ref="A2:H2"/>
    <mergeCell ref="A1:H1"/>
    <mergeCell ref="A27:H27"/>
    <mergeCell ref="A17:H17"/>
  </mergeCells>
  <dataValidations count="1">
    <dataValidation sqref="E9:E50" showDropDown="0" showInputMessage="0" showErrorMessage="0" allowBlank="1" type="list">
      <formula1>"HIGH,MOD-HIGH,MOD-LOW,LOW"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2026-06-23T12:52:12Z</dcterms:created>
  <dcterms:modified xmlns:dcterms="http://purl.org/dc/terms/" xmlns:xsi="http://www.w3.org/2001/XMLSchema-instance" xsi:type="dcterms:W3CDTF">2026-06-23T12:52:44Z</dcterms:modified>
</cp:coreProperties>
</file>