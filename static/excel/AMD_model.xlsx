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4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left" vertical="center" indent="1"/>
    </xf>
    <xf numFmtId="0" fontId="27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33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4" fillId="5" borderId="1" applyAlignment="1" pivotButton="0" quotePrefix="0" xfId="0">
      <alignment horizontal="left" vertical="center" indent="1"/>
    </xf>
    <xf numFmtId="0" fontId="25" fillId="3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AMD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34639</v>
      </c>
    </row>
    <row r="7">
      <c r="A7" s="4" t="inlineStr">
        <is>
          <t>Gross Profit ($mm)</t>
        </is>
      </c>
      <c r="B7" s="6" t="n">
        <v>17152</v>
      </c>
    </row>
    <row r="8">
      <c r="A8" s="4" t="inlineStr">
        <is>
          <t>EBITDA ($mm)</t>
        </is>
      </c>
      <c r="B8" s="6" t="n">
        <v>7275</v>
      </c>
    </row>
    <row r="9">
      <c r="A9" s="4" t="inlineStr">
        <is>
          <t>EBIT ($mm)</t>
        </is>
      </c>
      <c r="B9" s="6" t="n">
        <v>3694</v>
      </c>
    </row>
    <row r="10">
      <c r="A10" s="4" t="inlineStr">
        <is>
          <t>Net Income ($mm)</t>
        </is>
      </c>
      <c r="B10" s="6" t="n">
        <v>4335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16434</v>
      </c>
      <c r="C5" s="15" t="n">
        <v>23601</v>
      </c>
      <c r="D5" s="15" t="n">
        <v>22680</v>
      </c>
      <c r="E5" s="15" t="n">
        <v>25785</v>
      </c>
      <c r="F5" s="15" t="n">
        <v>34639</v>
      </c>
    </row>
    <row r="6">
      <c r="A6" s="16" t="inlineStr">
        <is>
          <t>(2)  Cost of Revenue (COGS)</t>
        </is>
      </c>
      <c r="B6" s="17" t="n">
        <v>8505</v>
      </c>
      <c r="C6" s="17" t="n">
        <v>12998</v>
      </c>
      <c r="D6" s="17" t="n">
        <v>12220</v>
      </c>
      <c r="E6" s="17" t="n">
        <v>13060</v>
      </c>
      <c r="F6" s="17" t="n">
        <v>17487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1448</v>
      </c>
      <c r="C9" s="17" t="n">
        <v>2336</v>
      </c>
      <c r="D9" s="17" t="n">
        <v>2352</v>
      </c>
      <c r="E9" s="17" t="n">
        <v>2783</v>
      </c>
      <c r="F9" s="17" t="n">
        <v>4144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4281</v>
      </c>
      <c r="C11" s="17" t="n">
        <v>9339</v>
      </c>
      <c r="D11" s="17" t="n">
        <v>10059</v>
      </c>
      <c r="E11" s="17" t="n">
        <v>10825</v>
      </c>
      <c r="F11" s="17" t="n">
        <v>13458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463</v>
      </c>
      <c r="C14" s="17" t="n">
        <v>4262</v>
      </c>
      <c r="D14" s="17" t="n">
        <v>3551</v>
      </c>
      <c r="E14" s="17" t="n">
        <v>3177</v>
      </c>
      <c r="F14" s="17" t="n">
        <v>3004</v>
      </c>
    </row>
    <row r="15">
      <c r="A15" s="18" t="inlineStr">
        <is>
          <t>(8)  EBIT (Operating Income)</t>
        </is>
      </c>
      <c r="B15" s="23" t="n">
        <v>3648</v>
      </c>
      <c r="C15" s="23" t="n">
        <v>1264</v>
      </c>
      <c r="D15" s="23" t="n">
        <v>401</v>
      </c>
      <c r="E15" s="23" t="n">
        <v>1900</v>
      </c>
      <c r="F15" s="23" t="n">
        <v>3694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34</v>
      </c>
      <c r="C17" s="17" t="n">
        <v>88</v>
      </c>
      <c r="D17" s="17" t="n">
        <v>106</v>
      </c>
      <c r="E17" s="17" t="n">
        <v>92</v>
      </c>
      <c r="F17" s="17" t="n">
        <v>131</v>
      </c>
    </row>
    <row r="18">
      <c r="A18" s="20" t="inlineStr">
        <is>
          <t xml:space="preserve">     Interest Income</t>
        </is>
      </c>
      <c r="B18" s="17" t="n">
        <v>8</v>
      </c>
      <c r="C18" s="17" t="n">
        <v>65</v>
      </c>
      <c r="D18" s="17" t="n">
        <v>206</v>
      </c>
      <c r="E18" s="17" t="n">
        <v>182</v>
      </c>
      <c r="F18" s="17" t="n">
        <v>0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3675</v>
      </c>
      <c r="C21" s="23" t="n">
        <v>1198</v>
      </c>
      <c r="D21" s="23" t="n">
        <v>508</v>
      </c>
      <c r="E21" s="23" t="n">
        <v>2022</v>
      </c>
      <c r="F21" s="23" t="n">
        <v>4166</v>
      </c>
    </row>
    <row r="22">
      <c r="A22" s="16" t="inlineStr">
        <is>
          <t>(11) Income Tax Expense</t>
        </is>
      </c>
      <c r="B22" s="17" t="n">
        <v>513</v>
      </c>
      <c r="C22" s="17" t="n">
        <v>-122</v>
      </c>
      <c r="D22" s="17" t="n">
        <v>-346</v>
      </c>
      <c r="E22" s="17" t="n">
        <v>381</v>
      </c>
      <c r="F22" s="17" t="n">
        <v>-103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3162</v>
      </c>
      <c r="C24" s="23" t="n">
        <v>1320</v>
      </c>
      <c r="D24" s="23" t="n">
        <v>854</v>
      </c>
      <c r="E24" s="23" t="n">
        <v>1641</v>
      </c>
      <c r="F24" s="23" t="n">
        <v>4335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16434</v>
      </c>
      <c r="C30" s="15" t="n">
        <v>23601</v>
      </c>
      <c r="D30" s="15" t="n">
        <v>22680</v>
      </c>
      <c r="E30" s="15" t="n">
        <v>25785</v>
      </c>
      <c r="F30" s="15" t="n">
        <v>34639</v>
      </c>
    </row>
    <row r="31">
      <c r="A31" s="16" t="inlineStr">
        <is>
          <t>Cost of Revenue</t>
        </is>
      </c>
      <c r="B31" s="17" t="n">
        <v>8505</v>
      </c>
      <c r="C31" s="17" t="n">
        <v>12998</v>
      </c>
      <c r="D31" s="17" t="n">
        <v>12220</v>
      </c>
      <c r="E31" s="17" t="n">
        <v>13060</v>
      </c>
      <c r="F31" s="17" t="n">
        <v>17487</v>
      </c>
    </row>
    <row r="32">
      <c r="A32" s="25" t="inlineStr">
        <is>
          <t>Gross Profit</t>
        </is>
      </c>
      <c r="B32" s="26" t="n">
        <v>7929</v>
      </c>
      <c r="C32" s="26" t="n">
        <v>10603</v>
      </c>
      <c r="D32" s="26" t="n">
        <v>10460</v>
      </c>
      <c r="E32" s="26" t="n">
        <v>12725</v>
      </c>
      <c r="F32" s="26" t="n">
        <v>17152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2845</v>
      </c>
      <c r="C34" s="17" t="n">
        <v>5005</v>
      </c>
      <c r="D34" s="17" t="n">
        <v>5872</v>
      </c>
      <c r="E34" s="17" t="n">
        <v>6456</v>
      </c>
      <c r="F34" s="17" t="n">
        <v>8091</v>
      </c>
    </row>
    <row r="35">
      <c r="A35" s="16" t="inlineStr">
        <is>
          <t>General &amp; Administrative</t>
        </is>
      </c>
      <c r="B35" s="17" t="n">
        <v>870</v>
      </c>
      <c r="C35" s="17" t="n">
        <v>1653</v>
      </c>
      <c r="D35" s="17" t="n">
        <v>1657</v>
      </c>
      <c r="E35" s="17" t="n">
        <v>1583</v>
      </c>
      <c r="F35" s="17" t="n">
        <v>0</v>
      </c>
    </row>
    <row r="36">
      <c r="A36" s="16" t="inlineStr">
        <is>
          <t>Selling &amp; Marketing</t>
        </is>
      </c>
      <c r="B36" s="17" t="n">
        <v>578</v>
      </c>
      <c r="C36" s="17" t="n">
        <v>683</v>
      </c>
      <c r="D36" s="17" t="n">
        <v>695</v>
      </c>
      <c r="E36" s="17" t="n">
        <v>1200</v>
      </c>
      <c r="F36" s="17" t="n">
        <v>0</v>
      </c>
    </row>
    <row r="37">
      <c r="A37" s="16" t="inlineStr">
        <is>
          <t>SG&amp;A (Combined)</t>
        </is>
      </c>
      <c r="B37" s="17" t="n">
        <v>1448</v>
      </c>
      <c r="C37" s="17" t="n">
        <v>2336</v>
      </c>
      <c r="D37" s="17" t="n">
        <v>2352</v>
      </c>
      <c r="E37" s="17" t="n">
        <v>2783</v>
      </c>
      <c r="F37" s="17" t="n">
        <v>4144</v>
      </c>
    </row>
    <row r="38">
      <c r="A38" s="16" t="inlineStr">
        <is>
          <t>Other Expenses</t>
        </is>
      </c>
      <c r="B38" s="17" t="n">
        <v>-12</v>
      </c>
      <c r="C38" s="17" t="n">
        <v>1998</v>
      </c>
      <c r="D38" s="17" t="n">
        <v>1835</v>
      </c>
      <c r="E38" s="17" t="n">
        <v>1586</v>
      </c>
      <c r="F38" s="17" t="n">
        <v>1223</v>
      </c>
    </row>
    <row r="39">
      <c r="A39" s="25" t="inlineStr">
        <is>
          <t>Total Operating Expenses</t>
        </is>
      </c>
      <c r="B39" s="26" t="n">
        <v>4281</v>
      </c>
      <c r="C39" s="26" t="n">
        <v>9339</v>
      </c>
      <c r="D39" s="26" t="n">
        <v>10059</v>
      </c>
      <c r="E39" s="26" t="n">
        <v>10825</v>
      </c>
      <c r="F39" s="26" t="n">
        <v>13458</v>
      </c>
    </row>
    <row r="40">
      <c r="A40" s="16" t="inlineStr">
        <is>
          <t>Cost &amp; Expenses (COGS + Opex)</t>
        </is>
      </c>
      <c r="B40" s="17" t="n">
        <v>12786</v>
      </c>
      <c r="C40" s="17" t="n">
        <v>22337</v>
      </c>
      <c r="D40" s="17" t="n">
        <v>22279</v>
      </c>
      <c r="E40" s="17" t="n">
        <v>23885</v>
      </c>
      <c r="F40" s="17" t="n">
        <v>30945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3648</v>
      </c>
      <c r="C42" s="15" t="n">
        <v>1264</v>
      </c>
      <c r="D42" s="15" t="n">
        <v>401</v>
      </c>
      <c r="E42" s="15" t="n">
        <v>1900</v>
      </c>
      <c r="F42" s="15" t="n">
        <v>3694</v>
      </c>
    </row>
    <row r="43">
      <c r="A43" s="16" t="inlineStr">
        <is>
          <t>EBIT (FMP field)</t>
        </is>
      </c>
      <c r="B43" s="17" t="n">
        <v>3703</v>
      </c>
      <c r="C43" s="17" t="n">
        <v>1272</v>
      </c>
      <c r="D43" s="17" t="n">
        <v>598</v>
      </c>
      <c r="E43" s="17" t="n">
        <v>2081</v>
      </c>
      <c r="F43" s="17" t="n">
        <v>4271</v>
      </c>
    </row>
    <row r="44">
      <c r="A44" s="25" t="inlineStr">
        <is>
          <t>EBITDA</t>
        </is>
      </c>
      <c r="B44" s="26" t="n">
        <v>4166</v>
      </c>
      <c r="C44" s="26" t="n">
        <v>5534</v>
      </c>
      <c r="D44" s="26" t="n">
        <v>4149</v>
      </c>
      <c r="E44" s="26" t="n">
        <v>5258</v>
      </c>
      <c r="F44" s="26" t="n">
        <v>7275</v>
      </c>
    </row>
    <row r="45">
      <c r="A45" s="16" t="inlineStr">
        <is>
          <t>Depreciation &amp; Amortisation</t>
        </is>
      </c>
      <c r="B45" s="17" t="n">
        <v>463</v>
      </c>
      <c r="C45" s="17" t="n">
        <v>4262</v>
      </c>
      <c r="D45" s="17" t="n">
        <v>3551</v>
      </c>
      <c r="E45" s="17" t="n">
        <v>3177</v>
      </c>
      <c r="F45" s="17" t="n">
        <v>3004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8</v>
      </c>
      <c r="C47" s="17" t="n">
        <v>65</v>
      </c>
      <c r="D47" s="17" t="n">
        <v>206</v>
      </c>
      <c r="E47" s="17" t="n">
        <v>182</v>
      </c>
      <c r="F47" s="17" t="n">
        <v>0</v>
      </c>
    </row>
    <row r="48">
      <c r="A48" s="16" t="inlineStr">
        <is>
          <t>Interest Expense</t>
        </is>
      </c>
      <c r="B48" s="17" t="n">
        <v>34</v>
      </c>
      <c r="C48" s="17" t="n">
        <v>88</v>
      </c>
      <c r="D48" s="17" t="n">
        <v>106</v>
      </c>
      <c r="E48" s="17" t="n">
        <v>92</v>
      </c>
      <c r="F48" s="17" t="n">
        <v>131</v>
      </c>
    </row>
    <row r="49">
      <c r="A49" s="16" t="inlineStr">
        <is>
          <t>Net Interest Income</t>
        </is>
      </c>
      <c r="B49" s="17" t="n">
        <v>-26</v>
      </c>
      <c r="C49" s="17" t="n">
        <v>-23</v>
      </c>
      <c r="D49" s="17" t="n">
        <v>100</v>
      </c>
      <c r="E49" s="17" t="n">
        <v>90</v>
      </c>
      <c r="F49" s="17" t="n">
        <v>-131</v>
      </c>
    </row>
    <row r="50">
      <c r="A50" s="16" t="inlineStr">
        <is>
          <t>Non-Operating Income (ex-interest)</t>
        </is>
      </c>
      <c r="B50" s="17" t="n">
        <v>-55</v>
      </c>
      <c r="C50" s="17" t="n">
        <v>-8</v>
      </c>
      <c r="D50" s="17" t="n">
        <v>-197</v>
      </c>
      <c r="E50" s="17" t="n">
        <v>-181</v>
      </c>
      <c r="F50" s="17" t="n">
        <v>-575</v>
      </c>
    </row>
    <row r="51">
      <c r="A51" s="16" t="inlineStr">
        <is>
          <t>Total Other Income / (Expenses)</t>
        </is>
      </c>
      <c r="B51" s="17" t="n">
        <v>27</v>
      </c>
      <c r="C51" s="17" t="n">
        <v>-66</v>
      </c>
      <c r="D51" s="17" t="n">
        <v>107</v>
      </c>
      <c r="E51" s="17" t="n">
        <v>122</v>
      </c>
      <c r="F51" s="17" t="n">
        <v>470</v>
      </c>
    </row>
    <row r="52">
      <c r="A52" s="25" t="inlineStr">
        <is>
          <t>EBT / Income Before Tax</t>
        </is>
      </c>
      <c r="B52" s="26" t="n">
        <v>3675</v>
      </c>
      <c r="C52" s="26" t="n">
        <v>1198</v>
      </c>
      <c r="D52" s="26" t="n">
        <v>508</v>
      </c>
      <c r="E52" s="26" t="n">
        <v>2022</v>
      </c>
      <c r="F52" s="26" t="n">
        <v>4166</v>
      </c>
    </row>
    <row r="53">
      <c r="A53" s="16" t="inlineStr">
        <is>
          <t>Income Tax Expense</t>
        </is>
      </c>
      <c r="B53" s="17" t="n">
        <v>513</v>
      </c>
      <c r="C53" s="17" t="n">
        <v>-122</v>
      </c>
      <c r="D53" s="17" t="n">
        <v>-346</v>
      </c>
      <c r="E53" s="17" t="n">
        <v>381</v>
      </c>
      <c r="F53" s="17" t="n">
        <v>-103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3162</v>
      </c>
      <c r="C55" s="17" t="n">
        <v>1320</v>
      </c>
      <c r="D55" s="17" t="n">
        <v>854</v>
      </c>
      <c r="E55" s="17" t="n">
        <v>1641</v>
      </c>
      <c r="F55" s="17" t="n">
        <v>4269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66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3162</v>
      </c>
      <c r="C59" s="26" t="n">
        <v>1320</v>
      </c>
      <c r="D59" s="26" t="n">
        <v>854</v>
      </c>
      <c r="E59" s="26" t="n">
        <v>1641</v>
      </c>
      <c r="F59" s="26" t="n">
        <v>4335</v>
      </c>
    </row>
    <row r="60">
      <c r="A60" s="14" t="inlineStr">
        <is>
          <t>Bottom Line Net Income</t>
        </is>
      </c>
      <c r="B60" s="15" t="n">
        <v>3162</v>
      </c>
      <c r="C60" s="15" t="n">
        <v>1320</v>
      </c>
      <c r="D60" s="15" t="n">
        <v>854</v>
      </c>
      <c r="E60" s="15" t="n">
        <v>1641</v>
      </c>
      <c r="F60" s="15" t="n">
        <v>4335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2.61</v>
      </c>
      <c r="C62" s="17" t="n">
        <v>0.85</v>
      </c>
      <c r="D62" s="17" t="n">
        <v>0.53</v>
      </c>
      <c r="E62" s="17" t="n">
        <v>1.01</v>
      </c>
      <c r="F62" s="17" t="n">
        <v>2.67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1213</v>
      </c>
      <c r="C64" s="17" t="n">
        <v>1561</v>
      </c>
      <c r="D64" s="17" t="n">
        <v>1614</v>
      </c>
      <c r="E64" s="17" t="n">
        <v>1620</v>
      </c>
      <c r="F64" s="17" t="n">
        <v>1624</v>
      </c>
    </row>
    <row r="65">
      <c r="A65" s="16" t="inlineStr">
        <is>
          <t>Shares Outstanding — Diluted (mm)</t>
        </is>
      </c>
      <c r="B65" s="17" t="n">
        <v>1229</v>
      </c>
      <c r="C65" s="17" t="n">
        <v>1571</v>
      </c>
      <c r="D65" s="17" t="n">
        <v>1625</v>
      </c>
      <c r="E65" s="17" t="n">
        <v>1637</v>
      </c>
      <c r="F65" s="17" t="n">
        <v>1636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2535</v>
      </c>
      <c r="C5" s="17" t="n">
        <v>4835</v>
      </c>
      <c r="D5" s="17" t="n">
        <v>3933</v>
      </c>
      <c r="E5" s="17" t="n">
        <v>3787</v>
      </c>
      <c r="F5" s="17" t="n">
        <v>5539</v>
      </c>
    </row>
    <row r="6">
      <c r="A6" s="16" t="inlineStr">
        <is>
          <t>(2)  Receivables</t>
        </is>
      </c>
      <c r="B6" s="17" t="n">
        <v>2708</v>
      </c>
      <c r="C6" s="17" t="n">
        <v>4128</v>
      </c>
      <c r="D6" s="17" t="n">
        <v>5385</v>
      </c>
      <c r="E6" s="17" t="n">
        <v>6933</v>
      </c>
      <c r="F6" s="17" t="n">
        <v>6315</v>
      </c>
    </row>
    <row r="7">
      <c r="A7" s="16" t="inlineStr">
        <is>
          <t>(3)  Inventory</t>
        </is>
      </c>
      <c r="B7" s="17" t="n">
        <v>1955</v>
      </c>
      <c r="C7" s="17" t="n">
        <v>3771</v>
      </c>
      <c r="D7" s="17" t="n">
        <v>4351</v>
      </c>
      <c r="E7" s="17" t="n">
        <v>5734</v>
      </c>
      <c r="F7" s="17" t="n">
        <v>7920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8583</v>
      </c>
      <c r="C9" s="23" t="n">
        <v>15019</v>
      </c>
      <c r="D9" s="23" t="n">
        <v>16768</v>
      </c>
      <c r="E9" s="23" t="n">
        <v>19049</v>
      </c>
      <c r="F9" s="23" t="n">
        <v>26947</v>
      </c>
    </row>
    <row r="10">
      <c r="A10" s="16" t="inlineStr">
        <is>
          <t>(6)  PP&amp;E (Net)</t>
        </is>
      </c>
      <c r="B10" s="17" t="n">
        <v>1069</v>
      </c>
      <c r="C10" s="17" t="n">
        <v>1973</v>
      </c>
      <c r="D10" s="17" t="n">
        <v>2222</v>
      </c>
      <c r="E10" s="17" t="n">
        <v>2425</v>
      </c>
      <c r="F10" s="17" t="n">
        <v>2312</v>
      </c>
    </row>
    <row r="11">
      <c r="A11" s="16" t="inlineStr">
        <is>
          <t>(7)  Goodwill</t>
        </is>
      </c>
      <c r="B11" s="17" t="n">
        <v>289</v>
      </c>
      <c r="C11" s="17" t="n">
        <v>24177</v>
      </c>
      <c r="D11" s="17" t="n">
        <v>24262</v>
      </c>
      <c r="E11" s="17" t="n">
        <v>24839</v>
      </c>
      <c r="F11" s="17" t="n">
        <v>25126</v>
      </c>
    </row>
    <row r="12">
      <c r="A12" s="16" t="inlineStr">
        <is>
          <t>(8)  Deferred Tax Assets</t>
        </is>
      </c>
      <c r="B12" s="17" t="n">
        <v>931</v>
      </c>
      <c r="C12" s="17" t="n">
        <v>58</v>
      </c>
      <c r="D12" s="17" t="n">
        <v>366</v>
      </c>
      <c r="E12" s="17" t="n">
        <v>688</v>
      </c>
      <c r="F12" s="17" t="n">
        <v>384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3836</v>
      </c>
      <c r="C14" s="23" t="n">
        <v>52561</v>
      </c>
      <c r="D14" s="23" t="n">
        <v>51117</v>
      </c>
      <c r="E14" s="23" t="n">
        <v>50177</v>
      </c>
      <c r="F14" s="23" t="n">
        <v>49979</v>
      </c>
    </row>
    <row r="15">
      <c r="A15" s="18" t="inlineStr">
        <is>
          <t>(11) Total Assets</t>
        </is>
      </c>
      <c r="B15" s="23" t="n">
        <v>12419</v>
      </c>
      <c r="C15" s="23" t="n">
        <v>67580</v>
      </c>
      <c r="D15" s="23" t="n">
        <v>67885</v>
      </c>
      <c r="E15" s="23" t="n">
        <v>69226</v>
      </c>
      <c r="F15" s="23" t="n">
        <v>76926</v>
      </c>
    </row>
    <row r="16" ht="6" customHeight="1"/>
    <row r="17">
      <c r="A17" s="16" t="inlineStr">
        <is>
          <t>(12) Accounts Payable</t>
        </is>
      </c>
      <c r="B17" s="17" t="n">
        <v>1321</v>
      </c>
      <c r="C17" s="17" t="n">
        <v>2493</v>
      </c>
      <c r="D17" s="17" t="n">
        <v>2055</v>
      </c>
      <c r="E17" s="17" t="n">
        <v>1990</v>
      </c>
      <c r="F17" s="17" t="n">
        <v>2929</v>
      </c>
    </row>
    <row r="18">
      <c r="A18" s="16" t="inlineStr">
        <is>
          <t>(13) Short-Term Borrowings</t>
        </is>
      </c>
      <c r="B18" s="17" t="n">
        <v>312</v>
      </c>
      <c r="C18" s="17" t="n">
        <v>0</v>
      </c>
      <c r="D18" s="17" t="n">
        <v>751</v>
      </c>
      <c r="E18" s="17" t="n">
        <v>0</v>
      </c>
      <c r="F18" s="17" t="n">
        <v>874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4240</v>
      </c>
      <c r="C21" s="23" t="n">
        <v>6369</v>
      </c>
      <c r="D21" s="23" t="n">
        <v>6689</v>
      </c>
      <c r="E21" s="23" t="n">
        <v>7281</v>
      </c>
      <c r="F21" s="23" t="n">
        <v>9455</v>
      </c>
    </row>
    <row r="22">
      <c r="A22" s="16" t="inlineStr">
        <is>
          <t>(17) Long-Term Debt</t>
        </is>
      </c>
      <c r="B22" s="17" t="n">
        <v>1</v>
      </c>
      <c r="C22" s="17" t="n">
        <v>2467</v>
      </c>
      <c r="D22" s="17" t="n">
        <v>1717</v>
      </c>
      <c r="E22" s="17" t="n">
        <v>1721</v>
      </c>
      <c r="F22" s="17" t="n">
        <v>2973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4922</v>
      </c>
      <c r="C25" s="23" t="n">
        <v>12830</v>
      </c>
      <c r="D25" s="23" t="n">
        <v>11993</v>
      </c>
      <c r="E25" s="23" t="n">
        <v>11658</v>
      </c>
      <c r="F25" s="23" t="n">
        <v>13927</v>
      </c>
    </row>
    <row r="26" ht="6" customHeight="1"/>
    <row r="27">
      <c r="A27" s="16" t="inlineStr">
        <is>
          <t>(21) Common Stock &amp; APIC</t>
        </is>
      </c>
      <c r="B27" s="17" t="n">
        <v>12</v>
      </c>
      <c r="C27" s="17" t="n">
        <v>16</v>
      </c>
      <c r="D27" s="17" t="n">
        <v>17</v>
      </c>
      <c r="E27" s="17" t="n">
        <v>17</v>
      </c>
      <c r="F27" s="17" t="n">
        <v>17</v>
      </c>
    </row>
    <row r="28">
      <c r="A28" s="16" t="inlineStr">
        <is>
          <t>(22) Retained Earnings</t>
        </is>
      </c>
      <c r="B28" s="17" t="n">
        <v>-1451</v>
      </c>
      <c r="C28" s="17" t="n">
        <v>-131</v>
      </c>
      <c r="D28" s="17" t="n">
        <v>723</v>
      </c>
      <c r="E28" s="17" t="n">
        <v>2364</v>
      </c>
      <c r="F28" s="17" t="n">
        <v>6699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7497</v>
      </c>
      <c r="C30" s="23" t="n">
        <v>54750</v>
      </c>
      <c r="D30" s="23" t="n">
        <v>55892</v>
      </c>
      <c r="E30" s="23" t="n">
        <v>57568</v>
      </c>
      <c r="F30" s="23" t="n">
        <v>62999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2535</v>
      </c>
      <c r="C36" s="17" t="n">
        <v>4835</v>
      </c>
      <c r="D36" s="17" t="n">
        <v>3933</v>
      </c>
      <c r="E36" s="17" t="n">
        <v>3787</v>
      </c>
      <c r="F36" s="17" t="n">
        <v>5539</v>
      </c>
    </row>
    <row r="37">
      <c r="A37" s="16" t="inlineStr">
        <is>
          <t>Short-Term Investments</t>
        </is>
      </c>
      <c r="B37" s="17" t="n">
        <v>1073</v>
      </c>
      <c r="C37" s="17" t="n">
        <v>1020</v>
      </c>
      <c r="D37" s="17" t="n">
        <v>1840</v>
      </c>
      <c r="E37" s="17" t="n">
        <v>1345</v>
      </c>
      <c r="F37" s="17" t="n">
        <v>5013</v>
      </c>
    </row>
    <row r="38">
      <c r="A38" s="27" t="inlineStr">
        <is>
          <t>Cash &amp; Short-Term Investments</t>
        </is>
      </c>
      <c r="B38" s="28" t="n">
        <v>3608</v>
      </c>
      <c r="C38" s="28" t="n">
        <v>5855</v>
      </c>
      <c r="D38" s="28" t="n">
        <v>5773</v>
      </c>
      <c r="E38" s="28" t="n">
        <v>5132</v>
      </c>
      <c r="F38" s="28" t="n">
        <v>10552</v>
      </c>
    </row>
    <row r="39">
      <c r="A39" s="16" t="inlineStr">
        <is>
          <t>Accounts Receivable (Trade)</t>
        </is>
      </c>
      <c r="B39" s="17" t="n">
        <v>2706</v>
      </c>
      <c r="C39" s="17" t="n">
        <v>4126</v>
      </c>
      <c r="D39" s="17" t="n">
        <v>4323</v>
      </c>
      <c r="E39" s="17" t="n">
        <v>6192</v>
      </c>
      <c r="F39" s="17" t="n">
        <v>6315</v>
      </c>
    </row>
    <row r="40">
      <c r="A40" s="16" t="inlineStr">
        <is>
          <t>Other Receivables</t>
        </is>
      </c>
      <c r="B40" s="17" t="n">
        <v>2</v>
      </c>
      <c r="C40" s="17" t="n">
        <v>2</v>
      </c>
      <c r="D40" s="17" t="n">
        <v>1062</v>
      </c>
      <c r="E40" s="17" t="n">
        <v>741</v>
      </c>
      <c r="F40" s="17" t="n">
        <v>0</v>
      </c>
    </row>
    <row r="41">
      <c r="A41" s="27" t="inlineStr">
        <is>
          <t>Net Receivables (Total)</t>
        </is>
      </c>
      <c r="B41" s="28" t="n">
        <v>2708</v>
      </c>
      <c r="C41" s="28" t="n">
        <v>4128</v>
      </c>
      <c r="D41" s="28" t="n">
        <v>5385</v>
      </c>
      <c r="E41" s="28" t="n">
        <v>6933</v>
      </c>
      <c r="F41" s="28" t="n">
        <v>6315</v>
      </c>
    </row>
    <row r="42">
      <c r="A42" s="16" t="inlineStr">
        <is>
          <t>Inventory</t>
        </is>
      </c>
      <c r="B42" s="17" t="n">
        <v>1955</v>
      </c>
      <c r="C42" s="17" t="n">
        <v>3771</v>
      </c>
      <c r="D42" s="17" t="n">
        <v>4351</v>
      </c>
      <c r="E42" s="17" t="n">
        <v>5734</v>
      </c>
      <c r="F42" s="17" t="n">
        <v>7920</v>
      </c>
    </row>
    <row r="43">
      <c r="A43" s="16" t="inlineStr">
        <is>
          <t>Prepaids</t>
        </is>
      </c>
      <c r="B43" s="17" t="n">
        <v>312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1265</v>
      </c>
      <c r="D44" s="17" t="n">
        <v>1259</v>
      </c>
      <c r="E44" s="17" t="n">
        <v>1250</v>
      </c>
      <c r="F44" s="17" t="n">
        <v>2160</v>
      </c>
    </row>
    <row r="45">
      <c r="A45" s="25" t="inlineStr">
        <is>
          <t>Total Current Assets</t>
        </is>
      </c>
      <c r="B45" s="26" t="n">
        <v>8583</v>
      </c>
      <c r="C45" s="26" t="n">
        <v>15019</v>
      </c>
      <c r="D45" s="26" t="n">
        <v>16768</v>
      </c>
      <c r="E45" s="26" t="n">
        <v>19049</v>
      </c>
      <c r="F45" s="26" t="n">
        <v>26947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1069</v>
      </c>
      <c r="C47" s="17" t="n">
        <v>1973</v>
      </c>
      <c r="D47" s="17" t="n">
        <v>2222</v>
      </c>
      <c r="E47" s="17" t="n">
        <v>2425</v>
      </c>
      <c r="F47" s="17" t="n">
        <v>2312</v>
      </c>
    </row>
    <row r="48">
      <c r="A48" s="16" t="inlineStr">
        <is>
          <t>Goodwill</t>
        </is>
      </c>
      <c r="B48" s="17" t="n">
        <v>289</v>
      </c>
      <c r="C48" s="17" t="n">
        <v>24177</v>
      </c>
      <c r="D48" s="17" t="n">
        <v>24262</v>
      </c>
      <c r="E48" s="17" t="n">
        <v>24839</v>
      </c>
      <c r="F48" s="17" t="n">
        <v>25126</v>
      </c>
    </row>
    <row r="49">
      <c r="A49" s="16" t="inlineStr">
        <is>
          <t>Intangible Assets</t>
        </is>
      </c>
      <c r="B49" s="17" t="n">
        <v>323</v>
      </c>
      <c r="C49" s="17" t="n">
        <v>24118</v>
      </c>
      <c r="D49" s="17" t="n">
        <v>21363</v>
      </c>
      <c r="E49" s="17" t="n">
        <v>18930</v>
      </c>
      <c r="F49" s="17" t="n">
        <v>16705</v>
      </c>
    </row>
    <row r="50">
      <c r="A50" s="16" t="inlineStr">
        <is>
          <t>Long-Term Investments</t>
        </is>
      </c>
      <c r="B50" s="17" t="n">
        <v>69</v>
      </c>
      <c r="C50" s="17" t="n">
        <v>83</v>
      </c>
      <c r="D50" s="17" t="n">
        <v>99</v>
      </c>
      <c r="E50" s="17" t="n">
        <v>149</v>
      </c>
      <c r="F50" s="17" t="n">
        <v>0</v>
      </c>
    </row>
    <row r="51">
      <c r="A51" s="16" t="inlineStr">
        <is>
          <t>Tax Assets (Deferred)</t>
        </is>
      </c>
      <c r="B51" s="17" t="n">
        <v>931</v>
      </c>
      <c r="C51" s="17" t="n">
        <v>58</v>
      </c>
      <c r="D51" s="17" t="n">
        <v>366</v>
      </c>
      <c r="E51" s="17" t="n">
        <v>688</v>
      </c>
      <c r="F51" s="17" t="n">
        <v>384</v>
      </c>
    </row>
    <row r="52">
      <c r="A52" s="16" t="inlineStr">
        <is>
          <t>Total Investments</t>
        </is>
      </c>
      <c r="B52" s="17" t="n">
        <v>1142</v>
      </c>
      <c r="C52" s="17" t="n">
        <v>1103</v>
      </c>
      <c r="D52" s="17" t="n">
        <v>1939</v>
      </c>
      <c r="E52" s="17" t="n">
        <v>1494</v>
      </c>
      <c r="F52" s="17" t="n">
        <v>5013</v>
      </c>
    </row>
    <row r="53">
      <c r="A53" s="16" t="inlineStr">
        <is>
          <t>Other Non-Current Assets</t>
        </is>
      </c>
      <c r="B53" s="17" t="n">
        <v>1155</v>
      </c>
      <c r="C53" s="17" t="n">
        <v>2152</v>
      </c>
      <c r="D53" s="17" t="n">
        <v>2805</v>
      </c>
      <c r="E53" s="17" t="n">
        <v>3146</v>
      </c>
      <c r="F53" s="17" t="n">
        <v>5452</v>
      </c>
    </row>
    <row r="54">
      <c r="A54" s="25" t="inlineStr">
        <is>
          <t>Total Non-Current Assets</t>
        </is>
      </c>
      <c r="B54" s="26" t="n">
        <v>3836</v>
      </c>
      <c r="C54" s="26" t="n">
        <v>52561</v>
      </c>
      <c r="D54" s="26" t="n">
        <v>51117</v>
      </c>
      <c r="E54" s="26" t="n">
        <v>50177</v>
      </c>
      <c r="F54" s="26" t="n">
        <v>49979</v>
      </c>
    </row>
    <row r="55">
      <c r="A55" s="12" t="inlineStr">
        <is>
          <t>TOTAL ASSETS</t>
        </is>
      </c>
      <c r="B55" s="29" t="n">
        <v>12419</v>
      </c>
      <c r="C55" s="29" t="n">
        <v>67580</v>
      </c>
      <c r="D55" s="29" t="n">
        <v>67885</v>
      </c>
      <c r="E55" s="29" t="n">
        <v>69226</v>
      </c>
      <c r="F55" s="29" t="n">
        <v>76926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1321</v>
      </c>
      <c r="C57" s="17" t="n">
        <v>2493</v>
      </c>
      <c r="D57" s="17" t="n">
        <v>2055</v>
      </c>
      <c r="E57" s="17" t="n">
        <v>1990</v>
      </c>
      <c r="F57" s="17" t="n">
        <v>2929</v>
      </c>
    </row>
    <row r="58">
      <c r="A58" s="16" t="inlineStr">
        <is>
          <t>Short-Term Debt</t>
        </is>
      </c>
      <c r="B58" s="17" t="n">
        <v>312</v>
      </c>
      <c r="C58" s="17" t="n">
        <v>0</v>
      </c>
      <c r="D58" s="17" t="n">
        <v>751</v>
      </c>
      <c r="E58" s="17" t="n">
        <v>0</v>
      </c>
      <c r="F58" s="17" t="n">
        <v>874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314</v>
      </c>
      <c r="C60" s="17" t="n">
        <v>859</v>
      </c>
      <c r="D60" s="17" t="n">
        <v>544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489</v>
      </c>
      <c r="C61" s="17" t="n">
        <v>178</v>
      </c>
      <c r="D61" s="17" t="n">
        <v>778</v>
      </c>
      <c r="E61" s="17" t="n">
        <v>1729</v>
      </c>
      <c r="F61" s="17" t="n">
        <v>5652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4240</v>
      </c>
      <c r="C63" s="26" t="n">
        <v>6369</v>
      </c>
      <c r="D63" s="26" t="n">
        <v>6689</v>
      </c>
      <c r="E63" s="26" t="n">
        <v>7281</v>
      </c>
      <c r="F63" s="26" t="n">
        <v>9455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1</v>
      </c>
      <c r="C65" s="17" t="n">
        <v>2467</v>
      </c>
      <c r="D65" s="17" t="n">
        <v>1717</v>
      </c>
      <c r="E65" s="17" t="n">
        <v>1721</v>
      </c>
      <c r="F65" s="17" t="n">
        <v>2973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12</v>
      </c>
      <c r="C68" s="17" t="n">
        <v>1934</v>
      </c>
      <c r="D68" s="17" t="n">
        <v>1202</v>
      </c>
      <c r="E68" s="17" t="n">
        <v>349</v>
      </c>
      <c r="F68" s="17" t="n">
        <v>313</v>
      </c>
    </row>
    <row r="69">
      <c r="A69" s="16" t="inlineStr">
        <is>
          <t>Other Non-Current Liabilities</t>
        </is>
      </c>
      <c r="B69" s="17" t="n">
        <v>321</v>
      </c>
      <c r="C69" s="17" t="n">
        <v>1664</v>
      </c>
      <c r="D69" s="17" t="n">
        <v>1850</v>
      </c>
      <c r="E69" s="17" t="n">
        <v>1816</v>
      </c>
      <c r="F69" s="17" t="n">
        <v>561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4922</v>
      </c>
      <c r="C71" s="29" t="n">
        <v>12830</v>
      </c>
      <c r="D71" s="29" t="n">
        <v>11993</v>
      </c>
      <c r="E71" s="29" t="n">
        <v>11658</v>
      </c>
      <c r="F71" s="29" t="n">
        <v>13927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12</v>
      </c>
      <c r="C73" s="17" t="n">
        <v>16</v>
      </c>
      <c r="D73" s="17" t="n">
        <v>17</v>
      </c>
      <c r="E73" s="17" t="n">
        <v>17</v>
      </c>
      <c r="F73" s="17" t="n">
        <v>17</v>
      </c>
    </row>
    <row r="74">
      <c r="A74" s="16" t="inlineStr">
        <is>
          <t>Retained Earnings</t>
        </is>
      </c>
      <c r="B74" s="17" t="n">
        <v>-1451</v>
      </c>
      <c r="C74" s="17" t="n">
        <v>-131</v>
      </c>
      <c r="D74" s="17" t="n">
        <v>723</v>
      </c>
      <c r="E74" s="17" t="n">
        <v>2364</v>
      </c>
      <c r="F74" s="17" t="n">
        <v>6699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7497</v>
      </c>
      <c r="C78" s="26" t="n">
        <v>54750</v>
      </c>
      <c r="D78" s="26" t="n">
        <v>55892</v>
      </c>
      <c r="E78" s="26" t="n">
        <v>57568</v>
      </c>
      <c r="F78" s="26" t="n">
        <v>62999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661</v>
      </c>
      <c r="C80" s="15" t="n">
        <v>2863</v>
      </c>
      <c r="D80" s="15" t="n">
        <v>3003</v>
      </c>
      <c r="E80" s="15" t="n">
        <v>2212</v>
      </c>
      <c r="F80" s="15" t="n">
        <v>4472</v>
      </c>
    </row>
    <row r="81">
      <c r="A81" s="14" t="inlineStr">
        <is>
          <t>Net Debt</t>
        </is>
      </c>
      <c r="B81" s="15" t="n">
        <v>-1874</v>
      </c>
      <c r="C81" s="15" t="n">
        <v>-1972</v>
      </c>
      <c r="D81" s="15" t="n">
        <v>-930</v>
      </c>
      <c r="E81" s="15" t="n">
        <v>-1575</v>
      </c>
      <c r="F81" s="15" t="n">
        <v>-1067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3521</v>
      </c>
      <c r="C5" s="23" t="n">
        <v>3565</v>
      </c>
      <c r="D5" s="23" t="n">
        <v>1667</v>
      </c>
      <c r="E5" s="23" t="n">
        <v>3041</v>
      </c>
      <c r="F5" s="23" t="n">
        <v>7709</v>
      </c>
    </row>
    <row r="6">
      <c r="A6" s="16" t="inlineStr">
        <is>
          <t>(2)  Capital Expenditures</t>
        </is>
      </c>
      <c r="B6" s="17" t="n">
        <v>-301</v>
      </c>
      <c r="C6" s="17" t="n">
        <v>-450</v>
      </c>
      <c r="D6" s="17" t="n">
        <v>-546</v>
      </c>
      <c r="E6" s="17" t="n">
        <v>-636</v>
      </c>
      <c r="F6" s="17" t="n">
        <v>-974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0</v>
      </c>
      <c r="C9" s="17" t="n">
        <v>679</v>
      </c>
      <c r="D9" s="17" t="n">
        <v>0</v>
      </c>
      <c r="E9" s="17" t="n">
        <v>-750</v>
      </c>
      <c r="F9" s="17" t="n">
        <v>1491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285</v>
      </c>
    </row>
    <row r="12">
      <c r="A12" s="16" t="inlineStr">
        <is>
          <t>(7)  Dividends Paid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3220</v>
      </c>
      <c r="C15" s="23" t="n">
        <v>3115</v>
      </c>
      <c r="D15" s="23" t="n">
        <v>1121</v>
      </c>
      <c r="E15" s="23" t="n">
        <v>2405</v>
      </c>
      <c r="F15" s="23" t="n">
        <v>6735</v>
      </c>
    </row>
    <row r="16">
      <c r="A16" s="14" t="inlineStr">
        <is>
          <t xml:space="preserve">     Net Change in Cash</t>
        </is>
      </c>
      <c r="B16" s="15" t="n">
        <v>940</v>
      </c>
      <c r="C16" s="15" t="n">
        <v>2300</v>
      </c>
      <c r="D16" s="15" t="n">
        <v>-902</v>
      </c>
      <c r="E16" s="15" t="n">
        <v>-122</v>
      </c>
      <c r="F16" s="15" t="n">
        <v>1859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3162</v>
      </c>
      <c r="C21" s="17" t="n">
        <v>1320</v>
      </c>
      <c r="D21" s="17" t="n">
        <v>854</v>
      </c>
      <c r="E21" s="17" t="n">
        <v>1641</v>
      </c>
      <c r="F21" s="17" t="n">
        <v>4269</v>
      </c>
    </row>
    <row r="22">
      <c r="A22" s="16" t="inlineStr">
        <is>
          <t>Depreciation &amp; Amortisation</t>
        </is>
      </c>
      <c r="B22" s="17" t="n">
        <v>463</v>
      </c>
      <c r="C22" s="17" t="n">
        <v>4262</v>
      </c>
      <c r="D22" s="17" t="n">
        <v>3551</v>
      </c>
      <c r="E22" s="17" t="n">
        <v>3177</v>
      </c>
      <c r="F22" s="17" t="n">
        <v>3004</v>
      </c>
    </row>
    <row r="23">
      <c r="A23" s="16" t="inlineStr">
        <is>
          <t>Deferred Income Tax</t>
        </is>
      </c>
      <c r="B23" s="17" t="n">
        <v>308</v>
      </c>
      <c r="C23" s="17" t="n">
        <v>-1505</v>
      </c>
      <c r="D23" s="17" t="n">
        <v>-1019</v>
      </c>
      <c r="E23" s="17" t="n">
        <v>-1163</v>
      </c>
      <c r="F23" s="17" t="n">
        <v>248</v>
      </c>
    </row>
    <row r="24">
      <c r="A24" s="16" t="inlineStr">
        <is>
          <t>Stock-Based Compensation</t>
        </is>
      </c>
      <c r="B24" s="17" t="n">
        <v>379</v>
      </c>
      <c r="C24" s="17" t="n">
        <v>1081</v>
      </c>
      <c r="D24" s="17" t="n">
        <v>1384</v>
      </c>
      <c r="E24" s="17" t="n">
        <v>1407</v>
      </c>
      <c r="F24" s="17" t="n">
        <v>1638</v>
      </c>
    </row>
    <row r="25">
      <c r="A25" s="16" t="inlineStr">
        <is>
          <t>Change in Working Capital</t>
        </is>
      </c>
      <c r="B25" s="17" t="n">
        <v>-774</v>
      </c>
      <c r="C25" s="17" t="n">
        <v>-1846</v>
      </c>
      <c r="D25" s="17" t="n">
        <v>-3049</v>
      </c>
      <c r="E25" s="17" t="n">
        <v>-2098</v>
      </c>
      <c r="F25" s="17" t="n">
        <v>-2378</v>
      </c>
    </row>
    <row r="26">
      <c r="A26" s="20" t="inlineStr">
        <is>
          <t xml:space="preserve">  — Accounts Receivable</t>
        </is>
      </c>
      <c r="B26" s="17" t="n">
        <v>-640</v>
      </c>
      <c r="C26" s="17" t="n">
        <v>-1091</v>
      </c>
      <c r="D26" s="17" t="n">
        <v>-1250</v>
      </c>
      <c r="E26" s="17" t="n">
        <v>-1865</v>
      </c>
      <c r="F26" s="17" t="n">
        <v>-121</v>
      </c>
    </row>
    <row r="27">
      <c r="A27" s="20" t="inlineStr">
        <is>
          <t xml:space="preserve">  — Inventory</t>
        </is>
      </c>
      <c r="B27" s="17" t="n">
        <v>-556</v>
      </c>
      <c r="C27" s="17" t="n">
        <v>-1401</v>
      </c>
      <c r="D27" s="17" t="n">
        <v>-580</v>
      </c>
      <c r="E27" s="17" t="n">
        <v>-1458</v>
      </c>
      <c r="F27" s="17" t="n">
        <v>-2189</v>
      </c>
    </row>
    <row r="28">
      <c r="A28" s="20" t="inlineStr">
        <is>
          <t xml:space="preserve">  — Accounts Payable</t>
        </is>
      </c>
      <c r="B28" s="17" t="n">
        <v>801</v>
      </c>
      <c r="C28" s="17" t="n">
        <v>931</v>
      </c>
      <c r="D28" s="17" t="n">
        <v>-419</v>
      </c>
      <c r="E28" s="17" t="n">
        <v>-109</v>
      </c>
      <c r="F28" s="17" t="n">
        <v>410</v>
      </c>
    </row>
    <row r="29">
      <c r="A29" s="20" t="inlineStr">
        <is>
          <t xml:space="preserve">  — Other Working Capital</t>
        </is>
      </c>
      <c r="B29" s="17" t="n">
        <v>-379</v>
      </c>
      <c r="C29" s="17" t="n">
        <v>-285</v>
      </c>
      <c r="D29" s="17" t="n">
        <v>-800</v>
      </c>
      <c r="E29" s="17" t="n">
        <v>1334</v>
      </c>
      <c r="F29" s="17" t="n">
        <v>-478</v>
      </c>
    </row>
    <row r="30">
      <c r="A30" s="16" t="inlineStr">
        <is>
          <t>Other Non-Cash Items</t>
        </is>
      </c>
      <c r="B30" s="17" t="n">
        <v>-17</v>
      </c>
      <c r="C30" s="17" t="n">
        <v>253</v>
      </c>
      <c r="D30" s="17" t="n">
        <v>-54</v>
      </c>
      <c r="E30" s="17" t="n">
        <v>77</v>
      </c>
      <c r="F30" s="17" t="n">
        <v>928</v>
      </c>
    </row>
    <row r="31">
      <c r="A31" s="25" t="inlineStr">
        <is>
          <t>Net Cash from Operations (CFO)</t>
        </is>
      </c>
      <c r="B31" s="26" t="n">
        <v>3521</v>
      </c>
      <c r="C31" s="26" t="n">
        <v>3565</v>
      </c>
      <c r="D31" s="26" t="n">
        <v>1667</v>
      </c>
      <c r="E31" s="26" t="n">
        <v>3041</v>
      </c>
      <c r="F31" s="26" t="n">
        <v>7709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-301</v>
      </c>
      <c r="C33" s="17" t="n">
        <v>-450</v>
      </c>
      <c r="D33" s="17" t="n">
        <v>-546</v>
      </c>
      <c r="E33" s="17" t="n">
        <v>-636</v>
      </c>
      <c r="F33" s="17" t="n">
        <v>-974</v>
      </c>
    </row>
    <row r="34">
      <c r="A34" s="20" t="inlineStr">
        <is>
          <t xml:space="preserve">  (Alt: Invest. in PP&amp;E)</t>
        </is>
      </c>
      <c r="B34" s="17" t="n">
        <v>-301</v>
      </c>
      <c r="C34" s="17" t="n">
        <v>-450</v>
      </c>
      <c r="D34" s="17" t="n">
        <v>-546</v>
      </c>
      <c r="E34" s="17" t="n">
        <v>-636</v>
      </c>
      <c r="F34" s="17" t="n">
        <v>-974</v>
      </c>
    </row>
    <row r="35">
      <c r="A35" s="16" t="inlineStr">
        <is>
          <t>Acquisitions (Net)</t>
        </is>
      </c>
      <c r="B35" s="17" t="n">
        <v>0</v>
      </c>
      <c r="C35" s="17" t="n">
        <v>822</v>
      </c>
      <c r="D35" s="17" t="n">
        <v>-131</v>
      </c>
      <c r="E35" s="17" t="n">
        <v>-565</v>
      </c>
      <c r="F35" s="17" t="n">
        <v>-1760</v>
      </c>
    </row>
    <row r="36">
      <c r="A36" s="16" t="inlineStr">
        <is>
          <t>Purchases of Investments</t>
        </is>
      </c>
      <c r="B36" s="17" t="n">
        <v>-2056</v>
      </c>
      <c r="C36" s="17" t="n">
        <v>-2667</v>
      </c>
      <c r="D36" s="17" t="n">
        <v>-3722</v>
      </c>
      <c r="E36" s="17" t="n">
        <v>-1834</v>
      </c>
      <c r="F36" s="17" t="n">
        <v>-5972</v>
      </c>
    </row>
    <row r="37">
      <c r="A37" s="16" t="inlineStr">
        <is>
          <t>Sales / Maturities of Investments</t>
        </is>
      </c>
      <c r="B37" s="17" t="n">
        <v>1678</v>
      </c>
      <c r="C37" s="17" t="n">
        <v>4310</v>
      </c>
      <c r="D37" s="17" t="n">
        <v>2987</v>
      </c>
      <c r="E37" s="17" t="n">
        <v>2032</v>
      </c>
      <c r="F37" s="17" t="n">
        <v>1845</v>
      </c>
    </row>
    <row r="38">
      <c r="A38" s="16" t="inlineStr">
        <is>
          <t>Other Investing Activities</t>
        </is>
      </c>
      <c r="B38" s="17" t="n">
        <v>-7</v>
      </c>
      <c r="C38" s="17" t="n">
        <v>-16</v>
      </c>
      <c r="D38" s="17" t="n">
        <v>-11</v>
      </c>
      <c r="E38" s="17" t="n">
        <v>-98</v>
      </c>
      <c r="F38" s="17" t="n">
        <v>1328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0</v>
      </c>
      <c r="C41" s="17" t="n">
        <v>679</v>
      </c>
      <c r="D41" s="17" t="n">
        <v>0</v>
      </c>
      <c r="E41" s="17" t="n">
        <v>-750</v>
      </c>
      <c r="F41" s="17" t="n">
        <v>1491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285</v>
      </c>
    </row>
    <row r="44">
      <c r="A44" s="16" t="inlineStr">
        <is>
          <t>Common Stock Repurchased (Buybacks)</t>
        </is>
      </c>
      <c r="B44" s="17" t="n">
        <v>-1999</v>
      </c>
      <c r="C44" s="17" t="n">
        <v>-4108</v>
      </c>
      <c r="D44" s="17" t="n">
        <v>-1412</v>
      </c>
      <c r="E44" s="17" t="n">
        <v>-1590</v>
      </c>
      <c r="F44" s="17" t="n">
        <v>-1316</v>
      </c>
    </row>
    <row r="45">
      <c r="A45" s="16" t="inlineStr">
        <is>
          <t>Dividends Paid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Other Financing Activities</t>
        </is>
      </c>
      <c r="B46" s="17" t="n">
        <v>104</v>
      </c>
      <c r="C46" s="17" t="n">
        <v>165</v>
      </c>
      <c r="D46" s="17" t="n">
        <v>266</v>
      </c>
      <c r="E46" s="17" t="n">
        <v>278</v>
      </c>
      <c r="F46" s="17" t="n">
        <v>-891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0</v>
      </c>
      <c r="C49" s="17" t="n">
        <v>0</v>
      </c>
      <c r="D49" s="17" t="n">
        <v>0</v>
      </c>
      <c r="E49" s="17" t="n">
        <v>0</v>
      </c>
      <c r="F49" s="17" t="n">
        <v>114</v>
      </c>
    </row>
    <row r="50">
      <c r="A50" s="14" t="inlineStr">
        <is>
          <t>Net Change in Cash</t>
        </is>
      </c>
      <c r="B50" s="15" t="n">
        <v>940</v>
      </c>
      <c r="C50" s="15" t="n">
        <v>2300</v>
      </c>
      <c r="D50" s="15" t="n">
        <v>-902</v>
      </c>
      <c r="E50" s="15" t="n">
        <v>-122</v>
      </c>
      <c r="F50" s="15" t="n">
        <v>1859</v>
      </c>
    </row>
    <row r="51">
      <c r="A51" s="16" t="inlineStr">
        <is>
          <t>Cash at Beginning of Period</t>
        </is>
      </c>
      <c r="B51" s="17" t="n">
        <v>1595</v>
      </c>
      <c r="C51" s="17" t="n">
        <v>2535</v>
      </c>
      <c r="D51" s="17" t="n">
        <v>4835</v>
      </c>
      <c r="E51" s="17" t="n">
        <v>3933</v>
      </c>
      <c r="F51" s="17" t="n">
        <v>3680</v>
      </c>
    </row>
    <row r="52">
      <c r="A52" s="25" t="inlineStr">
        <is>
          <t>Cash at End of Period</t>
        </is>
      </c>
      <c r="B52" s="26" t="n">
        <v>2535</v>
      </c>
      <c r="C52" s="26" t="n">
        <v>4835</v>
      </c>
      <c r="D52" s="26" t="n">
        <v>3933</v>
      </c>
      <c r="E52" s="26" t="n">
        <v>3811</v>
      </c>
      <c r="F52" s="26" t="n">
        <v>5539</v>
      </c>
    </row>
    <row r="53">
      <c r="A53" s="25" t="inlineStr">
        <is>
          <t>Free Cash Flow</t>
        </is>
      </c>
      <c r="B53" s="26" t="n">
        <v>3220</v>
      </c>
      <c r="C53" s="26" t="n">
        <v>3115</v>
      </c>
      <c r="D53" s="26" t="n">
        <v>1121</v>
      </c>
      <c r="E53" s="26" t="n">
        <v>2405</v>
      </c>
      <c r="F53" s="26" t="n">
        <v>6735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1229</v>
      </c>
      <c r="C61" s="17" t="n">
        <v>1571</v>
      </c>
      <c r="D61" s="17" t="n">
        <v>1625</v>
      </c>
      <c r="E61" s="17" t="n">
        <v>1637</v>
      </c>
      <c r="F61" s="17" t="n">
        <v>1636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14550</v>
      </c>
      <c r="C5" s="17" t="n">
        <v>7054</v>
      </c>
      <c r="D5" s="17" t="n">
        <v>4651</v>
      </c>
      <c r="E5" s="17" t="n">
        <v>6201</v>
      </c>
      <c r="F5" s="17" t="n">
        <v>9332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AMD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453889.8399</v>
      </c>
      <c r="C5" s="43" t="inlineStr">
        <is>
          <t>FMP marketCap  |  price $278.39</t>
        </is>
      </c>
    </row>
    <row r="6">
      <c r="A6" s="16" t="inlineStr">
        <is>
          <t>Debt  (gross book value, $mm)</t>
        </is>
      </c>
      <c r="B6" s="42" t="n">
        <v>3847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1.963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1.645</v>
      </c>
      <c r="C17" s="43" t="inlineStr">
        <is>
          <t>Mean-reversion toward market beta of 1.0</t>
        </is>
      </c>
    </row>
    <row r="18">
      <c r="A18" s="16" t="inlineStr">
        <is>
          <t>Damodaran industry unlevered  (Semiconductors)</t>
        </is>
      </c>
      <c r="B18" s="49" t="n">
        <v>1.15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0.01x,  t = 2.5%)</t>
        </is>
      </c>
      <c r="B19" s="49" t="n">
        <v>1.16</v>
      </c>
      <c r="C19" s="43">
        <f> unlevered × (1 + (1 − t) × D/E)</f>
        <v/>
      </c>
    </row>
    <row r="20">
      <c r="A20" s="16" t="inlineStr">
        <is>
          <t>Peer median beta</t>
        </is>
      </c>
      <c r="B20" s="49" t="n">
        <v>1.279</v>
      </c>
      <c r="C20" s="43" t="inlineStr">
        <is>
          <t>INTC: 1.349  |  QCOM: 1.279  |  AVGO: 1.253  |  TSM:</t>
        </is>
      </c>
    </row>
    <row r="21">
      <c r="A21" s="46" t="inlineStr">
        <is>
          <t>► Selected beta  (user override)</t>
        </is>
      </c>
      <c r="B21" s="50" t="n">
        <v>1.512</v>
      </c>
      <c r="C21" s="48" t="inlineStr">
        <is>
          <t>Default = average of 4 source(s) above — override freely</t>
        </is>
      </c>
    </row>
    <row r="22">
      <c r="A22" s="41" t="n"/>
      <c r="B22" s="41" t="n"/>
      <c r="C22" s="41" t="n"/>
    </row>
    <row r="23" ht="18" customHeight="1">
      <c r="A23" s="24" t="inlineStr">
        <is>
          <t>STEP 3 — EQUITY RISK PREMIUM  (ERP)</t>
        </is>
      </c>
    </row>
    <row r="24">
      <c r="A24" s="16" t="inlineStr">
        <is>
          <t>Damodaran implied ERP — US market (current)</t>
        </is>
      </c>
      <c r="B24" s="45" t="n">
        <v>0.0472</v>
      </c>
      <c r="C24" s="43" t="inlineStr">
        <is>
          <t>Damodaran.com implied ERP — Jan 2026</t>
        </is>
      </c>
    </row>
    <row r="25">
      <c r="A25" s="16" t="inlineStr">
        <is>
          <t>Damodaran historical avg — US 1928–2025</t>
        </is>
      </c>
      <c r="B25" s="45" t="n">
        <v>0.042</v>
      </c>
      <c r="C25" s="43" t="inlineStr">
        <is>
          <t>Arithmetic average excess return over T-bill</t>
        </is>
      </c>
    </row>
    <row r="26">
      <c r="A26" s="46" t="inlineStr">
        <is>
          <t>► Selected ERP  (user override)</t>
        </is>
      </c>
      <c r="B26" s="47" t="n">
        <v>0.0446</v>
      </c>
      <c r="C26" s="48" t="inlineStr">
        <is>
          <t>Default = average of Damodaran implied &amp; historical avg — override freely</t>
        </is>
      </c>
    </row>
    <row r="27">
      <c r="A27" s="41" t="n"/>
      <c r="B27" s="41" t="n"/>
      <c r="C27" s="41" t="n"/>
    </row>
    <row r="28" ht="18" customHeight="1">
      <c r="A28" s="24" t="inlineStr">
        <is>
          <t>STEP 4 — COST OF EQUITY  (CAPM:  Re = Rf + β × ERP)</t>
        </is>
      </c>
    </row>
    <row r="29">
      <c r="A29" s="18" t="inlineStr">
        <is>
          <t>Cost of equity  (Re)</t>
        </is>
      </c>
      <c r="B29" s="51">
        <f>B13+B21*B26</f>
        <v/>
      </c>
      <c r="C29" s="44" t="inlineStr">
        <is>
          <t>CAPM formula — references selected inputs above</t>
        </is>
      </c>
    </row>
    <row r="30">
      <c r="A30" s="41" t="n"/>
      <c r="B30" s="41" t="n"/>
      <c r="C30" s="41" t="n"/>
    </row>
    <row r="31" ht="18" customHeight="1">
      <c r="A31" s="24" t="inlineStr">
        <is>
          <t>STEP 5 — COST OF DEBT  (Pre-tax Rd)</t>
        </is>
      </c>
    </row>
    <row r="32">
      <c r="A32" s="16" t="inlineStr">
        <is>
          <t>Credit rating  (S&amp;P / Moody's)</t>
        </is>
      </c>
      <c r="B32" s="52" t="inlineStr">
        <is>
          <t>A</t>
        </is>
      </c>
      <c r="C32" s="43" t="inlineStr">
        <is>
          <t>User input</t>
        </is>
      </c>
    </row>
    <row r="33">
      <c r="A33" s="16" t="inlineStr">
        <is>
          <t>FRED matched yield  (rating-tier index)</t>
        </is>
      </c>
      <c r="B33" s="45" t="n">
        <v>0.0489</v>
      </c>
      <c r="C33" s="43" t="inlineStr">
        <is>
          <t>FRED BAMLC0A3CAEY — A</t>
        </is>
      </c>
    </row>
    <row r="34">
      <c r="A34" s="16" t="inlineStr">
        <is>
          <t>Interest Coverage Ratio  (EBIT / Gross Int Exp)</t>
        </is>
      </c>
      <c r="B34" s="49" t="n">
        <v>28.2</v>
      </c>
      <c r="C34" s="43" t="inlineStr">
        <is>
          <t>EBIT $3694mm  /  Int Exp $131mm</t>
        </is>
      </c>
    </row>
    <row r="35">
      <c r="A35" s="16" t="inlineStr">
        <is>
          <t>Synthetic rating  (Damodaran ICR table)</t>
        </is>
      </c>
      <c r="B35" s="52" t="inlineStr">
        <is>
          <t>AAA</t>
        </is>
      </c>
      <c r="C35" s="43" t="inlineStr">
        <is>
          <t>ICR 28.2x  →  AAA</t>
        </is>
      </c>
    </row>
    <row r="36">
      <c r="A36" s="16" t="inlineStr">
        <is>
          <t>Synthetic Rd  (Rf + Damodaran default spread)</t>
        </is>
      </c>
      <c r="B36" s="45" t="n">
        <v>0.0486</v>
      </c>
      <c r="C36" s="43" t="inlineStr">
        <is>
          <t>Rf 4.32% + spread 0.54%</t>
        </is>
      </c>
    </row>
    <row r="37">
      <c r="A37" s="16" t="inlineStr">
        <is>
          <t>Accounting Rd  (Gross int exp / Avg gross debt)</t>
        </is>
      </c>
      <c r="B37" s="45" t="n">
        <v>0.04705459770114943</v>
      </c>
      <c r="C37" s="43" t="inlineStr">
        <is>
          <t>Cross-check only — backward-looking</t>
        </is>
      </c>
    </row>
    <row r="38">
      <c r="A38" s="46" t="inlineStr">
        <is>
          <t>► Selected pre-tax Rd  (user override)</t>
        </is>
      </c>
      <c r="B38" s="47" t="n">
        <v>0.0482</v>
      </c>
      <c r="C38" s="48" t="inlineStr">
        <is>
          <t>Default = average of 3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0.0247</v>
      </c>
      <c r="C41" s="43" t="inlineStr">
        <is>
          <t>FMP: $103mm  /  $4166mm</t>
        </is>
      </c>
    </row>
    <row r="42">
      <c r="A42" s="46" t="inlineStr">
        <is>
          <t>► Selected tax rate  (user override)</t>
        </is>
      </c>
      <c r="B42" s="47" t="n">
        <v>0.0247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B8*B29+B9*B38*(1-B42)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B8*(B13+(B21+(-1.0))*(B26+(-0.01)))+B9*B38*(1-B42)</f>
        <v/>
      </c>
      <c r="C49" s="58">
        <f>B8*(B13+(B21+(-1.0))*(B26+(-0.005)))+B9*B38*(1-B42)</f>
        <v/>
      </c>
      <c r="D49" s="58">
        <f>B8*(B13+(B21+(-1.0))*(B26+(0.0)))+B9*B38*(1-B42)</f>
        <v/>
      </c>
      <c r="E49" s="58">
        <f>B8*(B13+(B21+(-1.0))*(B26+(0.005)))+B9*B38*(1-B42)</f>
        <v/>
      </c>
      <c r="F49" s="58">
        <f>B8*(B13+(B21+(-1.0))*(B26+(0.01)))+B9*B38*(1-B42)</f>
        <v/>
      </c>
    </row>
    <row r="50">
      <c r="A50" s="57" t="inlineStr">
        <is>
          <t>-0.5</t>
        </is>
      </c>
      <c r="B50" s="58">
        <f>B8*(B13+(B21+(-0.5))*(B26+(-0.01)))+B9*B38*(1-B42)</f>
        <v/>
      </c>
      <c r="C50" s="58">
        <f>B8*(B13+(B21+(-0.5))*(B26+(-0.005)))+B9*B38*(1-B42)</f>
        <v/>
      </c>
      <c r="D50" s="58">
        <f>B8*(B13+(B21+(-0.5))*(B26+(0.0)))+B9*B38*(1-B42)</f>
        <v/>
      </c>
      <c r="E50" s="58">
        <f>B8*(B13+(B21+(-0.5))*(B26+(0.005)))+B9*B38*(1-B42)</f>
        <v/>
      </c>
      <c r="F50" s="58">
        <f>B8*(B13+(B21+(-0.5))*(B26+(0.01)))+B9*B38*(1-B42)</f>
        <v/>
      </c>
    </row>
    <row r="51">
      <c r="A51" s="59" t="inlineStr">
        <is>
          <t>Base β</t>
        </is>
      </c>
      <c r="B51" s="60">
        <f>B8*(B13+(B21+(0.0))*(B26+(-0.01)))+B9*B38*(1-B42)</f>
        <v/>
      </c>
      <c r="C51" s="60">
        <f>B8*(B13+(B21+(0.0))*(B26+(-0.005)))+B9*B38*(1-B42)</f>
        <v/>
      </c>
      <c r="D51" s="61">
        <f>B8*(B13+(B21+(0.0))*(B26+(0.0)))+B9*B38*(1-B42)</f>
        <v/>
      </c>
      <c r="E51" s="60">
        <f>B8*(B13+(B21+(0.0))*(B26+(0.005)))+B9*B38*(1-B42)</f>
        <v/>
      </c>
      <c r="F51" s="60">
        <f>B8*(B13+(B21+(0.0))*(B26+(0.01)))+B9*B38*(1-B42)</f>
        <v/>
      </c>
    </row>
    <row r="52">
      <c r="A52" s="57" t="inlineStr">
        <is>
          <t>+0.5</t>
        </is>
      </c>
      <c r="B52" s="58">
        <f>B8*(B13+(B21+(0.5))*(B26+(-0.01)))+B9*B38*(1-B42)</f>
        <v/>
      </c>
      <c r="C52" s="58">
        <f>B8*(B13+(B21+(0.5))*(B26+(-0.005)))+B9*B38*(1-B42)</f>
        <v/>
      </c>
      <c r="D52" s="58">
        <f>B8*(B13+(B21+(0.5))*(B26+(0.0)))+B9*B38*(1-B42)</f>
        <v/>
      </c>
      <c r="E52" s="58">
        <f>B8*(B13+(B21+(0.5))*(B26+(0.005)))+B9*B38*(1-B42)</f>
        <v/>
      </c>
      <c r="F52" s="58">
        <f>B8*(B13+(B21+(0.5))*(B26+(0.01)))+B9*B38*(1-B42)</f>
        <v/>
      </c>
    </row>
    <row r="53">
      <c r="A53" s="57" t="inlineStr">
        <is>
          <t>+1.0</t>
        </is>
      </c>
      <c r="B53" s="58">
        <f>B8*(B13+(B21+(1.0))*(B26+(-0.01)))+B9*B38*(1-B42)</f>
        <v/>
      </c>
      <c r="C53" s="58">
        <f>B8*(B13+(B21+(1.0))*(B26+(-0.005)))+B9*B38*(1-B42)</f>
        <v/>
      </c>
      <c r="D53" s="58">
        <f>B8*(B13+(B21+(1.0))*(B26+(0.0)))+B9*B38*(1-B42)</f>
        <v/>
      </c>
      <c r="E53" s="58">
        <f>B8*(B13+(B21+(1.0))*(B26+(0.005)))+B9*B38*(1-B42)</f>
        <v/>
      </c>
      <c r="F53" s="58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AMD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0.4361</v>
      </c>
      <c r="D7" s="69" t="n">
        <v>-0.039</v>
      </c>
      <c r="E7" s="69" t="n">
        <v>0.1369</v>
      </c>
      <c r="F7" s="69" t="n">
        <v>0.3434</v>
      </c>
      <c r="G7" s="70" t="n">
        <v>0.3597</v>
      </c>
      <c r="H7" s="70" t="n">
        <v>0.4327</v>
      </c>
      <c r="I7" s="70" t="n">
        <v>0.2572</v>
      </c>
      <c r="J7" s="70" t="n">
        <v>0.3123</v>
      </c>
      <c r="K7" s="70" t="n">
        <v>0.2176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0.2535</v>
      </c>
      <c r="C8" s="69" t="n">
        <v>0.2345</v>
      </c>
      <c r="D8" s="69" t="n">
        <v>0.1829</v>
      </c>
      <c r="E8" s="69" t="n">
        <v>0.2039</v>
      </c>
      <c r="F8" s="69" t="n">
        <v>0.21</v>
      </c>
      <c r="G8" s="70" t="n">
        <v>0.217</v>
      </c>
      <c r="H8" s="70" t="n">
        <v>0.217</v>
      </c>
      <c r="I8" s="70" t="n">
        <v>0.217</v>
      </c>
      <c r="J8" s="70" t="n">
        <v>0.217</v>
      </c>
      <c r="K8" s="70" t="n">
        <v>0.217</v>
      </c>
      <c r="L8" s="71" t="n">
        <v>0.21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0.0282</v>
      </c>
      <c r="C9" s="69" t="n">
        <v>0.1806</v>
      </c>
      <c r="D9" s="69" t="n">
        <v>0.1566</v>
      </c>
      <c r="E9" s="69" t="n">
        <v>0.1232</v>
      </c>
      <c r="F9" s="69" t="n">
        <v>0.0867</v>
      </c>
      <c r="G9" s="73" t="n">
        <v>0.0867</v>
      </c>
      <c r="H9" s="73" t="n">
        <v>0.0867</v>
      </c>
      <c r="I9" s="73" t="n">
        <v>0.0867</v>
      </c>
      <c r="J9" s="73" t="n">
        <v>0.0867</v>
      </c>
      <c r="K9" s="73" t="n">
        <v>0.0867</v>
      </c>
      <c r="L9" s="71" t="n">
        <v>0.0867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0.0183</v>
      </c>
      <c r="C10" s="69" t="n">
        <v>0.0191</v>
      </c>
      <c r="D10" s="69" t="n">
        <v>0.0241</v>
      </c>
      <c r="E10" s="69" t="n">
        <v>0.0247</v>
      </c>
      <c r="F10" s="69" t="n">
        <v>0.0281</v>
      </c>
      <c r="G10" s="73" t="n">
        <v>0.0281</v>
      </c>
      <c r="H10" s="73" t="n">
        <v>0.0281</v>
      </c>
      <c r="I10" s="73" t="n">
        <v>0.0281</v>
      </c>
      <c r="J10" s="73" t="n">
        <v>0.0281</v>
      </c>
      <c r="K10" s="73" t="n">
        <v>0.0281</v>
      </c>
      <c r="L10" s="71" t="n">
        <v>0.0281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0.1396</v>
      </c>
      <c r="C12" s="69" t="n">
        <v>0.1018</v>
      </c>
      <c r="D12" s="69" t="n">
        <v>0.6811</v>
      </c>
      <c r="E12" s="69" t="n">
        <v>0.1884</v>
      </c>
      <c r="F12" s="69" t="n">
        <v>0.0247</v>
      </c>
      <c r="G12" s="73" t="n">
        <v>0.0247</v>
      </c>
      <c r="H12" s="73" t="n">
        <v>0.0247</v>
      </c>
      <c r="I12" s="73" t="n">
        <v>0.0247</v>
      </c>
      <c r="J12" s="73" t="n">
        <v>0.0247</v>
      </c>
      <c r="K12" s="73" t="n">
        <v>0.0247</v>
      </c>
      <c r="L12" s="71" t="n">
        <v>0.0247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16434</v>
      </c>
      <c r="C15" s="75" t="n">
        <v>23601</v>
      </c>
      <c r="D15" s="75" t="n">
        <v>22680</v>
      </c>
      <c r="E15" s="75" t="n">
        <v>25785</v>
      </c>
      <c r="F15" s="75" t="n">
        <v>34639</v>
      </c>
      <c r="G15" s="76" t="n">
        <v>47097.9</v>
      </c>
      <c r="H15" s="76" t="n">
        <v>67477.10000000001</v>
      </c>
      <c r="I15" s="76" t="n">
        <v>84829.60000000001</v>
      </c>
      <c r="J15" s="76" t="n">
        <v>111325</v>
      </c>
      <c r="K15" s="76" t="n">
        <v>135550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42,738 — 51,011</t>
        </is>
      </c>
      <c r="H16" s="80" t="inlineStr">
        <is>
          <t>56,149 — 77,571</t>
        </is>
      </c>
      <c r="I16" s="80" t="inlineStr">
        <is>
          <t>84,174 — 85,485</t>
        </is>
      </c>
      <c r="J16" s="80" t="inlineStr">
        <is>
          <t>94,191 — 133,482</t>
        </is>
      </c>
      <c r="K16" s="80" t="inlineStr">
        <is>
          <t>114,687 — 162,529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34</v>
      </c>
      <c r="H17" s="82" t="n">
        <v>34</v>
      </c>
      <c r="I17" s="82" t="n">
        <v>18</v>
      </c>
      <c r="J17" s="83" t="n">
        <v>9</v>
      </c>
      <c r="K17" s="82" t="n">
        <v>17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4" t="inlineStr">
        <is>
          <t>—</t>
        </is>
      </c>
      <c r="C18" s="85">
        <f>IFERROR(C15/B15-1,"")</f>
        <v/>
      </c>
      <c r="D18" s="85">
        <f>IFERROR(D15/C15-1,"")</f>
        <v/>
      </c>
      <c r="E18" s="85">
        <f>IFERROR(E15/D15-1,"")</f>
        <v/>
      </c>
      <c r="F18" s="85">
        <f>IFERROR(F15/E15-1,"")</f>
        <v/>
      </c>
      <c r="G18" s="86">
        <f>IFERROR(G15/F15-1,"")</f>
        <v/>
      </c>
      <c r="H18" s="86">
        <f>IFERROR(H15/G15-1,"")</f>
        <v/>
      </c>
      <c r="I18" s="86">
        <f>IFERROR(I15/H15-1,"")</f>
        <v/>
      </c>
      <c r="J18" s="86">
        <f>IFERROR(J15/I15-1,"")</f>
        <v/>
      </c>
      <c r="K18" s="86">
        <f>IFERROR(K15/J15-1,"")</f>
        <v/>
      </c>
      <c r="L18" s="87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4166</v>
      </c>
      <c r="C20" s="75" t="n">
        <v>5534</v>
      </c>
      <c r="D20" s="75" t="n">
        <v>4149</v>
      </c>
      <c r="E20" s="75" t="n">
        <v>5258</v>
      </c>
      <c r="F20" s="75" t="n">
        <v>7275</v>
      </c>
      <c r="G20" s="76" t="n">
        <v>10218.9</v>
      </c>
      <c r="H20" s="76" t="n">
        <v>14640.6</v>
      </c>
      <c r="I20" s="76" t="n">
        <v>18405.6</v>
      </c>
      <c r="J20" s="76" t="n">
        <v>24154.3</v>
      </c>
      <c r="K20" s="76" t="n">
        <v>29410.5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9,273 — 11,068</t>
        </is>
      </c>
      <c r="H21" s="80" t="inlineStr">
        <is>
          <t>12,183 — 16,831</t>
        </is>
      </c>
      <c r="I21" s="80" t="inlineStr">
        <is>
          <t>18,263 — 18,548</t>
        </is>
      </c>
      <c r="J21" s="80" t="inlineStr">
        <is>
          <t>20,437 — 28,962</t>
        </is>
      </c>
      <c r="K21" s="80" t="inlineStr">
        <is>
          <t>24,884 — 35,264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5">
        <f>IFERROR(B20/B15,"")</f>
        <v/>
      </c>
      <c r="C22" s="85">
        <f>IFERROR(C20/C15,"")</f>
        <v/>
      </c>
      <c r="D22" s="85">
        <f>IFERROR(D20/D15,"")</f>
        <v/>
      </c>
      <c r="E22" s="85">
        <f>IFERROR(E20/E15,"")</f>
        <v/>
      </c>
      <c r="F22" s="85">
        <f>IFERROR(F20/F15,"")</f>
        <v/>
      </c>
      <c r="G22" s="86">
        <f>IFERROR(G20/G15,"")</f>
        <v/>
      </c>
      <c r="H22" s="86">
        <f>IFERROR(H20/H15,"")</f>
        <v/>
      </c>
      <c r="I22" s="86">
        <f>IFERROR(I20/I15,"")</f>
        <v/>
      </c>
      <c r="J22" s="86">
        <f>IFERROR(J20/J15,"")</f>
        <v/>
      </c>
      <c r="K22" s="86">
        <f>IFERROR(K20/K15,"")</f>
        <v/>
      </c>
      <c r="L22" s="87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8" t="inlineStr">
        <is>
          <t xml:space="preserve">  Less: D&amp;A</t>
        </is>
      </c>
      <c r="B25" s="75" t="n">
        <v>-463</v>
      </c>
      <c r="C25" s="75" t="n">
        <v>-4262</v>
      </c>
      <c r="D25" s="75" t="n">
        <v>-3551</v>
      </c>
      <c r="E25" s="75" t="n">
        <v>-3177</v>
      </c>
      <c r="F25" s="75" t="n">
        <v>-3004</v>
      </c>
      <c r="G25" s="89">
        <f>-G15*G9</f>
        <v/>
      </c>
      <c r="H25" s="89">
        <f>-H15*H9</f>
        <v/>
      </c>
      <c r="I25" s="89">
        <f>-I15*I9</f>
        <v/>
      </c>
      <c r="J25" s="89">
        <f>-J15*J9</f>
        <v/>
      </c>
      <c r="K25" s="89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0" t="n">
        <v>3703</v>
      </c>
      <c r="C26" s="90" t="n">
        <v>1272</v>
      </c>
      <c r="D26" s="90" t="n">
        <v>598</v>
      </c>
      <c r="E26" s="90" t="n">
        <v>2081</v>
      </c>
      <c r="F26" s="90" t="n">
        <v>4271</v>
      </c>
      <c r="G26" s="91">
        <f>G20+G25</f>
        <v/>
      </c>
      <c r="H26" s="91">
        <f>H20+H25</f>
        <v/>
      </c>
      <c r="I26" s="91">
        <f>I20+I25</f>
        <v/>
      </c>
      <c r="J26" s="91">
        <f>J20+J25</f>
        <v/>
      </c>
      <c r="K26" s="91">
        <f>K20+K25</f>
        <v/>
      </c>
      <c r="L26" s="91">
        <f>L20+L25</f>
        <v/>
      </c>
      <c r="M26" s="78">
        <f> EBITDA + D&amp;A  (GAAP operating income, EBIT)</f>
        <v/>
      </c>
    </row>
    <row r="27" ht="20" customHeight="1">
      <c r="A27" s="88" t="inlineStr">
        <is>
          <t xml:space="preserve">  Less: Tax on EBIT  (unlevered)</t>
        </is>
      </c>
      <c r="B27" s="92" t="n">
        <v>-516.9</v>
      </c>
      <c r="C27" s="92" t="n">
        <v>-129.5</v>
      </c>
      <c r="D27" s="92" t="n">
        <v>-407.3</v>
      </c>
      <c r="E27" s="92" t="n">
        <v>-392.1</v>
      </c>
      <c r="F27" s="92" t="n">
        <v>-105.6</v>
      </c>
      <c r="G27" s="93">
        <f>-G26*G12</f>
        <v/>
      </c>
      <c r="H27" s="93">
        <f>-H26*H12</f>
        <v/>
      </c>
      <c r="I27" s="93">
        <f>-I26*I12</f>
        <v/>
      </c>
      <c r="J27" s="93">
        <f>-J26*J12</f>
        <v/>
      </c>
      <c r="K27" s="93">
        <f>-K26*K12</f>
        <v/>
      </c>
      <c r="L27" s="93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90" t="n">
        <v>3186.1</v>
      </c>
      <c r="C28" s="90" t="n">
        <v>1142.5</v>
      </c>
      <c r="D28" s="90" t="n">
        <v>190.7</v>
      </c>
      <c r="E28" s="90" t="n">
        <v>1688.9</v>
      </c>
      <c r="F28" s="90" t="n">
        <v>4165.4</v>
      </c>
      <c r="G28" s="94">
        <f>G26+G27</f>
        <v/>
      </c>
      <c r="H28" s="94">
        <f>H26+H27</f>
        <v/>
      </c>
      <c r="I28" s="94">
        <f>I26+I27</f>
        <v/>
      </c>
      <c r="J28" s="94">
        <f>J26+J27</f>
        <v/>
      </c>
      <c r="K28" s="94">
        <f>K26+K27</f>
        <v/>
      </c>
      <c r="L28" s="94">
        <f>L26+L27</f>
        <v/>
      </c>
      <c r="M28" s="78">
        <f> EBIT × (1 − tax rate)</f>
        <v/>
      </c>
    </row>
    <row r="29" ht="20" customHeight="1">
      <c r="A29" s="88" t="inlineStr">
        <is>
          <t xml:space="preserve">  (+) D&amp;A add-back  (non-cash)</t>
        </is>
      </c>
      <c r="B29" s="92" t="n">
        <v>463</v>
      </c>
      <c r="C29" s="92" t="n">
        <v>4262</v>
      </c>
      <c r="D29" s="92" t="n">
        <v>3551</v>
      </c>
      <c r="E29" s="92" t="n">
        <v>3177</v>
      </c>
      <c r="F29" s="92" t="n">
        <v>3004</v>
      </c>
      <c r="G29" s="93">
        <f>-G25</f>
        <v/>
      </c>
      <c r="H29" s="93">
        <f>-H25</f>
        <v/>
      </c>
      <c r="I29" s="93">
        <f>-I25</f>
        <v/>
      </c>
      <c r="J29" s="93">
        <f>-J25</f>
        <v/>
      </c>
      <c r="K29" s="93">
        <f>-K25</f>
        <v/>
      </c>
      <c r="L29" s="93">
        <f>-L25</f>
        <v/>
      </c>
      <c r="M29" s="78">
        <f> D&amp;A added back (non-cash charge — converts NOPAT to cash basis)</f>
        <v/>
      </c>
    </row>
    <row r="30" ht="20" customHeight="1">
      <c r="A30" s="88" t="inlineStr">
        <is>
          <t xml:space="preserve">  (−) Capital Expenditures</t>
        </is>
      </c>
      <c r="B30" s="75" t="n">
        <v>-301</v>
      </c>
      <c r="C30" s="75" t="n">
        <v>-450</v>
      </c>
      <c r="D30" s="75" t="n">
        <v>-546</v>
      </c>
      <c r="E30" s="75" t="n">
        <v>-636</v>
      </c>
      <c r="F30" s="75" t="n">
        <v>-974</v>
      </c>
      <c r="G30" s="93">
        <f>-G15*G10</f>
        <v/>
      </c>
      <c r="H30" s="93">
        <f>-H15*H10</f>
        <v/>
      </c>
      <c r="I30" s="93">
        <f>-I15*I10</f>
        <v/>
      </c>
      <c r="J30" s="93">
        <f>-J15*J10</f>
        <v/>
      </c>
      <c r="K30" s="93">
        <f>-K15*K10</f>
        <v/>
      </c>
      <c r="L30" s="93">
        <f>-L15*L10</f>
        <v/>
      </c>
      <c r="M30" s="78">
        <f> Revenue × CapEx % assumption  (negative = cash outflow)</f>
        <v/>
      </c>
    </row>
    <row r="31" ht="20" customHeight="1">
      <c r="A31" s="88" t="inlineStr">
        <is>
          <t xml:space="preserve">  (−) Increase in Net Working Capital</t>
        </is>
      </c>
      <c r="B31" s="92" t="n"/>
      <c r="C31" s="92" t="n"/>
      <c r="D31" s="92" t="n"/>
      <c r="E31" s="92" t="n"/>
      <c r="F31" s="92" t="n"/>
      <c r="G31" s="93">
        <f>-G15*G11</f>
        <v/>
      </c>
      <c r="H31" s="93">
        <f>-H15*H11</f>
        <v/>
      </c>
      <c r="I31" s="93">
        <f>-I15*I11</f>
        <v/>
      </c>
      <c r="J31" s="93">
        <f>-J15*J11</f>
        <v/>
      </c>
      <c r="K31" s="93">
        <f>-K15*K11</f>
        <v/>
      </c>
      <c r="L31" s="93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90" t="n">
        <v>3348.1</v>
      </c>
      <c r="C32" s="90" t="n">
        <v>4954.5</v>
      </c>
      <c r="D32" s="90" t="n">
        <v>3195.7</v>
      </c>
      <c r="E32" s="90" t="n">
        <v>4229.9</v>
      </c>
      <c r="F32" s="90" t="n">
        <v>6195.4</v>
      </c>
      <c r="G32" s="94">
        <f>G28+G29+G30+G31</f>
        <v/>
      </c>
      <c r="H32" s="94">
        <f>H28+H29+H30+H31</f>
        <v/>
      </c>
      <c r="I32" s="94">
        <f>I28+I29+I30+I31</f>
        <v/>
      </c>
      <c r="J32" s="94">
        <f>J28+J29+J30+J31</f>
        <v/>
      </c>
      <c r="K32" s="94">
        <f>K28+K29+K30+K31</f>
        <v/>
      </c>
      <c r="L32" s="94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5" t="n">
        <v>0.2037</v>
      </c>
      <c r="C33" s="85" t="n">
        <v>0.2099</v>
      </c>
      <c r="D33" s="85" t="n">
        <v>0.1409</v>
      </c>
      <c r="E33" s="85" t="n">
        <v>0.164</v>
      </c>
      <c r="F33" s="85" t="n">
        <v>0.1789</v>
      </c>
      <c r="G33" s="95">
        <f>IFERROR(G32/G15,"")</f>
        <v/>
      </c>
      <c r="H33" s="95">
        <f>IFERROR(H32/H15,"")</f>
        <v/>
      </c>
      <c r="I33" s="95">
        <f>IFERROR(I32/I15,"")</f>
        <v/>
      </c>
      <c r="J33" s="95">
        <f>IFERROR(J32/J15,"")</f>
        <v/>
      </c>
      <c r="K33" s="95">
        <f>IFERROR(K32/K15,"")</f>
        <v/>
      </c>
      <c r="L33" s="95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6">
        <f>WACC!B45</f>
        <v/>
      </c>
      <c r="C36" s="97" t="n"/>
      <c r="D36" s="97" t="n"/>
      <c r="E36" s="97" t="n"/>
      <c r="F36" s="97" t="n"/>
      <c r="G36" s="97" t="n"/>
      <c r="H36" s="97" t="n"/>
      <c r="I36" s="97" t="n"/>
      <c r="J36" s="97" t="n"/>
      <c r="K36" s="97" t="n"/>
      <c r="L36" s="97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8" t="n">
        <v>0.03</v>
      </c>
      <c r="C37" s="97" t="n"/>
      <c r="D37" s="97" t="n"/>
      <c r="E37" s="97" t="n"/>
      <c r="F37" s="97" t="n"/>
      <c r="G37" s="97" t="n"/>
      <c r="H37" s="97" t="n"/>
      <c r="I37" s="97" t="n"/>
      <c r="J37" s="97" t="n"/>
      <c r="K37" s="97" t="n"/>
      <c r="L37" s="97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9" t="n">
        <v>20</v>
      </c>
      <c r="C38" s="97" t="n"/>
      <c r="D38" s="97" t="n"/>
      <c r="E38" s="97" t="n"/>
      <c r="F38" s="97" t="n"/>
      <c r="G38" s="97" t="n"/>
      <c r="H38" s="97" t="n"/>
      <c r="I38" s="97" t="n"/>
      <c r="J38" s="97" t="n"/>
      <c r="K38" s="97" t="n"/>
      <c r="L38" s="97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0" t="inlineStr">
        <is>
          <t>Terminal Year UFCF  (grown by g)</t>
        </is>
      </c>
      <c r="B40" s="101">
        <f>L32</f>
        <v/>
      </c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2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4">
        <f>B40/(B36-B37)</f>
        <v/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4">
        <f>L20*B38</f>
        <v/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0" t="inlineStr">
        <is>
          <t>Discount Period  (mid-year convention)</t>
        </is>
      </c>
      <c r="G45" s="104" t="n">
        <v>0.5</v>
      </c>
      <c r="H45" s="104" t="n">
        <v>1.5</v>
      </c>
      <c r="I45" s="104" t="n">
        <v>2.5</v>
      </c>
      <c r="J45" s="104" t="n">
        <v>3.5</v>
      </c>
      <c r="K45" s="104" t="n">
        <v>4.5</v>
      </c>
      <c r="L45" s="105" t="n">
        <v>5</v>
      </c>
      <c r="M45" s="78" t="inlineStr">
        <is>
          <t>Mid-year: 0.5, 1.5, 2.5...  assumes FCF received evenly through each year</t>
        </is>
      </c>
    </row>
    <row r="46" ht="20" customHeight="1">
      <c r="A46" s="100" t="inlineStr">
        <is>
          <t>Discount Factor  =  1 / (1 + WACC) ^ period</t>
        </is>
      </c>
      <c r="G46" s="106">
        <f>1/(1+B36)^G45</f>
        <v/>
      </c>
      <c r="H46" s="106">
        <f>1/(1+B36)^H45</f>
        <v/>
      </c>
      <c r="I46" s="106">
        <f>1/(1+B36)^I45</f>
        <v/>
      </c>
      <c r="J46" s="106">
        <f>1/(1+B36)^J45</f>
        <v/>
      </c>
      <c r="K46" s="106">
        <f>1/(1+B36)^K45</f>
        <v/>
      </c>
      <c r="L46" s="107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4">
        <f>G32*G46</f>
        <v/>
      </c>
      <c r="H47" s="94">
        <f>H32*H46</f>
        <v/>
      </c>
      <c r="I47" s="94">
        <f>I32*I46</f>
        <v/>
      </c>
      <c r="J47" s="94">
        <f>J32*J46</f>
        <v/>
      </c>
      <c r="K47" s="94">
        <f>K32*K46</f>
        <v/>
      </c>
      <c r="L47" s="103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1">
        <f>G47+H47+I47+J47+K47</f>
        <v/>
      </c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1">
        <f>B41*L46</f>
        <v/>
      </c>
      <c r="C49" s="108" t="n"/>
      <c r="D49" s="108" t="n"/>
      <c r="E49" s="108" t="n"/>
      <c r="F49" s="108" t="n"/>
      <c r="G49" s="108" t="n"/>
      <c r="H49" s="108" t="n"/>
      <c r="I49" s="108" t="n"/>
      <c r="J49" s="108" t="n"/>
      <c r="K49" s="108" t="n"/>
      <c r="L49" s="108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1">
        <f>B42*L46</f>
        <v/>
      </c>
      <c r="C50" s="108" t="n"/>
      <c r="D50" s="108" t="n"/>
      <c r="E50" s="108" t="n"/>
      <c r="F50" s="108" t="n"/>
      <c r="G50" s="108" t="n"/>
      <c r="H50" s="108" t="n"/>
      <c r="I50" s="108" t="n"/>
      <c r="J50" s="108" t="n"/>
      <c r="K50" s="108" t="n"/>
      <c r="L50" s="108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4">
        <f>B48+B49</f>
        <v/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</row>
    <row r="54">
      <c r="A54" s="74" t="inlineStr">
        <is>
          <t>Enterprise Value  [Exit Multiple]</t>
        </is>
      </c>
      <c r="B54" s="94">
        <f>B48+B50</f>
        <v/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</row>
    <row r="55" ht="20" customHeight="1">
      <c r="A55" s="88" t="inlineStr">
        <is>
          <t xml:space="preserve">  Less: Net Debt  (Debt − Cash)</t>
        </is>
      </c>
      <c r="B55" s="101" t="n">
        <v>-1692</v>
      </c>
      <c r="C55" s="102" t="n"/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78" t="inlineStr">
        <is>
          <t>Auto-linked from Balance Sheet: Debt $3,847mm − Cash $5,539mm = $-1,692mm  (negative = net cash)</t>
        </is>
      </c>
    </row>
    <row r="56" ht="20" customHeight="1">
      <c r="A56" s="88" t="inlineStr">
        <is>
          <t xml:space="preserve">  Less: Minority Interest</t>
        </is>
      </c>
      <c r="B56" s="101" t="n">
        <v>0</v>
      </c>
      <c r="C56" s="102" t="n"/>
      <c r="D56" s="102" t="n"/>
      <c r="E56" s="102" t="n"/>
      <c r="F56" s="102" t="n"/>
      <c r="G56" s="102" t="n"/>
      <c r="H56" s="102" t="n"/>
      <c r="I56" s="102" t="n"/>
      <c r="J56" s="102" t="n"/>
      <c r="K56" s="102" t="n"/>
      <c r="L56" s="102" t="n"/>
      <c r="M56" s="78" t="inlineStr">
        <is>
          <t>Auto-linked from Balance Sheet: minorityInterest</t>
        </is>
      </c>
    </row>
    <row r="57" ht="20" customHeight="1">
      <c r="A57" s="88" t="inlineStr">
        <is>
          <t xml:space="preserve">  Shares Outstanding — Diluted  (mm)</t>
        </is>
      </c>
      <c r="B57" s="101" t="n">
        <v>1636</v>
      </c>
      <c r="C57" s="102" t="n"/>
      <c r="D57" s="102" t="n"/>
      <c r="E57" s="102" t="n"/>
      <c r="F57" s="102" t="n"/>
      <c r="G57" s="102" t="n"/>
      <c r="H57" s="102" t="n"/>
      <c r="I57" s="102" t="n"/>
      <c r="J57" s="102" t="n"/>
      <c r="K57" s="102" t="n"/>
      <c r="L57" s="102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9">
        <f>IFERROR((B53-B55-B56)/B57,"")</f>
        <v/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</row>
    <row r="60">
      <c r="A60" s="74" t="inlineStr">
        <is>
          <t>Implied Share Price  [Exit Multiple]  ($)</t>
        </is>
      </c>
      <c r="B60" s="109">
        <f>IFERROR((B54-B55-B56)/B57,"")</f>
        <v/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</row>
    <row r="61" ht="20" customHeight="1">
      <c r="A61" s="100" t="inlineStr">
        <is>
          <t>Current Market Price  ($)</t>
        </is>
      </c>
      <c r="B61" s="110" t="n">
        <v>278.39</v>
      </c>
      <c r="C61" s="102" t="n"/>
      <c r="D61" s="102" t="n"/>
      <c r="E61" s="102" t="n"/>
      <c r="F61" s="102" t="n"/>
      <c r="G61" s="102" t="n"/>
      <c r="H61" s="102" t="n"/>
      <c r="I61" s="102" t="n"/>
      <c r="J61" s="102" t="n"/>
      <c r="K61" s="102" t="n"/>
      <c r="L61" s="102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1">
        <f>IFERROR(B59/B61-1,"")</f>
        <v/>
      </c>
      <c r="C62" s="108" t="n"/>
      <c r="D62" s="108" t="n"/>
      <c r="E62" s="108" t="n"/>
      <c r="F62" s="108" t="n"/>
      <c r="G62" s="108" t="n"/>
      <c r="H62" s="108" t="n"/>
      <c r="I62" s="108" t="n"/>
      <c r="J62" s="108" t="n"/>
      <c r="K62" s="108" t="n"/>
      <c r="L62" s="108" t="n"/>
      <c r="M62" s="108" t="n"/>
    </row>
    <row r="63">
      <c r="A63" s="62" t="inlineStr">
        <is>
          <t>Upside / (Downside)  [Exit Multiple]</t>
        </is>
      </c>
      <c r="B63" s="111">
        <f>IFERROR(B60/B61-1,"")</f>
        <v/>
      </c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2" t="inlineStr">
        <is>
          <t>JS SCORECARD — AMD  |  Master Prompt v2  |  18 Apr 2026</t>
        </is>
      </c>
    </row>
    <row r="2" ht="18" customHeight="1">
      <c r="A2" s="113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4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5" t="inlineStr">
        <is>
          <t>CRITERION</t>
        </is>
      </c>
      <c r="B6" s="116" t="inlineStr">
        <is>
          <t>PART</t>
        </is>
      </c>
      <c r="C6" s="116" t="inlineStr">
        <is>
          <t>WEIGHT %</t>
        </is>
      </c>
      <c r="D6" s="116" t="inlineStr">
        <is>
          <t>CALCULATED VALUE</t>
        </is>
      </c>
      <c r="E6" s="116" t="inlineStr">
        <is>
          <t>TIER  ▼</t>
        </is>
      </c>
      <c r="F6" s="116" t="inlineStr">
        <is>
          <t>SCORE</t>
        </is>
      </c>
      <c r="G6" s="116" t="inlineStr">
        <is>
          <t>WTD SCORE</t>
        </is>
      </c>
      <c r="H6" s="115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7" t="inlineStr">
        <is>
          <t xml:space="preserve">  Business Clarity</t>
        </is>
      </c>
      <c r="B8" s="118" t="inlineStr">
        <is>
          <t>P1</t>
        </is>
      </c>
      <c r="C8" s="119" t="n">
        <v>0.025</v>
      </c>
      <c r="D8" s="120" t="inlineStr">
        <is>
          <t>— user input required</t>
        </is>
      </c>
      <c r="E8" s="121" t="n"/>
      <c r="F8" s="122">
        <f>IF(E8="HIGH",10,IF(E8="MOD-HIGH",7,IF(E8="MOD-LOW",3,IF(E8="LOW",0,""))))</f>
        <v/>
      </c>
      <c r="G8" s="123">
        <f>IF(F8="","",C8*F8)</f>
        <v/>
      </c>
      <c r="H8" s="124" t="inlineStr"/>
    </row>
    <row r="9" ht="18" customHeight="1">
      <c r="A9" s="125" t="inlineStr">
        <is>
          <t xml:space="preserve">  Moat Profile</t>
        </is>
      </c>
      <c r="B9" s="126" t="inlineStr">
        <is>
          <t>P1</t>
        </is>
      </c>
      <c r="C9" s="127" t="n">
        <v>0.1</v>
      </c>
      <c r="D9" s="128" t="inlineStr">
        <is>
          <t>GM 49.5% ✓ (&gt;40%)  |  GM trend +4.6% ✓ (&gt;+1pp)  |  ROIC-WACC -7.1% ✗ (&gt;+5pp)  |  Rev consistency σ=18.4% ✗ (&lt;8%)  [2/4 indicators positive — proxy score]</t>
        </is>
      </c>
      <c r="E9" s="129" t="inlineStr">
        <is>
          <t>MOD-LOW</t>
        </is>
      </c>
      <c r="F9" s="130">
        <f>IF(E9="HIGH",10,IF(E9="MOD-HIGH",7,IF(E9="MOD-LOW",3,IF(E9="LOW",0,""))))</f>
        <v/>
      </c>
      <c r="G9" s="131">
        <f>IF(F9="","",C9*F9)</f>
        <v/>
      </c>
      <c r="H9" s="132" t="inlineStr">
        <is>
          <t>GM 49.5% ✓ (&gt;40%)  |  GM trend +4.6% ✓ (&gt;+1pp)  |  ROIC-WACC -7.1% ✗ (&gt;+5pp)  |  Rev consistency σ=18.4% ✗ (&lt;8%)  [2/4 indicators positive — proxy score]</t>
        </is>
      </c>
    </row>
    <row r="10" ht="18" customHeight="1">
      <c r="A10" s="117" t="inlineStr">
        <is>
          <t xml:space="preserve">  Long-Term Potential</t>
        </is>
      </c>
      <c r="B10" s="118" t="inlineStr">
        <is>
          <t>P1</t>
        </is>
      </c>
      <c r="C10" s="119" t="n">
        <v>0.1</v>
      </c>
      <c r="D10" s="120" t="inlineStr">
        <is>
          <t>— user input required</t>
        </is>
      </c>
      <c r="E10" s="121" t="n"/>
      <c r="F10" s="122">
        <f>IF(E10="HIGH",10,IF(E10="MOD-HIGH",7,IF(E10="MOD-LOW",3,IF(E10="LOW",0,""))))</f>
        <v/>
      </c>
      <c r="G10" s="123">
        <f>IF(F10="","",C10*F10)</f>
        <v/>
      </c>
      <c r="H10" s="124" t="inlineStr"/>
    </row>
    <row r="11" ht="18" customHeight="1">
      <c r="A11" s="125" t="inlineStr">
        <is>
          <t xml:space="preserve">  Management</t>
        </is>
      </c>
      <c r="B11" s="126" t="inlineStr">
        <is>
          <t>P1</t>
        </is>
      </c>
      <c r="C11" s="127" t="n">
        <v>0.075</v>
      </c>
      <c r="D11" s="128" t="inlineStr">
        <is>
          <t>ROIC trend +3.7% ✓ (≥-2pp)  |  GM maintained +4.6% ✓  |  Op margin +5.3% ✓ (≥-2pp)  |  Capital returns MOD-LOW ✗  [3/4 indicators positive — proxy score]</t>
        </is>
      </c>
      <c r="E11" s="133" t="inlineStr">
        <is>
          <t>MOD-HIGH</t>
        </is>
      </c>
      <c r="F11" s="130">
        <f>IF(E11="HIGH",10,IF(E11="MOD-HIGH",7,IF(E11="MOD-LOW",3,IF(E11="LOW",0,""))))</f>
        <v/>
      </c>
      <c r="G11" s="131">
        <f>IF(F11="","",C11*F11)</f>
        <v/>
      </c>
      <c r="H11" s="132" t="inlineStr">
        <is>
          <t>ROIC trend +3.7% ✓ (≥-2pp)  |  GM maintained +4.6% ✓  |  Op margin +5.3% ✓ (≥-2pp)  |  Capital returns MOD-LOW ✗  [3/4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5" t="inlineStr">
        <is>
          <t xml:space="preserve">  Revenue 3yr CAGR</t>
        </is>
      </c>
      <c r="B13" s="126" t="inlineStr">
        <is>
          <t>P2</t>
        </is>
      </c>
      <c r="C13" s="127" t="n">
        <v>0.1</v>
      </c>
      <c r="D13" s="128" t="inlineStr">
        <is>
          <t>13.6%</t>
        </is>
      </c>
      <c r="E13" s="134" t="inlineStr">
        <is>
          <t>HIGH</t>
        </is>
      </c>
      <c r="F13" s="130">
        <f>IF(E13="HIGH",10,IF(E13="MOD-HIGH",7,IF(E13="MOD-LOW",3,IF(E13="LOW",0,""))))</f>
        <v/>
      </c>
      <c r="G13" s="131">
        <f>IF(F13="","",C13*F13)</f>
        <v/>
      </c>
      <c r="H13" s="132" t="inlineStr">
        <is>
          <t>13.6%</t>
        </is>
      </c>
    </row>
    <row r="14" ht="18" customHeight="1">
      <c r="A14" s="125" t="inlineStr">
        <is>
          <t xml:space="preserve">  Cash Quality  (FCF / Net Income)</t>
        </is>
      </c>
      <c r="B14" s="126" t="inlineStr">
        <is>
          <t>P2</t>
        </is>
      </c>
      <c r="C14" s="127" t="n">
        <v>0.1</v>
      </c>
      <c r="D14" s="128" t="inlineStr">
        <is>
          <t>155%  [trend penalty: declined &gt;15pp vs 3yr ago]</t>
        </is>
      </c>
      <c r="E14" s="133" t="inlineStr">
        <is>
          <t>MOD-HIGH</t>
        </is>
      </c>
      <c r="F14" s="130">
        <f>IF(E14="HIGH",10,IF(E14="MOD-HIGH",7,IF(E14="MOD-LOW",3,IF(E14="LOW",0,""))))</f>
        <v/>
      </c>
      <c r="G14" s="131">
        <f>IF(F14="","",C14*F14)</f>
        <v/>
      </c>
      <c r="H14" s="132" t="inlineStr">
        <is>
          <t>155%  [trend penalty: declined &gt;15pp vs 3yr ago]</t>
        </is>
      </c>
    </row>
    <row r="15" ht="18" customHeight="1">
      <c r="A15" s="125" t="inlineStr">
        <is>
          <t xml:space="preserve">  Capital Returns</t>
        </is>
      </c>
      <c r="B15" s="126" t="inlineStr">
        <is>
          <t>P2</t>
        </is>
      </c>
      <c r="C15" s="127" t="n">
        <v>0.05</v>
      </c>
      <c r="D15" s="128" t="inlineStr">
        <is>
          <t>$1,316mm latest FY — debt-funded</t>
        </is>
      </c>
      <c r="E15" s="129" t="inlineStr">
        <is>
          <t>MOD-LOW</t>
        </is>
      </c>
      <c r="F15" s="130">
        <f>IF(E15="HIGH",10,IF(E15="MOD-HIGH",7,IF(E15="MOD-LOW",3,IF(E15="LOW",0,""))))</f>
        <v/>
      </c>
      <c r="G15" s="131">
        <f>IF(F15="","",C15*F15)</f>
        <v/>
      </c>
      <c r="H15" s="132" t="inlineStr">
        <is>
          <t>$1,316mm latest FY — debt-funded</t>
        </is>
      </c>
    </row>
    <row r="16" ht="18" customHeight="1">
      <c r="A16" s="125" t="inlineStr">
        <is>
          <t xml:space="preserve">  ROIC</t>
        </is>
      </c>
      <c r="B16" s="126" t="inlineStr">
        <is>
          <t>P2</t>
        </is>
      </c>
      <c r="C16" s="127" t="n">
        <v>0.075</v>
      </c>
      <c r="D16" s="128" t="inlineStr">
        <is>
          <t>5.9%</t>
        </is>
      </c>
      <c r="E16" s="135" t="inlineStr">
        <is>
          <t>LOW</t>
        </is>
      </c>
      <c r="F16" s="130">
        <f>IF(E16="HIGH",10,IF(E16="MOD-HIGH",7,IF(E16="MOD-LOW",3,IF(E16="LOW",0,""))))</f>
        <v/>
      </c>
      <c r="G16" s="131">
        <f>IF(F16="","",C16*F16)</f>
        <v/>
      </c>
      <c r="H16" s="132" t="inlineStr">
        <is>
          <t>5.9%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5" t="inlineStr">
        <is>
          <t xml:space="preserve">  Credit Risk  (D / EBITDA)</t>
        </is>
      </c>
      <c r="B18" s="126" t="inlineStr">
        <is>
          <t>P3</t>
        </is>
      </c>
      <c r="C18" s="127" t="n">
        <v>0.05</v>
      </c>
      <c r="D18" s="128" t="inlineStr">
        <is>
          <t>Net cash $1,692mm — no net leverage</t>
        </is>
      </c>
      <c r="E18" s="134" t="inlineStr">
        <is>
          <t>HIGH</t>
        </is>
      </c>
      <c r="F18" s="130">
        <f>IF(E18="HIGH",10,IF(E18="MOD-HIGH",7,IF(E18="MOD-LOW",3,IF(E18="LOW",0,""))))</f>
        <v/>
      </c>
      <c r="G18" s="131">
        <f>IF(F18="","",C18*F18)</f>
        <v/>
      </c>
      <c r="H18" s="132" t="inlineStr">
        <is>
          <t>Net cash $1,692mm — no net leverage</t>
        </is>
      </c>
    </row>
    <row r="19" ht="18" customHeight="1">
      <c r="A19" s="125" t="inlineStr">
        <is>
          <t xml:space="preserve">  Interest Cover  (EBIT / Interest)</t>
        </is>
      </c>
      <c r="B19" s="126" t="inlineStr">
        <is>
          <t>P3</t>
        </is>
      </c>
      <c r="C19" s="127" t="n">
        <v>0.075</v>
      </c>
      <c r="D19" s="128" t="inlineStr">
        <is>
          <t>28.2x</t>
        </is>
      </c>
      <c r="E19" s="134" t="inlineStr">
        <is>
          <t>HIGH</t>
        </is>
      </c>
      <c r="F19" s="130">
        <f>IF(E19="HIGH",10,IF(E19="MOD-HIGH",7,IF(E19="MOD-LOW",3,IF(E19="LOW",0,""))))</f>
        <v/>
      </c>
      <c r="G19" s="131">
        <f>IF(F19="","",C19*F19)</f>
        <v/>
      </c>
      <c r="H19" s="132" t="inlineStr">
        <is>
          <t>28.2x</t>
        </is>
      </c>
    </row>
    <row r="20" ht="18" customHeight="1">
      <c r="A20" s="125" t="inlineStr">
        <is>
          <t xml:space="preserve">  Execution Risk</t>
        </is>
      </c>
      <c r="B20" s="126" t="inlineStr">
        <is>
          <t>P3</t>
        </is>
      </c>
      <c r="C20" s="127" t="n">
        <v>0.05</v>
      </c>
      <c r="D20" s="128" t="inlineStr">
        <is>
          <t>Rev growth σ=18.4%  |  Op margin σ=7.0%  [proxy — lower σ = lower risk = higher score]</t>
        </is>
      </c>
      <c r="E20" s="135" t="inlineStr">
        <is>
          <t>LOW</t>
        </is>
      </c>
      <c r="F20" s="130">
        <f>IF(E20="HIGH",10,IF(E20="MOD-HIGH",7,IF(E20="MOD-LOW",3,IF(E20="LOW",0,""))))</f>
        <v/>
      </c>
      <c r="G20" s="131">
        <f>IF(F20="","",C20*F20)</f>
        <v/>
      </c>
      <c r="H20" s="132" t="inlineStr">
        <is>
          <t>Rev growth σ=18.4%  |  Op margin σ=7.0%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5" t="inlineStr">
        <is>
          <t xml:space="preserve">  Valuation vs Median  (P/E)</t>
        </is>
      </c>
      <c r="B22" s="126" t="inlineStr">
        <is>
          <t>P4</t>
        </is>
      </c>
      <c r="C22" s="127" t="n">
        <v>0.1</v>
      </c>
      <c r="D22" s="128" t="inlineStr">
        <is>
          <t>Current 80.5x  |  5yr avg 123.1x  |  Sector median 28.5x  [-35% vs benchmark]</t>
        </is>
      </c>
      <c r="E22" s="134" t="inlineStr">
        <is>
          <t>HIGH</t>
        </is>
      </c>
      <c r="F22" s="130">
        <f>IF(E22="HIGH",10,IF(E22="MOD-HIGH",7,IF(E22="MOD-LOW",3,IF(E22="LOW",0,""))))</f>
        <v/>
      </c>
      <c r="G22" s="131">
        <f>IF(F22="","",C22*F22)</f>
        <v/>
      </c>
      <c r="H22" s="132" t="inlineStr">
        <is>
          <t>Current 80.5x  |  5yr avg 123.1x  |  Sector median 28.5x  [-35% vs benchmark]</t>
        </is>
      </c>
    </row>
    <row r="23" ht="18" customHeight="1">
      <c r="A23" s="125" t="inlineStr">
        <is>
          <t xml:space="preserve">  Valuation vs Median  (P/FCF)</t>
        </is>
      </c>
      <c r="B23" s="126" t="inlineStr">
        <is>
          <t>P4</t>
        </is>
      </c>
      <c r="C23" s="127" t="n">
        <v>0.1</v>
      </c>
      <c r="D23" s="128" t="inlineStr">
        <is>
          <t>Current 51.8x  |  5yr avg 87.2x  |  Sector median 45.0x  [-41% vs benchmark]</t>
        </is>
      </c>
      <c r="E23" s="134" t="inlineStr">
        <is>
          <t>HIGH</t>
        </is>
      </c>
      <c r="F23" s="130">
        <f>IF(E23="HIGH",10,IF(E23="MOD-HIGH",7,IF(E23="MOD-LOW",3,IF(E23="LOW",0,""))))</f>
        <v/>
      </c>
      <c r="G23" s="131">
        <f>IF(F23="","",C23*F23)</f>
        <v/>
      </c>
      <c r="H23" s="132" t="inlineStr">
        <is>
          <t>Current 51.8x  |  5yr avg 87.2x  |  Sector median 45.0x  [-41%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1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2026-04-18T07:53:50Z</dcterms:created>
  <dcterms:modified xsi:type="dcterms:W3CDTF">2026-04-18T07:53:57Z</dcterms:modified>
</cp:coreProperties>
</file>