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ash Flow" sheetId="4" state="visible" r:id="rId4"/>
    <sheet name="Ratios &amp; FCF" sheetId="5" state="visible" r:id="rId5"/>
    <sheet name="Segments" sheetId="6" state="visible" r:id="rId6"/>
    <sheet name="WACC" sheetId="7" state="visible" r:id="rId7"/>
    <sheet name="DCF" sheetId="8" state="visible" r:id="rId8"/>
    <sheet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B71C1C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0" fontId="12" fillId="13" borderId="1" applyAlignment="1" pivotButton="0" quotePrefix="0" xfId="0">
      <alignment horizontal="left" indent="2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171" fontId="13" fillId="6" borderId="1" applyAlignment="1" pivotButton="0" quotePrefix="0" xfId="0">
      <alignment horizontal="right"/>
    </xf>
    <xf numFmtId="0" fontId="14" fillId="6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171" fontId="16" fillId="5" borderId="1" applyAlignment="1" pivotButton="0" quotePrefix="0" xfId="0">
      <alignment horizontal="right"/>
    </xf>
    <xf numFmtId="0" fontId="15" fillId="6" borderId="1" applyAlignment="1" pivotButton="0" quotePrefix="0" xfId="0">
      <alignment horizontal="center"/>
    </xf>
    <xf numFmtId="171" fontId="16" fillId="6" borderId="1" applyAlignment="1" pivotButton="0" quotePrefix="0" xfId="0">
      <alignment horizontal="right"/>
    </xf>
    <xf numFmtId="171" fontId="15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indent="2"/>
    </xf>
    <xf numFmtId="0" fontId="3" fillId="15" borderId="1" applyAlignment="1" pivotButton="0" quotePrefix="0" xfId="0">
      <alignment horizontal="left" vertical="center" indent="1"/>
    </xf>
    <xf numFmtId="49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9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5" borderId="1" applyAlignment="1" pivotButton="0" quotePrefix="0" xfId="0">
      <alignment horizontal="right" vertical="center"/>
    </xf>
    <xf numFmtId="0" fontId="20" fillId="15" borderId="1" applyAlignment="1" pivotButton="0" quotePrefix="0" xfId="0">
      <alignment horizontal="left" wrapText="1" indent="1"/>
    </xf>
    <xf numFmtId="0" fontId="3" fillId="14" borderId="1" applyAlignment="1" pivotButton="0" quotePrefix="0" xfId="0">
      <alignment horizontal="left" vertical="center" indent="1"/>
    </xf>
    <xf numFmtId="164" fontId="7" fillId="16" borderId="1" applyAlignment="1" pivotButton="0" quotePrefix="0" xfId="0">
      <alignment horizontal="right" vertical="center"/>
    </xf>
    <xf numFmtId="164" fontId="19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left" wrapText="1" indent="1"/>
    </xf>
    <xf numFmtId="0" fontId="21" fillId="5" borderId="1" applyAlignment="1" pivotButton="0" quotePrefix="0" xfId="0">
      <alignment horizontal="left" vertical="center" indent="2"/>
    </xf>
    <xf numFmtId="0" fontId="14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3" fontId="21" fillId="14" borderId="1" applyAlignment="1" pivotButton="0" quotePrefix="0" xfId="0">
      <alignment horizontal="right" vertical="center"/>
    </xf>
    <xf numFmtId="0" fontId="22" fillId="16" borderId="1" applyAlignment="1" pivotButton="0" quotePrefix="0" xfId="0">
      <alignment horizontal="right" vertical="center"/>
    </xf>
    <xf numFmtId="165" fontId="21" fillId="16" borderId="1" applyAlignment="1" pivotButton="0" quotePrefix="0" xfId="0">
      <alignment horizontal="right" vertical="center"/>
    </xf>
    <xf numFmtId="165" fontId="21" fillId="14" borderId="1" applyAlignment="1" pivotButton="0" quotePrefix="0" xfId="0">
      <alignment horizontal="right" vertical="center"/>
    </xf>
    <xf numFmtId="165" fontId="21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4" borderId="1" applyAlignment="1" pivotButton="0" quotePrefix="0" xfId="0">
      <alignment horizontal="right" vertical="center"/>
    </xf>
    <xf numFmtId="164" fontId="3" fillId="16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4" borderId="1" applyAlignment="1" pivotButton="0" quotePrefix="0" xfId="0">
      <alignment horizontal="right" vertical="center"/>
    </xf>
    <xf numFmtId="165" fontId="21" fillId="5" borderId="1" applyAlignment="1" pivotButton="0" quotePrefix="0" xfId="0">
      <alignment horizontal="right" vertical="center"/>
    </xf>
    <xf numFmtId="171" fontId="23" fillId="1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1" fontId="5" fillId="15" borderId="1" applyAlignment="1" pivotButton="0" quotePrefix="0" xfId="0">
      <alignment horizontal="right" vertical="center"/>
    </xf>
    <xf numFmtId="173" fontId="5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5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4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6" fillId="6" borderId="0" applyAlignment="1" pivotButton="0" quotePrefix="0" xfId="0">
      <alignment horizontal="left" vertical="center" wrapText="1" indent="1"/>
    </xf>
    <xf numFmtId="0" fontId="26" fillId="17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8" borderId="1" applyAlignment="1" pivotButton="0" quotePrefix="0" xfId="0">
      <alignment horizontal="left" vertical="center"/>
    </xf>
    <xf numFmtId="0" fontId="28" fillId="18" borderId="1" applyAlignment="1" pivotButton="0" quotePrefix="0" xfId="0">
      <alignment horizontal="center" vertical="center"/>
    </xf>
    <xf numFmtId="168" fontId="6" fillId="18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8" borderId="1" applyAlignment="1" pivotButton="0" quotePrefix="0" xfId="0">
      <alignment horizontal="center" vertical="center"/>
    </xf>
    <xf numFmtId="176" fontId="6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28" fillId="15" borderId="1" applyAlignment="1" pivotButton="0" quotePrefix="0" xfId="0">
      <alignment horizontal="center" vertical="center"/>
    </xf>
    <xf numFmtId="168" fontId="6" fillId="15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0" fontId="30" fillId="19" borderId="1" applyAlignment="1" pivotButton="0" quotePrefix="0" xfId="0">
      <alignment horizontal="center" vertical="center"/>
    </xf>
    <xf numFmtId="176" fontId="3" fillId="15" borderId="1" applyAlignment="1" pivotButton="0" quotePrefix="0" xfId="0">
      <alignment horizontal="center" vertical="center"/>
    </xf>
    <xf numFmtId="176" fontId="6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 wrapText="1"/>
    </xf>
    <xf numFmtId="0" fontId="31" fillId="20" borderId="1" applyAlignment="1" pivotButton="0" quotePrefix="0" xfId="0">
      <alignment horizontal="center" vertical="center"/>
    </xf>
    <xf numFmtId="0" fontId="32" fillId="21" borderId="1" applyAlignment="1" pivotButton="0" quotePrefix="0" xfId="0">
      <alignment horizontal="center" vertical="center"/>
    </xf>
    <xf numFmtId="0" fontId="33" fillId="1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3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AMD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34639</v>
      </c>
    </row>
    <row r="8">
      <c r="A8" s="3" t="inlineStr">
        <is>
          <t>Gross Profit ($mm)</t>
        </is>
      </c>
      <c r="B8" s="7" t="n">
        <v>17152</v>
      </c>
    </row>
    <row r="9">
      <c r="A9" s="3" t="inlineStr">
        <is>
          <t>EBITDA ($mm)</t>
        </is>
      </c>
      <c r="B9" s="7" t="n">
        <v>7275</v>
      </c>
    </row>
    <row r="10">
      <c r="A10" s="3" t="inlineStr">
        <is>
          <t>EBIT ($mm)</t>
        </is>
      </c>
      <c r="B10" s="7" t="n">
        <v>3694</v>
      </c>
    </row>
    <row r="11">
      <c r="A11" s="3" t="inlineStr">
        <is>
          <t>Net Income ($mm)</t>
        </is>
      </c>
      <c r="B11" s="7" t="n">
        <v>4335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AMD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16434</v>
      </c>
      <c r="C5" s="16" t="n">
        <v>23601</v>
      </c>
      <c r="D5" s="16" t="n">
        <v>22680</v>
      </c>
      <c r="E5" s="16" t="n">
        <v>25785</v>
      </c>
      <c r="F5" s="16" t="n">
        <v>34639</v>
      </c>
    </row>
    <row r="6">
      <c r="A6" s="17" t="inlineStr">
        <is>
          <t>(2)  Cost of Revenue (COGS)</t>
        </is>
      </c>
      <c r="B6" s="18" t="n">
        <v>8505</v>
      </c>
      <c r="C6" s="18" t="n">
        <v>12998</v>
      </c>
      <c r="D6" s="18" t="n">
        <v>12220</v>
      </c>
      <c r="E6" s="18" t="n">
        <v>13060</v>
      </c>
      <c r="F6" s="18" t="n">
        <v>17487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1448</v>
      </c>
      <c r="C9" s="18" t="n">
        <v>2336</v>
      </c>
      <c r="D9" s="18" t="n">
        <v>2352</v>
      </c>
      <c r="E9" s="18" t="n">
        <v>2783</v>
      </c>
      <c r="F9" s="18" t="n">
        <v>4144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4281</v>
      </c>
      <c r="C11" s="18" t="n">
        <v>9339</v>
      </c>
      <c r="D11" s="18" t="n">
        <v>10059</v>
      </c>
      <c r="E11" s="18" t="n">
        <v>10825</v>
      </c>
      <c r="F11" s="18" t="n">
        <v>13458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463</v>
      </c>
      <c r="C14" s="18" t="n">
        <v>4262</v>
      </c>
      <c r="D14" s="18" t="n">
        <v>3551</v>
      </c>
      <c r="E14" s="18" t="n">
        <v>3177</v>
      </c>
      <c r="F14" s="18" t="n">
        <v>3004</v>
      </c>
    </row>
    <row r="15">
      <c r="A15" s="19" t="inlineStr">
        <is>
          <t>(8)  EBIT (Operating Income)</t>
        </is>
      </c>
      <c r="B15" s="24" t="n">
        <v>3648</v>
      </c>
      <c r="C15" s="24" t="n">
        <v>1264</v>
      </c>
      <c r="D15" s="24" t="n">
        <v>401</v>
      </c>
      <c r="E15" s="24" t="n">
        <v>1900</v>
      </c>
      <c r="F15" s="24" t="n">
        <v>3694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34</v>
      </c>
      <c r="C17" s="18" t="n">
        <v>88</v>
      </c>
      <c r="D17" s="18" t="n">
        <v>106</v>
      </c>
      <c r="E17" s="18" t="n">
        <v>92</v>
      </c>
      <c r="F17" s="18" t="n">
        <v>131</v>
      </c>
    </row>
    <row r="18">
      <c r="A18" s="21" t="inlineStr">
        <is>
          <t xml:space="preserve">     Interest Income</t>
        </is>
      </c>
      <c r="B18" s="18" t="n">
        <v>8</v>
      </c>
      <c r="C18" s="18" t="n">
        <v>65</v>
      </c>
      <c r="D18" s="18" t="n">
        <v>206</v>
      </c>
      <c r="E18" s="18" t="n">
        <v>182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3675</v>
      </c>
      <c r="C21" s="24" t="n">
        <v>1198</v>
      </c>
      <c r="D21" s="24" t="n">
        <v>508</v>
      </c>
      <c r="E21" s="24" t="n">
        <v>2022</v>
      </c>
      <c r="F21" s="24" t="n">
        <v>4166</v>
      </c>
    </row>
    <row r="22">
      <c r="A22" s="17" t="inlineStr">
        <is>
          <t>(11) Income Tax Expense</t>
        </is>
      </c>
      <c r="B22" s="18" t="n">
        <v>513</v>
      </c>
      <c r="C22" s="18" t="n">
        <v>-122</v>
      </c>
      <c r="D22" s="18" t="n">
        <v>-346</v>
      </c>
      <c r="E22" s="18" t="n">
        <v>381</v>
      </c>
      <c r="F22" s="18" t="n">
        <v>-103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3162</v>
      </c>
      <c r="C24" s="24" t="n">
        <v>1320</v>
      </c>
      <c r="D24" s="24" t="n">
        <v>854</v>
      </c>
      <c r="E24" s="24" t="n">
        <v>1641</v>
      </c>
      <c r="F24" s="24" t="n">
        <v>4335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16434</v>
      </c>
      <c r="C30" s="16" t="n">
        <v>23601</v>
      </c>
      <c r="D30" s="16" t="n">
        <v>22680</v>
      </c>
      <c r="E30" s="16" t="n">
        <v>25785</v>
      </c>
      <c r="F30" s="16" t="n">
        <v>34639</v>
      </c>
    </row>
    <row r="31">
      <c r="A31" s="17" t="inlineStr">
        <is>
          <t>Cost of Revenue</t>
        </is>
      </c>
      <c r="B31" s="18" t="n">
        <v>8505</v>
      </c>
      <c r="C31" s="18" t="n">
        <v>12998</v>
      </c>
      <c r="D31" s="18" t="n">
        <v>12220</v>
      </c>
      <c r="E31" s="18" t="n">
        <v>13060</v>
      </c>
      <c r="F31" s="18" t="n">
        <v>17487</v>
      </c>
    </row>
    <row r="32">
      <c r="A32" s="26" t="inlineStr">
        <is>
          <t>Gross Profit</t>
        </is>
      </c>
      <c r="B32" s="27" t="n">
        <v>7929</v>
      </c>
      <c r="C32" s="27" t="n">
        <v>10603</v>
      </c>
      <c r="D32" s="27" t="n">
        <v>10460</v>
      </c>
      <c r="E32" s="27" t="n">
        <v>12725</v>
      </c>
      <c r="F32" s="27" t="n">
        <v>17152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2845</v>
      </c>
      <c r="C34" s="18" t="n">
        <v>5005</v>
      </c>
      <c r="D34" s="18" t="n">
        <v>5872</v>
      </c>
      <c r="E34" s="18" t="n">
        <v>6456</v>
      </c>
      <c r="F34" s="18" t="n">
        <v>8091</v>
      </c>
    </row>
    <row r="35">
      <c r="A35" s="17" t="inlineStr">
        <is>
          <t>General &amp; Administrative</t>
        </is>
      </c>
      <c r="B35" s="18" t="n">
        <v>870</v>
      </c>
      <c r="C35" s="18" t="n">
        <v>1653</v>
      </c>
      <c r="D35" s="18" t="n">
        <v>1657</v>
      </c>
      <c r="E35" s="18" t="n">
        <v>1583</v>
      </c>
      <c r="F35" s="18" t="n">
        <v>0</v>
      </c>
    </row>
    <row r="36">
      <c r="A36" s="17" t="inlineStr">
        <is>
          <t>Selling &amp; Marketing</t>
        </is>
      </c>
      <c r="B36" s="18" t="n">
        <v>578</v>
      </c>
      <c r="C36" s="18" t="n">
        <v>683</v>
      </c>
      <c r="D36" s="18" t="n">
        <v>695</v>
      </c>
      <c r="E36" s="18" t="n">
        <v>1200</v>
      </c>
      <c r="F36" s="18" t="n">
        <v>0</v>
      </c>
    </row>
    <row r="37">
      <c r="A37" s="17" t="inlineStr">
        <is>
          <t>SG&amp;A (Combined)</t>
        </is>
      </c>
      <c r="B37" s="18" t="n">
        <v>1448</v>
      </c>
      <c r="C37" s="18" t="n">
        <v>2336</v>
      </c>
      <c r="D37" s="18" t="n">
        <v>2352</v>
      </c>
      <c r="E37" s="18" t="n">
        <v>2783</v>
      </c>
      <c r="F37" s="18" t="n">
        <v>4144</v>
      </c>
    </row>
    <row r="38">
      <c r="A38" s="17" t="inlineStr">
        <is>
          <t>Other Expenses</t>
        </is>
      </c>
      <c r="B38" s="18" t="n">
        <v>-12</v>
      </c>
      <c r="C38" s="18" t="n">
        <v>1998</v>
      </c>
      <c r="D38" s="18" t="n">
        <v>1835</v>
      </c>
      <c r="E38" s="18" t="n">
        <v>1586</v>
      </c>
      <c r="F38" s="18" t="n">
        <v>1223</v>
      </c>
    </row>
    <row r="39">
      <c r="A39" s="26" t="inlineStr">
        <is>
          <t>Total Operating Expenses</t>
        </is>
      </c>
      <c r="B39" s="27" t="n">
        <v>4281</v>
      </c>
      <c r="C39" s="27" t="n">
        <v>9339</v>
      </c>
      <c r="D39" s="27" t="n">
        <v>10059</v>
      </c>
      <c r="E39" s="27" t="n">
        <v>10825</v>
      </c>
      <c r="F39" s="27" t="n">
        <v>13458</v>
      </c>
    </row>
    <row r="40">
      <c r="A40" s="17" t="inlineStr">
        <is>
          <t>Cost &amp; Expenses (COGS + Opex)</t>
        </is>
      </c>
      <c r="B40" s="18" t="n">
        <v>12786</v>
      </c>
      <c r="C40" s="18" t="n">
        <v>22337</v>
      </c>
      <c r="D40" s="18" t="n">
        <v>22279</v>
      </c>
      <c r="E40" s="18" t="n">
        <v>23885</v>
      </c>
      <c r="F40" s="18" t="n">
        <v>30945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3648</v>
      </c>
      <c r="C42" s="16" t="n">
        <v>1264</v>
      </c>
      <c r="D42" s="16" t="n">
        <v>401</v>
      </c>
      <c r="E42" s="16" t="n">
        <v>1900</v>
      </c>
      <c r="F42" s="16" t="n">
        <v>3694</v>
      </c>
    </row>
    <row r="43">
      <c r="A43" s="17" t="inlineStr">
        <is>
          <t>EBIT (FMP field)</t>
        </is>
      </c>
      <c r="B43" s="18" t="n">
        <v>3703</v>
      </c>
      <c r="C43" s="18" t="n">
        <v>1272</v>
      </c>
      <c r="D43" s="18" t="n">
        <v>598</v>
      </c>
      <c r="E43" s="18" t="n">
        <v>2081</v>
      </c>
      <c r="F43" s="18" t="n">
        <v>4271</v>
      </c>
    </row>
    <row r="44">
      <c r="A44" s="26" t="inlineStr">
        <is>
          <t>EBITDA</t>
        </is>
      </c>
      <c r="B44" s="27" t="n">
        <v>4166</v>
      </c>
      <c r="C44" s="27" t="n">
        <v>5534</v>
      </c>
      <c r="D44" s="27" t="n">
        <v>4149</v>
      </c>
      <c r="E44" s="27" t="n">
        <v>5258</v>
      </c>
      <c r="F44" s="27" t="n">
        <v>7275</v>
      </c>
    </row>
    <row r="45">
      <c r="A45" s="17" t="inlineStr">
        <is>
          <t>Depreciation &amp; Amortisation</t>
        </is>
      </c>
      <c r="B45" s="18" t="n">
        <v>463</v>
      </c>
      <c r="C45" s="18" t="n">
        <v>4262</v>
      </c>
      <c r="D45" s="18" t="n">
        <v>3551</v>
      </c>
      <c r="E45" s="18" t="n">
        <v>3177</v>
      </c>
      <c r="F45" s="18" t="n">
        <v>3004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8</v>
      </c>
      <c r="C47" s="18" t="n">
        <v>65</v>
      </c>
      <c r="D47" s="18" t="n">
        <v>206</v>
      </c>
      <c r="E47" s="18" t="n">
        <v>182</v>
      </c>
      <c r="F47" s="18" t="n">
        <v>0</v>
      </c>
    </row>
    <row r="48">
      <c r="A48" s="17" t="inlineStr">
        <is>
          <t>Interest Expense</t>
        </is>
      </c>
      <c r="B48" s="18" t="n">
        <v>34</v>
      </c>
      <c r="C48" s="18" t="n">
        <v>88</v>
      </c>
      <c r="D48" s="18" t="n">
        <v>106</v>
      </c>
      <c r="E48" s="18" t="n">
        <v>92</v>
      </c>
      <c r="F48" s="18" t="n">
        <v>131</v>
      </c>
    </row>
    <row r="49">
      <c r="A49" s="17" t="inlineStr">
        <is>
          <t>Net Interest Income</t>
        </is>
      </c>
      <c r="B49" s="18" t="n">
        <v>-26</v>
      </c>
      <c r="C49" s="18" t="n">
        <v>-23</v>
      </c>
      <c r="D49" s="18" t="n">
        <v>100</v>
      </c>
      <c r="E49" s="18" t="n">
        <v>90</v>
      </c>
      <c r="F49" s="18" t="n">
        <v>-131</v>
      </c>
    </row>
    <row r="50">
      <c r="A50" s="17" t="inlineStr">
        <is>
          <t>Non-Operating Income (ex-interest)</t>
        </is>
      </c>
      <c r="B50" s="18" t="n">
        <v>-55</v>
      </c>
      <c r="C50" s="18" t="n">
        <v>-8</v>
      </c>
      <c r="D50" s="18" t="n">
        <v>-197</v>
      </c>
      <c r="E50" s="18" t="n">
        <v>-181</v>
      </c>
      <c r="F50" s="18" t="n">
        <v>-575</v>
      </c>
    </row>
    <row r="51">
      <c r="A51" s="17" t="inlineStr">
        <is>
          <t>Total Other Income / (Expenses)</t>
        </is>
      </c>
      <c r="B51" s="18" t="n">
        <v>27</v>
      </c>
      <c r="C51" s="18" t="n">
        <v>-66</v>
      </c>
      <c r="D51" s="18" t="n">
        <v>107</v>
      </c>
      <c r="E51" s="18" t="n">
        <v>122</v>
      </c>
      <c r="F51" s="18" t="n">
        <v>470</v>
      </c>
    </row>
    <row r="52">
      <c r="A52" s="26" t="inlineStr">
        <is>
          <t>EBT / Income Before Tax</t>
        </is>
      </c>
      <c r="B52" s="27" t="n">
        <v>3675</v>
      </c>
      <c r="C52" s="27" t="n">
        <v>1198</v>
      </c>
      <c r="D52" s="27" t="n">
        <v>508</v>
      </c>
      <c r="E52" s="27" t="n">
        <v>2022</v>
      </c>
      <c r="F52" s="27" t="n">
        <v>4166</v>
      </c>
    </row>
    <row r="53">
      <c r="A53" s="17" t="inlineStr">
        <is>
          <t>Income Tax Expense</t>
        </is>
      </c>
      <c r="B53" s="18" t="n">
        <v>513</v>
      </c>
      <c r="C53" s="18" t="n">
        <v>-122</v>
      </c>
      <c r="D53" s="18" t="n">
        <v>-346</v>
      </c>
      <c r="E53" s="18" t="n">
        <v>381</v>
      </c>
      <c r="F53" s="18" t="n">
        <v>-103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3162</v>
      </c>
      <c r="C55" s="18" t="n">
        <v>1320</v>
      </c>
      <c r="D55" s="18" t="n">
        <v>854</v>
      </c>
      <c r="E55" s="18" t="n">
        <v>1641</v>
      </c>
      <c r="F55" s="18" t="n">
        <v>4269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66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3162</v>
      </c>
      <c r="C59" s="27" t="n">
        <v>1320</v>
      </c>
      <c r="D59" s="27" t="n">
        <v>854</v>
      </c>
      <c r="E59" s="27" t="n">
        <v>1641</v>
      </c>
      <c r="F59" s="27" t="n">
        <v>4335</v>
      </c>
    </row>
    <row r="60">
      <c r="A60" s="15" t="inlineStr">
        <is>
          <t>Bottom Line Net Income</t>
        </is>
      </c>
      <c r="B60" s="16" t="n">
        <v>3162</v>
      </c>
      <c r="C60" s="16" t="n">
        <v>1320</v>
      </c>
      <c r="D60" s="16" t="n">
        <v>854</v>
      </c>
      <c r="E60" s="16" t="n">
        <v>1641</v>
      </c>
      <c r="F60" s="16" t="n">
        <v>4335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2.61</v>
      </c>
      <c r="C62" s="18" t="n">
        <v>0.85</v>
      </c>
      <c r="D62" s="18" t="n">
        <v>0.53</v>
      </c>
      <c r="E62" s="18" t="n">
        <v>1.01</v>
      </c>
      <c r="F62" s="18" t="n">
        <v>2.67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1213</v>
      </c>
      <c r="C64" s="18" t="n">
        <v>1561</v>
      </c>
      <c r="D64" s="18" t="n">
        <v>1614</v>
      </c>
      <c r="E64" s="18" t="n">
        <v>1620</v>
      </c>
      <c r="F64" s="18" t="n">
        <v>1624</v>
      </c>
    </row>
    <row r="65">
      <c r="A65" s="17" t="inlineStr">
        <is>
          <t>Shares Outstanding — Diluted (mm)</t>
        </is>
      </c>
      <c r="B65" s="18" t="n">
        <v>1229</v>
      </c>
      <c r="C65" s="18" t="n">
        <v>1571</v>
      </c>
      <c r="D65" s="18" t="n">
        <v>1625</v>
      </c>
      <c r="E65" s="18" t="n">
        <v>1637</v>
      </c>
      <c r="F65" s="18" t="n">
        <v>1636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AMD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2535</v>
      </c>
      <c r="C5" s="18" t="n">
        <v>4835</v>
      </c>
      <c r="D5" s="18" t="n">
        <v>3933</v>
      </c>
      <c r="E5" s="18" t="n">
        <v>3787</v>
      </c>
      <c r="F5" s="18" t="n">
        <v>5539</v>
      </c>
    </row>
    <row r="6">
      <c r="A6" s="17" t="inlineStr">
        <is>
          <t>(2)  Receivables</t>
        </is>
      </c>
      <c r="B6" s="18" t="n">
        <v>2708</v>
      </c>
      <c r="C6" s="18" t="n">
        <v>4128</v>
      </c>
      <c r="D6" s="18" t="n">
        <v>5385</v>
      </c>
      <c r="E6" s="18" t="n">
        <v>6933</v>
      </c>
      <c r="F6" s="18" t="n">
        <v>6315</v>
      </c>
    </row>
    <row r="7">
      <c r="A7" s="17" t="inlineStr">
        <is>
          <t>(3)  Inventory</t>
        </is>
      </c>
      <c r="B7" s="18" t="n">
        <v>1955</v>
      </c>
      <c r="C7" s="18" t="n">
        <v>3771</v>
      </c>
      <c r="D7" s="18" t="n">
        <v>4351</v>
      </c>
      <c r="E7" s="18" t="n">
        <v>5734</v>
      </c>
      <c r="F7" s="18" t="n">
        <v>7920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8583</v>
      </c>
      <c r="C9" s="24" t="n">
        <v>15019</v>
      </c>
      <c r="D9" s="24" t="n">
        <v>16768</v>
      </c>
      <c r="E9" s="24" t="n">
        <v>19049</v>
      </c>
      <c r="F9" s="24" t="n">
        <v>26947</v>
      </c>
    </row>
    <row r="10">
      <c r="A10" s="17" t="inlineStr">
        <is>
          <t>(6)  PP&amp;E (Net)</t>
        </is>
      </c>
      <c r="B10" s="18" t="n">
        <v>1069</v>
      </c>
      <c r="C10" s="18" t="n">
        <v>1973</v>
      </c>
      <c r="D10" s="18" t="n">
        <v>2222</v>
      </c>
      <c r="E10" s="18" t="n">
        <v>2425</v>
      </c>
      <c r="F10" s="18" t="n">
        <v>2312</v>
      </c>
    </row>
    <row r="11">
      <c r="A11" s="17" t="inlineStr">
        <is>
          <t>(7)  Goodwill</t>
        </is>
      </c>
      <c r="B11" s="18" t="n">
        <v>289</v>
      </c>
      <c r="C11" s="18" t="n">
        <v>24177</v>
      </c>
      <c r="D11" s="18" t="n">
        <v>24262</v>
      </c>
      <c r="E11" s="18" t="n">
        <v>24839</v>
      </c>
      <c r="F11" s="18" t="n">
        <v>25126</v>
      </c>
    </row>
    <row r="12">
      <c r="A12" s="17" t="inlineStr">
        <is>
          <t>(8)  Deferred Tax Assets</t>
        </is>
      </c>
      <c r="B12" s="18" t="n">
        <v>931</v>
      </c>
      <c r="C12" s="18" t="n">
        <v>58</v>
      </c>
      <c r="D12" s="18" t="n">
        <v>366</v>
      </c>
      <c r="E12" s="18" t="n">
        <v>688</v>
      </c>
      <c r="F12" s="18" t="n">
        <v>384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3836</v>
      </c>
      <c r="C14" s="24" t="n">
        <v>52561</v>
      </c>
      <c r="D14" s="24" t="n">
        <v>51117</v>
      </c>
      <c r="E14" s="24" t="n">
        <v>50177</v>
      </c>
      <c r="F14" s="24" t="n">
        <v>49979</v>
      </c>
    </row>
    <row r="15">
      <c r="A15" s="19" t="inlineStr">
        <is>
          <t>(11) Total Assets</t>
        </is>
      </c>
      <c r="B15" s="24" t="n">
        <v>12419</v>
      </c>
      <c r="C15" s="24" t="n">
        <v>67580</v>
      </c>
      <c r="D15" s="24" t="n">
        <v>67885</v>
      </c>
      <c r="E15" s="24" t="n">
        <v>69226</v>
      </c>
      <c r="F15" s="24" t="n">
        <v>76926</v>
      </c>
    </row>
    <row r="16" ht="6" customHeight="1"/>
    <row r="17">
      <c r="A17" s="17" t="inlineStr">
        <is>
          <t>(12) Accounts Payable</t>
        </is>
      </c>
      <c r="B17" s="18" t="n">
        <v>1321</v>
      </c>
      <c r="C17" s="18" t="n">
        <v>2493</v>
      </c>
      <c r="D17" s="18" t="n">
        <v>2055</v>
      </c>
      <c r="E17" s="18" t="n">
        <v>1990</v>
      </c>
      <c r="F17" s="18" t="n">
        <v>2929</v>
      </c>
    </row>
    <row r="18">
      <c r="A18" s="17" t="inlineStr">
        <is>
          <t>(13) Short-Term Borrowings</t>
        </is>
      </c>
      <c r="B18" s="18" t="n">
        <v>312</v>
      </c>
      <c r="C18" s="18" t="n">
        <v>0</v>
      </c>
      <c r="D18" s="18" t="n">
        <v>751</v>
      </c>
      <c r="E18" s="18" t="n">
        <v>0</v>
      </c>
      <c r="F18" s="18" t="n">
        <v>874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4240</v>
      </c>
      <c r="C21" s="24" t="n">
        <v>6369</v>
      </c>
      <c r="D21" s="24" t="n">
        <v>6689</v>
      </c>
      <c r="E21" s="24" t="n">
        <v>7281</v>
      </c>
      <c r="F21" s="24" t="n">
        <v>9455</v>
      </c>
    </row>
    <row r="22">
      <c r="A22" s="17" t="inlineStr">
        <is>
          <t>(17) Long-Term Debt</t>
        </is>
      </c>
      <c r="B22" s="18" t="n">
        <v>1</v>
      </c>
      <c r="C22" s="18" t="n">
        <v>2467</v>
      </c>
      <c r="D22" s="18" t="n">
        <v>1717</v>
      </c>
      <c r="E22" s="18" t="n">
        <v>1721</v>
      </c>
      <c r="F22" s="18" t="n">
        <v>2973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4922</v>
      </c>
      <c r="C25" s="24" t="n">
        <v>12830</v>
      </c>
      <c r="D25" s="24" t="n">
        <v>11993</v>
      </c>
      <c r="E25" s="24" t="n">
        <v>11658</v>
      </c>
      <c r="F25" s="24" t="n">
        <v>13927</v>
      </c>
    </row>
    <row r="26" ht="6" customHeight="1"/>
    <row r="27">
      <c r="A27" s="17" t="inlineStr">
        <is>
          <t>(21) Common Stock &amp; APIC</t>
        </is>
      </c>
      <c r="B27" s="18" t="n">
        <v>12</v>
      </c>
      <c r="C27" s="18" t="n">
        <v>16</v>
      </c>
      <c r="D27" s="18" t="n">
        <v>17</v>
      </c>
      <c r="E27" s="18" t="n">
        <v>17</v>
      </c>
      <c r="F27" s="18" t="n">
        <v>17</v>
      </c>
    </row>
    <row r="28">
      <c r="A28" s="17" t="inlineStr">
        <is>
          <t>(22) Retained Earnings</t>
        </is>
      </c>
      <c r="B28" s="18" t="n">
        <v>-1451</v>
      </c>
      <c r="C28" s="18" t="n">
        <v>-131</v>
      </c>
      <c r="D28" s="18" t="n">
        <v>723</v>
      </c>
      <c r="E28" s="18" t="n">
        <v>2364</v>
      </c>
      <c r="F28" s="18" t="n">
        <v>6699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7497</v>
      </c>
      <c r="C30" s="24" t="n">
        <v>54750</v>
      </c>
      <c r="D30" s="24" t="n">
        <v>55892</v>
      </c>
      <c r="E30" s="24" t="n">
        <v>57568</v>
      </c>
      <c r="F30" s="24" t="n">
        <v>62999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2535</v>
      </c>
      <c r="C36" s="18" t="n">
        <v>4835</v>
      </c>
      <c r="D36" s="18" t="n">
        <v>3933</v>
      </c>
      <c r="E36" s="18" t="n">
        <v>3787</v>
      </c>
      <c r="F36" s="18" t="n">
        <v>5539</v>
      </c>
    </row>
    <row r="37">
      <c r="A37" s="17" t="inlineStr">
        <is>
          <t>Short-Term Investments</t>
        </is>
      </c>
      <c r="B37" s="18" t="n">
        <v>1073</v>
      </c>
      <c r="C37" s="18" t="n">
        <v>1020</v>
      </c>
      <c r="D37" s="18" t="n">
        <v>1840</v>
      </c>
      <c r="E37" s="18" t="n">
        <v>1345</v>
      </c>
      <c r="F37" s="18" t="n">
        <v>5013</v>
      </c>
    </row>
    <row r="38">
      <c r="A38" s="28" t="inlineStr">
        <is>
          <t>Cash &amp; Short-Term Investments</t>
        </is>
      </c>
      <c r="B38" s="29" t="n">
        <v>3608</v>
      </c>
      <c r="C38" s="29" t="n">
        <v>5855</v>
      </c>
      <c r="D38" s="29" t="n">
        <v>5773</v>
      </c>
      <c r="E38" s="29" t="n">
        <v>5132</v>
      </c>
      <c r="F38" s="29" t="n">
        <v>10552</v>
      </c>
    </row>
    <row r="39">
      <c r="A39" s="17" t="inlineStr">
        <is>
          <t>Accounts Receivable (Trade)</t>
        </is>
      </c>
      <c r="B39" s="18" t="n">
        <v>2706</v>
      </c>
      <c r="C39" s="18" t="n">
        <v>4126</v>
      </c>
      <c r="D39" s="18" t="n">
        <v>4323</v>
      </c>
      <c r="E39" s="18" t="n">
        <v>6192</v>
      </c>
      <c r="F39" s="18" t="n">
        <v>6315</v>
      </c>
    </row>
    <row r="40">
      <c r="A40" s="17" t="inlineStr">
        <is>
          <t>Other Receivables</t>
        </is>
      </c>
      <c r="B40" s="18" t="n">
        <v>2</v>
      </c>
      <c r="C40" s="18" t="n">
        <v>2</v>
      </c>
      <c r="D40" s="18" t="n">
        <v>1062</v>
      </c>
      <c r="E40" s="18" t="n">
        <v>741</v>
      </c>
      <c r="F40" s="18" t="n">
        <v>0</v>
      </c>
    </row>
    <row r="41">
      <c r="A41" s="28" t="inlineStr">
        <is>
          <t>Net Receivables (Total)</t>
        </is>
      </c>
      <c r="B41" s="29" t="n">
        <v>2708</v>
      </c>
      <c r="C41" s="29" t="n">
        <v>4128</v>
      </c>
      <c r="D41" s="29" t="n">
        <v>5385</v>
      </c>
      <c r="E41" s="29" t="n">
        <v>6933</v>
      </c>
      <c r="F41" s="29" t="n">
        <v>6315</v>
      </c>
    </row>
    <row r="42">
      <c r="A42" s="17" t="inlineStr">
        <is>
          <t>Inventory</t>
        </is>
      </c>
      <c r="B42" s="18" t="n">
        <v>1955</v>
      </c>
      <c r="C42" s="18" t="n">
        <v>3771</v>
      </c>
      <c r="D42" s="18" t="n">
        <v>4351</v>
      </c>
      <c r="E42" s="18" t="n">
        <v>5734</v>
      </c>
      <c r="F42" s="18" t="n">
        <v>7920</v>
      </c>
    </row>
    <row r="43">
      <c r="A43" s="17" t="inlineStr">
        <is>
          <t>Prepaids</t>
        </is>
      </c>
      <c r="B43" s="18" t="n">
        <v>312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1265</v>
      </c>
      <c r="D44" s="18" t="n">
        <v>1259</v>
      </c>
      <c r="E44" s="18" t="n">
        <v>1250</v>
      </c>
      <c r="F44" s="18" t="n">
        <v>2160</v>
      </c>
    </row>
    <row r="45">
      <c r="A45" s="26" t="inlineStr">
        <is>
          <t>Total Current Assets</t>
        </is>
      </c>
      <c r="B45" s="27" t="n">
        <v>8583</v>
      </c>
      <c r="C45" s="27" t="n">
        <v>15019</v>
      </c>
      <c r="D45" s="27" t="n">
        <v>16768</v>
      </c>
      <c r="E45" s="27" t="n">
        <v>19049</v>
      </c>
      <c r="F45" s="27" t="n">
        <v>26947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1069</v>
      </c>
      <c r="C47" s="18" t="n">
        <v>1973</v>
      </c>
      <c r="D47" s="18" t="n">
        <v>2222</v>
      </c>
      <c r="E47" s="18" t="n">
        <v>2425</v>
      </c>
      <c r="F47" s="18" t="n">
        <v>2312</v>
      </c>
    </row>
    <row r="48">
      <c r="A48" s="17" t="inlineStr">
        <is>
          <t>Goodwill</t>
        </is>
      </c>
      <c r="B48" s="18" t="n">
        <v>289</v>
      </c>
      <c r="C48" s="18" t="n">
        <v>24177</v>
      </c>
      <c r="D48" s="18" t="n">
        <v>24262</v>
      </c>
      <c r="E48" s="18" t="n">
        <v>24839</v>
      </c>
      <c r="F48" s="18" t="n">
        <v>25126</v>
      </c>
    </row>
    <row r="49">
      <c r="A49" s="17" t="inlineStr">
        <is>
          <t>Intangible Assets</t>
        </is>
      </c>
      <c r="B49" s="18" t="n">
        <v>323</v>
      </c>
      <c r="C49" s="18" t="n">
        <v>24118</v>
      </c>
      <c r="D49" s="18" t="n">
        <v>21363</v>
      </c>
      <c r="E49" s="18" t="n">
        <v>18930</v>
      </c>
      <c r="F49" s="18" t="n">
        <v>16705</v>
      </c>
    </row>
    <row r="50">
      <c r="A50" s="17" t="inlineStr">
        <is>
          <t>Long-Term Investments</t>
        </is>
      </c>
      <c r="B50" s="18" t="n">
        <v>69</v>
      </c>
      <c r="C50" s="18" t="n">
        <v>83</v>
      </c>
      <c r="D50" s="18" t="n">
        <v>99</v>
      </c>
      <c r="E50" s="18" t="n">
        <v>149</v>
      </c>
      <c r="F50" s="18" t="n">
        <v>0</v>
      </c>
    </row>
    <row r="51">
      <c r="A51" s="17" t="inlineStr">
        <is>
          <t>Tax Assets (Deferred)</t>
        </is>
      </c>
      <c r="B51" s="18" t="n">
        <v>931</v>
      </c>
      <c r="C51" s="18" t="n">
        <v>58</v>
      </c>
      <c r="D51" s="18" t="n">
        <v>366</v>
      </c>
      <c r="E51" s="18" t="n">
        <v>688</v>
      </c>
      <c r="F51" s="18" t="n">
        <v>384</v>
      </c>
    </row>
    <row r="52">
      <c r="A52" s="17" t="inlineStr">
        <is>
          <t>Total Investments</t>
        </is>
      </c>
      <c r="B52" s="18" t="n">
        <v>1142</v>
      </c>
      <c r="C52" s="18" t="n">
        <v>1103</v>
      </c>
      <c r="D52" s="18" t="n">
        <v>1939</v>
      </c>
      <c r="E52" s="18" t="n">
        <v>1494</v>
      </c>
      <c r="F52" s="18" t="n">
        <v>5013</v>
      </c>
    </row>
    <row r="53">
      <c r="A53" s="17" t="inlineStr">
        <is>
          <t>Other Non-Current Assets</t>
        </is>
      </c>
      <c r="B53" s="18" t="n">
        <v>1155</v>
      </c>
      <c r="C53" s="18" t="n">
        <v>2152</v>
      </c>
      <c r="D53" s="18" t="n">
        <v>2805</v>
      </c>
      <c r="E53" s="18" t="n">
        <v>3146</v>
      </c>
      <c r="F53" s="18" t="n">
        <v>5452</v>
      </c>
    </row>
    <row r="54">
      <c r="A54" s="26" t="inlineStr">
        <is>
          <t>Total Non-Current Assets</t>
        </is>
      </c>
      <c r="B54" s="27" t="n">
        <v>3836</v>
      </c>
      <c r="C54" s="27" t="n">
        <v>52561</v>
      </c>
      <c r="D54" s="27" t="n">
        <v>51117</v>
      </c>
      <c r="E54" s="27" t="n">
        <v>50177</v>
      </c>
      <c r="F54" s="27" t="n">
        <v>49979</v>
      </c>
    </row>
    <row r="55">
      <c r="A55" s="13" t="inlineStr">
        <is>
          <t>TOTAL ASSETS</t>
        </is>
      </c>
      <c r="B55" s="30" t="n">
        <v>12419</v>
      </c>
      <c r="C55" s="30" t="n">
        <v>67580</v>
      </c>
      <c r="D55" s="30" t="n">
        <v>67885</v>
      </c>
      <c r="E55" s="30" t="n">
        <v>69226</v>
      </c>
      <c r="F55" s="30" t="n">
        <v>76926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1321</v>
      </c>
      <c r="C57" s="18" t="n">
        <v>2493</v>
      </c>
      <c r="D57" s="18" t="n">
        <v>2055</v>
      </c>
      <c r="E57" s="18" t="n">
        <v>1990</v>
      </c>
      <c r="F57" s="18" t="n">
        <v>2929</v>
      </c>
    </row>
    <row r="58">
      <c r="A58" s="17" t="inlineStr">
        <is>
          <t>Short-Term Debt</t>
        </is>
      </c>
      <c r="B58" s="18" t="n">
        <v>312</v>
      </c>
      <c r="C58" s="18" t="n">
        <v>0</v>
      </c>
      <c r="D58" s="18" t="n">
        <v>751</v>
      </c>
      <c r="E58" s="18" t="n">
        <v>0</v>
      </c>
      <c r="F58" s="18" t="n">
        <v>874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314</v>
      </c>
      <c r="C60" s="18" t="n">
        <v>859</v>
      </c>
      <c r="D60" s="18" t="n">
        <v>544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489</v>
      </c>
      <c r="C61" s="18" t="n">
        <v>178</v>
      </c>
      <c r="D61" s="18" t="n">
        <v>778</v>
      </c>
      <c r="E61" s="18" t="n">
        <v>1729</v>
      </c>
      <c r="F61" s="18" t="n">
        <v>5652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4240</v>
      </c>
      <c r="C63" s="27" t="n">
        <v>6369</v>
      </c>
      <c r="D63" s="27" t="n">
        <v>6689</v>
      </c>
      <c r="E63" s="27" t="n">
        <v>7281</v>
      </c>
      <c r="F63" s="27" t="n">
        <v>9455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</v>
      </c>
      <c r="C65" s="18" t="n">
        <v>2467</v>
      </c>
      <c r="D65" s="18" t="n">
        <v>1717</v>
      </c>
      <c r="E65" s="18" t="n">
        <v>1721</v>
      </c>
      <c r="F65" s="18" t="n">
        <v>2973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12</v>
      </c>
      <c r="C68" s="18" t="n">
        <v>1934</v>
      </c>
      <c r="D68" s="18" t="n">
        <v>1202</v>
      </c>
      <c r="E68" s="18" t="n">
        <v>349</v>
      </c>
      <c r="F68" s="18" t="n">
        <v>313</v>
      </c>
    </row>
    <row r="69">
      <c r="A69" s="17" t="inlineStr">
        <is>
          <t>Other Non-Current Liabilities</t>
        </is>
      </c>
      <c r="B69" s="18" t="n">
        <v>321</v>
      </c>
      <c r="C69" s="18" t="n">
        <v>1664</v>
      </c>
      <c r="D69" s="18" t="n">
        <v>1850</v>
      </c>
      <c r="E69" s="18" t="n">
        <v>1816</v>
      </c>
      <c r="F69" s="18" t="n">
        <v>561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4922</v>
      </c>
      <c r="C71" s="30" t="n">
        <v>12830</v>
      </c>
      <c r="D71" s="30" t="n">
        <v>11993</v>
      </c>
      <c r="E71" s="30" t="n">
        <v>11658</v>
      </c>
      <c r="F71" s="30" t="n">
        <v>13927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12</v>
      </c>
      <c r="C73" s="18" t="n">
        <v>16</v>
      </c>
      <c r="D73" s="18" t="n">
        <v>17</v>
      </c>
      <c r="E73" s="18" t="n">
        <v>17</v>
      </c>
      <c r="F73" s="18" t="n">
        <v>17</v>
      </c>
    </row>
    <row r="74">
      <c r="A74" s="17" t="inlineStr">
        <is>
          <t>Retained Earnings</t>
        </is>
      </c>
      <c r="B74" s="18" t="n">
        <v>-1451</v>
      </c>
      <c r="C74" s="18" t="n">
        <v>-131</v>
      </c>
      <c r="D74" s="18" t="n">
        <v>723</v>
      </c>
      <c r="E74" s="18" t="n">
        <v>2364</v>
      </c>
      <c r="F74" s="18" t="n">
        <v>6699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7497</v>
      </c>
      <c r="C78" s="27" t="n">
        <v>54750</v>
      </c>
      <c r="D78" s="27" t="n">
        <v>55892</v>
      </c>
      <c r="E78" s="27" t="n">
        <v>57568</v>
      </c>
      <c r="F78" s="27" t="n">
        <v>62999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AMD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3521</v>
      </c>
      <c r="C5" s="24" t="n">
        <v>3565</v>
      </c>
      <c r="D5" s="24" t="n">
        <v>1667</v>
      </c>
      <c r="E5" s="24" t="n">
        <v>3041</v>
      </c>
      <c r="F5" s="24" t="n">
        <v>7709</v>
      </c>
    </row>
    <row r="6">
      <c r="A6" s="17" t="inlineStr">
        <is>
          <t>(2)  Capital Expenditures</t>
        </is>
      </c>
      <c r="B6" s="18" t="n">
        <v>-301</v>
      </c>
      <c r="C6" s="18" t="n">
        <v>-450</v>
      </c>
      <c r="D6" s="18" t="n">
        <v>-546</v>
      </c>
      <c r="E6" s="18" t="n">
        <v>-636</v>
      </c>
      <c r="F6" s="18" t="n">
        <v>-974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0</v>
      </c>
      <c r="C9" s="18" t="n">
        <v>679</v>
      </c>
      <c r="D9" s="18" t="n">
        <v>0</v>
      </c>
      <c r="E9" s="18" t="n">
        <v>-750</v>
      </c>
      <c r="F9" s="18" t="n">
        <v>1491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285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3220</v>
      </c>
      <c r="C15" s="24" t="n">
        <v>3115</v>
      </c>
      <c r="D15" s="24" t="n">
        <v>1121</v>
      </c>
      <c r="E15" s="24" t="n">
        <v>2405</v>
      </c>
      <c r="F15" s="24" t="n">
        <v>6735</v>
      </c>
    </row>
    <row r="16">
      <c r="A16" s="15" t="inlineStr">
        <is>
          <t xml:space="preserve">     Net Change in Cash</t>
        </is>
      </c>
      <c r="B16" s="16" t="n">
        <v>940</v>
      </c>
      <c r="C16" s="16" t="n">
        <v>2300</v>
      </c>
      <c r="D16" s="16" t="n">
        <v>-902</v>
      </c>
      <c r="E16" s="16" t="n">
        <v>-122</v>
      </c>
      <c r="F16" s="16" t="n">
        <v>1859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3162</v>
      </c>
      <c r="C21" s="18" t="n">
        <v>1320</v>
      </c>
      <c r="D21" s="18" t="n">
        <v>854</v>
      </c>
      <c r="E21" s="18" t="n">
        <v>1641</v>
      </c>
      <c r="F21" s="18" t="n">
        <v>4269</v>
      </c>
    </row>
    <row r="22">
      <c r="A22" s="17" t="inlineStr">
        <is>
          <t>Depreciation &amp; Amortisation</t>
        </is>
      </c>
      <c r="B22" s="18" t="n">
        <v>463</v>
      </c>
      <c r="C22" s="18" t="n">
        <v>4262</v>
      </c>
      <c r="D22" s="18" t="n">
        <v>3551</v>
      </c>
      <c r="E22" s="18" t="n">
        <v>3177</v>
      </c>
      <c r="F22" s="18" t="n">
        <v>3004</v>
      </c>
    </row>
    <row r="23">
      <c r="A23" s="17" t="inlineStr">
        <is>
          <t>Deferred Income Tax</t>
        </is>
      </c>
      <c r="B23" s="18" t="n">
        <v>308</v>
      </c>
      <c r="C23" s="18" t="n">
        <v>-1505</v>
      </c>
      <c r="D23" s="18" t="n">
        <v>-1019</v>
      </c>
      <c r="E23" s="18" t="n">
        <v>-1163</v>
      </c>
      <c r="F23" s="18" t="n">
        <v>248</v>
      </c>
    </row>
    <row r="24">
      <c r="A24" s="17" t="inlineStr">
        <is>
          <t>Stock-Based Compensation</t>
        </is>
      </c>
      <c r="B24" s="18" t="n">
        <v>379</v>
      </c>
      <c r="C24" s="18" t="n">
        <v>1081</v>
      </c>
      <c r="D24" s="18" t="n">
        <v>1384</v>
      </c>
      <c r="E24" s="18" t="n">
        <v>1407</v>
      </c>
      <c r="F24" s="18" t="n">
        <v>1638</v>
      </c>
    </row>
    <row r="25">
      <c r="A25" s="17" t="inlineStr">
        <is>
          <t>Change in Working Capital</t>
        </is>
      </c>
      <c r="B25" s="18" t="n">
        <v>-774</v>
      </c>
      <c r="C25" s="18" t="n">
        <v>-1846</v>
      </c>
      <c r="D25" s="18" t="n">
        <v>-3049</v>
      </c>
      <c r="E25" s="18" t="n">
        <v>-2098</v>
      </c>
      <c r="F25" s="18" t="n">
        <v>-2378</v>
      </c>
    </row>
    <row r="26">
      <c r="A26" s="21" t="inlineStr">
        <is>
          <t xml:space="preserve">  — Accounts Receivable</t>
        </is>
      </c>
      <c r="B26" s="18" t="n">
        <v>-640</v>
      </c>
      <c r="C26" s="18" t="n">
        <v>-1091</v>
      </c>
      <c r="D26" s="18" t="n">
        <v>-1250</v>
      </c>
      <c r="E26" s="18" t="n">
        <v>-1865</v>
      </c>
      <c r="F26" s="18" t="n">
        <v>-121</v>
      </c>
    </row>
    <row r="27">
      <c r="A27" s="21" t="inlineStr">
        <is>
          <t xml:space="preserve">  — Inventory</t>
        </is>
      </c>
      <c r="B27" s="18" t="n">
        <v>-556</v>
      </c>
      <c r="C27" s="18" t="n">
        <v>-1401</v>
      </c>
      <c r="D27" s="18" t="n">
        <v>-580</v>
      </c>
      <c r="E27" s="18" t="n">
        <v>-1458</v>
      </c>
      <c r="F27" s="18" t="n">
        <v>-2189</v>
      </c>
    </row>
    <row r="28">
      <c r="A28" s="21" t="inlineStr">
        <is>
          <t xml:space="preserve">  — Accounts Payable</t>
        </is>
      </c>
      <c r="B28" s="18" t="n">
        <v>801</v>
      </c>
      <c r="C28" s="18" t="n">
        <v>931</v>
      </c>
      <c r="D28" s="18" t="n">
        <v>-419</v>
      </c>
      <c r="E28" s="18" t="n">
        <v>-109</v>
      </c>
      <c r="F28" s="18" t="n">
        <v>410</v>
      </c>
    </row>
    <row r="29">
      <c r="A29" s="21" t="inlineStr">
        <is>
          <t xml:space="preserve">  — Other Working Capital</t>
        </is>
      </c>
      <c r="B29" s="18" t="n">
        <v>-379</v>
      </c>
      <c r="C29" s="18" t="n">
        <v>-285</v>
      </c>
      <c r="D29" s="18" t="n">
        <v>-800</v>
      </c>
      <c r="E29" s="18" t="n">
        <v>1334</v>
      </c>
      <c r="F29" s="18" t="n">
        <v>-478</v>
      </c>
    </row>
    <row r="30">
      <c r="A30" s="17" t="inlineStr">
        <is>
          <t>Other Non-Cash Items</t>
        </is>
      </c>
      <c r="B30" s="18" t="n">
        <v>-17</v>
      </c>
      <c r="C30" s="18" t="n">
        <v>253</v>
      </c>
      <c r="D30" s="18" t="n">
        <v>-54</v>
      </c>
      <c r="E30" s="18" t="n">
        <v>77</v>
      </c>
      <c r="F30" s="18" t="n">
        <v>928</v>
      </c>
    </row>
    <row r="31">
      <c r="A31" s="26" t="inlineStr">
        <is>
          <t>Net Cash from Operations (CFO)</t>
        </is>
      </c>
      <c r="B31" s="27" t="n">
        <v>3521</v>
      </c>
      <c r="C31" s="27" t="n">
        <v>3565</v>
      </c>
      <c r="D31" s="27" t="n">
        <v>1667</v>
      </c>
      <c r="E31" s="27" t="n">
        <v>3041</v>
      </c>
      <c r="F31" s="27" t="n">
        <v>7709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-301</v>
      </c>
      <c r="C33" s="18" t="n">
        <v>-450</v>
      </c>
      <c r="D33" s="18" t="n">
        <v>-546</v>
      </c>
      <c r="E33" s="18" t="n">
        <v>-636</v>
      </c>
      <c r="F33" s="18" t="n">
        <v>-974</v>
      </c>
    </row>
    <row r="34">
      <c r="A34" s="21" t="inlineStr">
        <is>
          <t xml:space="preserve">  (Alt: Invest. in PP&amp;E)</t>
        </is>
      </c>
      <c r="B34" s="18" t="n">
        <v>-301</v>
      </c>
      <c r="C34" s="18" t="n">
        <v>-450</v>
      </c>
      <c r="D34" s="18" t="n">
        <v>-546</v>
      </c>
      <c r="E34" s="18" t="n">
        <v>-636</v>
      </c>
      <c r="F34" s="18" t="n">
        <v>-974</v>
      </c>
    </row>
    <row r="35">
      <c r="A35" s="17" t="inlineStr">
        <is>
          <t>Acquisitions (Net)</t>
        </is>
      </c>
      <c r="B35" s="18" t="n">
        <v>0</v>
      </c>
      <c r="C35" s="18" t="n">
        <v>822</v>
      </c>
      <c r="D35" s="18" t="n">
        <v>-131</v>
      </c>
      <c r="E35" s="18" t="n">
        <v>-565</v>
      </c>
      <c r="F35" s="18" t="n">
        <v>-1760</v>
      </c>
    </row>
    <row r="36">
      <c r="A36" s="17" t="inlineStr">
        <is>
          <t>Purchases of Investments</t>
        </is>
      </c>
      <c r="B36" s="18" t="n">
        <v>-2056</v>
      </c>
      <c r="C36" s="18" t="n">
        <v>-2667</v>
      </c>
      <c r="D36" s="18" t="n">
        <v>-3722</v>
      </c>
      <c r="E36" s="18" t="n">
        <v>-1834</v>
      </c>
      <c r="F36" s="18" t="n">
        <v>-5972</v>
      </c>
    </row>
    <row r="37">
      <c r="A37" s="17" t="inlineStr">
        <is>
          <t>Sales / Maturities of Investments</t>
        </is>
      </c>
      <c r="B37" s="18" t="n">
        <v>1678</v>
      </c>
      <c r="C37" s="18" t="n">
        <v>4310</v>
      </c>
      <c r="D37" s="18" t="n">
        <v>2987</v>
      </c>
      <c r="E37" s="18" t="n">
        <v>2032</v>
      </c>
      <c r="F37" s="18" t="n">
        <v>1845</v>
      </c>
    </row>
    <row r="38">
      <c r="A38" s="17" t="inlineStr">
        <is>
          <t>Other Investing Activities</t>
        </is>
      </c>
      <c r="B38" s="18" t="n">
        <v>-7</v>
      </c>
      <c r="C38" s="18" t="n">
        <v>-16</v>
      </c>
      <c r="D38" s="18" t="n">
        <v>-11</v>
      </c>
      <c r="E38" s="18" t="n">
        <v>-98</v>
      </c>
      <c r="F38" s="18" t="n">
        <v>1328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0</v>
      </c>
      <c r="C41" s="18" t="n">
        <v>679</v>
      </c>
      <c r="D41" s="18" t="n">
        <v>0</v>
      </c>
      <c r="E41" s="18" t="n">
        <v>-750</v>
      </c>
      <c r="F41" s="18" t="n">
        <v>1491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285</v>
      </c>
    </row>
    <row r="44">
      <c r="A44" s="17" t="inlineStr">
        <is>
          <t>Common Stock Repurchased (Buybacks)</t>
        </is>
      </c>
      <c r="B44" s="18" t="n">
        <v>-1999</v>
      </c>
      <c r="C44" s="18" t="n">
        <v>-4108</v>
      </c>
      <c r="D44" s="18" t="n">
        <v>-1412</v>
      </c>
      <c r="E44" s="18" t="n">
        <v>-1590</v>
      </c>
      <c r="F44" s="18" t="n">
        <v>-1316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104</v>
      </c>
      <c r="C46" s="18" t="n">
        <v>165</v>
      </c>
      <c r="D46" s="18" t="n">
        <v>266</v>
      </c>
      <c r="E46" s="18" t="n">
        <v>278</v>
      </c>
      <c r="F46" s="18" t="n">
        <v>-891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114</v>
      </c>
    </row>
    <row r="50">
      <c r="A50" s="15" t="inlineStr">
        <is>
          <t>Net Change in Cash</t>
        </is>
      </c>
      <c r="B50" s="16" t="n">
        <v>940</v>
      </c>
      <c r="C50" s="16" t="n">
        <v>2300</v>
      </c>
      <c r="D50" s="16" t="n">
        <v>-902</v>
      </c>
      <c r="E50" s="16" t="n">
        <v>-122</v>
      </c>
      <c r="F50" s="16" t="n">
        <v>1859</v>
      </c>
    </row>
    <row r="51">
      <c r="A51" s="17" t="inlineStr">
        <is>
          <t>Cash at Beginning of Period</t>
        </is>
      </c>
      <c r="B51" s="18" t="n">
        <v>1595</v>
      </c>
      <c r="C51" s="18" t="n">
        <v>2535</v>
      </c>
      <c r="D51" s="18" t="n">
        <v>4835</v>
      </c>
      <c r="E51" s="18" t="n">
        <v>3933</v>
      </c>
      <c r="F51" s="18" t="n">
        <v>3680</v>
      </c>
    </row>
    <row r="52">
      <c r="A52" s="26" t="inlineStr">
        <is>
          <t>Cash at End of Period</t>
        </is>
      </c>
      <c r="B52" s="27" t="n">
        <v>2535</v>
      </c>
      <c r="C52" s="27" t="n">
        <v>4835</v>
      </c>
      <c r="D52" s="27" t="n">
        <v>3933</v>
      </c>
      <c r="E52" s="27" t="n">
        <v>3811</v>
      </c>
      <c r="F52" s="27" t="n">
        <v>5539</v>
      </c>
    </row>
    <row r="53">
      <c r="A53" s="26" t="inlineStr">
        <is>
          <t>Free Cash Flow</t>
        </is>
      </c>
      <c r="B53" s="27" t="n">
        <v>3220</v>
      </c>
      <c r="C53" s="27" t="n">
        <v>3115</v>
      </c>
      <c r="D53" s="27" t="n">
        <v>1121</v>
      </c>
      <c r="E53" s="27" t="n">
        <v>2405</v>
      </c>
      <c r="F53" s="27" t="n">
        <v>6735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AMD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1229</v>
      </c>
      <c r="C61" s="18" t="n">
        <v>1571</v>
      </c>
      <c r="D61" s="18" t="n">
        <v>1625</v>
      </c>
      <c r="E61" s="18" t="n">
        <v>1637</v>
      </c>
      <c r="F61" s="18" t="n">
        <v>1636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AMD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14550</v>
      </c>
      <c r="C5" s="18" t="n">
        <v>7054</v>
      </c>
      <c r="D5" s="18" t="n">
        <v>4651</v>
      </c>
      <c r="E5" s="18" t="n">
        <v>6201</v>
      </c>
      <c r="F5" s="18" t="n">
        <v>9332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AMD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733280.8199999999</v>
      </c>
      <c r="C5" s="44" t="inlineStr">
        <is>
          <t>FMP marketCap  |  price $449.7</t>
        </is>
      </c>
    </row>
    <row r="6">
      <c r="A6" s="17" t="inlineStr">
        <is>
          <t>Debt  (gross book value, $mm)</t>
        </is>
      </c>
      <c r="B6" s="43" t="n">
        <v>3847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0.0446</v>
      </c>
      <c r="C12" s="44" t="inlineStr">
        <is>
          <t>FRED series DGS10  |  latest: 2026-05-13</t>
        </is>
      </c>
    </row>
    <row r="13">
      <c r="A13" s="47" t="inlineStr">
        <is>
          <t>► Selected Rf  (override if needed)</t>
        </is>
      </c>
      <c r="B13" s="48" t="n">
        <v>0.0446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2.399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1.937</v>
      </c>
      <c r="C17" s="44" t="inlineStr">
        <is>
          <t>Mean-reversion toward market beta of 1.0</t>
        </is>
      </c>
    </row>
    <row r="18">
      <c r="A18" s="17" t="inlineStr">
        <is>
          <t>Damodaran industry unlevered  (Semiconductors)</t>
        </is>
      </c>
      <c r="B18" s="50" t="n">
        <v>1.15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0.01x,  t = 2.5%)</t>
        </is>
      </c>
      <c r="B19" s="50" t="n">
        <v>1.156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1.493</v>
      </c>
      <c r="C20" s="44" t="inlineStr">
        <is>
          <t>INTC: 2.19  |  QCOM: 1.493  |  AVGO: 1.44  |  TSM: 1</t>
        </is>
      </c>
    </row>
    <row r="21">
      <c r="A21" s="51" t="inlineStr">
        <is>
          <t>FLAG: Raw beta (2.40) is 2.1x Damodaran industry avg (1.15) — historical window may include structural break or regime change.</t>
        </is>
      </c>
    </row>
    <row r="22">
      <c r="A22" s="47" t="inlineStr">
        <is>
          <t>► Selected beta  (user override)</t>
        </is>
      </c>
      <c r="B22" s="52" t="n">
        <v>1.746</v>
      </c>
      <c r="C22" s="49" t="inlineStr">
        <is>
          <t>Default = average of 4 source(s) above — override freely</t>
        </is>
      </c>
    </row>
    <row r="23">
      <c r="A23" s="42" t="n"/>
      <c r="B23" s="42" t="n"/>
      <c r="C23" s="42" t="n"/>
    </row>
    <row r="24" ht="18" customHeight="1">
      <c r="A24" s="25" t="inlineStr">
        <is>
          <t>STEP 3 — EQUITY RISK PREMIUM  (ERP)</t>
        </is>
      </c>
    </row>
    <row r="25">
      <c r="A25" s="17" t="inlineStr">
        <is>
          <t>Damodaran implied ERP — US market (current)</t>
        </is>
      </c>
      <c r="B25" s="46" t="n">
        <v>0.0472</v>
      </c>
      <c r="C25" s="44" t="inlineStr">
        <is>
          <t>Damodaran.com implied ERP — Jan 2026</t>
        </is>
      </c>
    </row>
    <row r="26">
      <c r="A26" s="17" t="inlineStr">
        <is>
          <t>Damodaran historical avg — US 1928–2025</t>
        </is>
      </c>
      <c r="B26" s="46" t="n">
        <v>0.042</v>
      </c>
      <c r="C26" s="44" t="inlineStr">
        <is>
          <t>Arithmetic average excess return over T-bill</t>
        </is>
      </c>
    </row>
    <row r="27">
      <c r="A27" s="47" t="inlineStr">
        <is>
          <t>► Selected ERP  (user override)</t>
        </is>
      </c>
      <c r="B27" s="48" t="n">
        <v>0.0446</v>
      </c>
      <c r="C27" s="49" t="inlineStr">
        <is>
          <t>Default = average of Damodaran implied &amp; historical avg — override freely</t>
        </is>
      </c>
    </row>
    <row r="28">
      <c r="A28" s="42" t="n"/>
      <c r="B28" s="42" t="n"/>
      <c r="C28" s="42" t="n"/>
    </row>
    <row r="29" ht="18" customHeight="1">
      <c r="A29" s="25" t="inlineStr">
        <is>
          <t>STEP 4 — COST OF EQUITY  (CAPM:  Re = Rf + β × ERP)</t>
        </is>
      </c>
    </row>
    <row r="30">
      <c r="A30" s="19" t="inlineStr">
        <is>
          <t>Cost of equity  (Re)</t>
        </is>
      </c>
      <c r="B30" s="53">
        <f>B13+B22*B27</f>
        <v/>
      </c>
      <c r="C30" s="45" t="inlineStr">
        <is>
          <t>CAPM formula — references selected inputs above</t>
        </is>
      </c>
    </row>
    <row r="31">
      <c r="A31" s="42" t="n"/>
      <c r="B31" s="42" t="n"/>
      <c r="C31" s="42" t="n"/>
    </row>
    <row r="32" ht="18" customHeight="1">
      <c r="A32" s="25" t="inlineStr">
        <is>
          <t>STEP 5 — COST OF DEBT  (Pre-tax Rd)</t>
        </is>
      </c>
    </row>
    <row r="33">
      <c r="A33" s="17" t="inlineStr">
        <is>
          <t>Credit rating  (S&amp;P / Moody's)</t>
        </is>
      </c>
      <c r="B33" s="54" t="inlineStr">
        <is>
          <t>Not available</t>
        </is>
      </c>
      <c r="C33" s="44" t="inlineStr">
        <is>
          <t>FMP /ratings endpoint</t>
        </is>
      </c>
    </row>
    <row r="34">
      <c r="A34" s="17" t="inlineStr">
        <is>
          <t>FRED matched yield</t>
        </is>
      </c>
      <c r="B34" s="54" t="n"/>
      <c r="C34" s="44" t="inlineStr">
        <is>
          <t>No rating returned — FRED method not applicable</t>
        </is>
      </c>
    </row>
    <row r="35">
      <c r="A35" s="17" t="inlineStr">
        <is>
          <t>Interest Coverage Ratio  (EBIT / Gross Int Exp)</t>
        </is>
      </c>
      <c r="B35" s="50" t="n">
        <v>28.2</v>
      </c>
      <c r="C35" s="44" t="inlineStr">
        <is>
          <t>EBIT $3694mm  /  Int Exp $131mm</t>
        </is>
      </c>
    </row>
    <row r="36">
      <c r="A36" s="17" t="inlineStr">
        <is>
          <t>Synthetic rating  (Damodaran ICR table)</t>
        </is>
      </c>
      <c r="B36" s="54" t="inlineStr">
        <is>
          <t>AAA</t>
        </is>
      </c>
      <c r="C36" s="44" t="inlineStr">
        <is>
          <t>ICR 28.2x  →  AAA</t>
        </is>
      </c>
    </row>
    <row r="37">
      <c r="A37" s="17" t="inlineStr">
        <is>
          <t>Synthetic Rd  (Rf + Damodaran default spread)</t>
        </is>
      </c>
      <c r="B37" s="46" t="n">
        <v>0.05</v>
      </c>
      <c r="C37" s="44" t="inlineStr">
        <is>
          <t>Rf 4.46% + spread 0.54%</t>
        </is>
      </c>
    </row>
    <row r="38">
      <c r="A38" s="17" t="inlineStr">
        <is>
          <t>Accounting Rd  (Gross int exp / Avg gross debt)</t>
        </is>
      </c>
      <c r="B38" s="46" t="n">
        <v>0.04705459770114943</v>
      </c>
      <c r="C38" s="44" t="inlineStr">
        <is>
          <t>Cross-check only — backward-looking</t>
        </is>
      </c>
    </row>
    <row r="39">
      <c r="A39" s="47" t="inlineStr">
        <is>
          <t>► Selected pre-tax Rd  (user override)</t>
        </is>
      </c>
      <c r="B39" s="48" t="n">
        <v>0.0485</v>
      </c>
      <c r="C39" s="49" t="inlineStr">
        <is>
          <t>Default = average of 2 source(s) above — override freely</t>
        </is>
      </c>
    </row>
    <row r="40">
      <c r="A40" s="42" t="n"/>
      <c r="B40" s="42" t="n"/>
      <c r="C40" s="42" t="n"/>
    </row>
    <row r="41" ht="18" customHeight="1">
      <c r="A41" s="25" t="inlineStr">
        <is>
          <t>STEP 6 — TAX RATE</t>
        </is>
      </c>
    </row>
    <row r="42">
      <c r="A42" s="17" t="inlineStr">
        <is>
          <t>Effective tax rate  (tax expense / pre-tax income)</t>
        </is>
      </c>
      <c r="B42" s="46" t="n">
        <v>0.0247</v>
      </c>
      <c r="C42" s="44" t="inlineStr">
        <is>
          <t>FMP: $103mm  /  $4166mm</t>
        </is>
      </c>
    </row>
    <row r="43">
      <c r="A43" s="47" t="inlineStr">
        <is>
          <t>► Selected tax rate  (user override)</t>
        </is>
      </c>
      <c r="B43" s="48" t="n">
        <v>0.0247</v>
      </c>
      <c r="C43" s="49" t="inlineStr">
        <is>
          <t>Adjust to normalised / marginal rate if preferred</t>
        </is>
      </c>
    </row>
    <row r="44">
      <c r="A44" s="42" t="n"/>
      <c r="B44" s="42" t="n"/>
      <c r="C44" s="42" t="n"/>
    </row>
    <row r="45" ht="18" customHeight="1">
      <c r="A45" s="5" t="inlineStr">
        <is>
          <t>WACC OUTPUT</t>
        </is>
      </c>
    </row>
    <row r="46" ht="22" customHeight="1">
      <c r="A46" s="55" t="inlineStr">
        <is>
          <t>WACC  =  (E/V × Re)  +  (D/V × Rd × (1 − t))</t>
        </is>
      </c>
      <c r="B46" s="56">
        <f>B8*B30+B9*B39*(1-B43)</f>
        <v/>
      </c>
      <c r="C46" s="57" t="inlineStr">
        <is>
          <t>Used as discount rate in DCF tab</t>
        </is>
      </c>
    </row>
    <row r="47">
      <c r="A47" s="42" t="n"/>
      <c r="B47" s="42" t="n"/>
      <c r="C47" s="42" t="n"/>
    </row>
    <row r="48" ht="18" customHeight="1">
      <c r="A48" s="10" t="inlineStr">
        <is>
          <t>SENSITIVITY — WACC (%)  by Beta offset × ERP offset</t>
        </is>
      </c>
    </row>
    <row r="49">
      <c r="A49" s="58" t="inlineStr">
        <is>
          <t>Beta offset  \  ERP offset →</t>
        </is>
      </c>
      <c r="B49" s="58" t="inlineStr">
        <is>
          <t>-1.0%</t>
        </is>
      </c>
      <c r="C49" s="58" t="inlineStr">
        <is>
          <t>-0.5%</t>
        </is>
      </c>
      <c r="D49" s="58" t="inlineStr">
        <is>
          <t>Base ERP</t>
        </is>
      </c>
      <c r="E49" s="58" t="inlineStr">
        <is>
          <t>+0.5%</t>
        </is>
      </c>
      <c r="F49" s="58" t="inlineStr">
        <is>
          <t>+1.0%</t>
        </is>
      </c>
    </row>
    <row r="50">
      <c r="A50" s="59" t="inlineStr">
        <is>
          <t>-1.0</t>
        </is>
      </c>
      <c r="B50" s="60">
        <f>B8*(B13+(B22+(-1.0))*(B27+(-0.01)))+B9*B39*(1-B43)</f>
        <v/>
      </c>
      <c r="C50" s="60">
        <f>B8*(B13+(B22+(-1.0))*(B27+(-0.005)))+B9*B39*(1-B43)</f>
        <v/>
      </c>
      <c r="D50" s="60">
        <f>B8*(B13+(B22+(-1.0))*(B27+(0.0)))+B9*B39*(1-B43)</f>
        <v/>
      </c>
      <c r="E50" s="60">
        <f>B8*(B13+(B22+(-1.0))*(B27+(0.005)))+B9*B39*(1-B43)</f>
        <v/>
      </c>
      <c r="F50" s="60">
        <f>B8*(B13+(B22+(-1.0))*(B27+(0.01)))+B9*B39*(1-B43)</f>
        <v/>
      </c>
    </row>
    <row r="51">
      <c r="A51" s="59" t="inlineStr">
        <is>
          <t>-0.5</t>
        </is>
      </c>
      <c r="B51" s="60">
        <f>B8*(B13+(B22+(-0.5))*(B27+(-0.01)))+B9*B39*(1-B43)</f>
        <v/>
      </c>
      <c r="C51" s="60">
        <f>B8*(B13+(B22+(-0.5))*(B27+(-0.005)))+B9*B39*(1-B43)</f>
        <v/>
      </c>
      <c r="D51" s="60">
        <f>B8*(B13+(B22+(-0.5))*(B27+(0.0)))+B9*B39*(1-B43)</f>
        <v/>
      </c>
      <c r="E51" s="60">
        <f>B8*(B13+(B22+(-0.5))*(B27+(0.005)))+B9*B39*(1-B43)</f>
        <v/>
      </c>
      <c r="F51" s="60">
        <f>B8*(B13+(B22+(-0.5))*(B27+(0.01)))+B9*B39*(1-B43)</f>
        <v/>
      </c>
    </row>
    <row r="52">
      <c r="A52" s="61" t="inlineStr">
        <is>
          <t>Base β</t>
        </is>
      </c>
      <c r="B52" s="62">
        <f>B8*(B13+(B22+(0.0))*(B27+(-0.01)))+B9*B39*(1-B43)</f>
        <v/>
      </c>
      <c r="C52" s="62">
        <f>B8*(B13+(B22+(0.0))*(B27+(-0.005)))+B9*B39*(1-B43)</f>
        <v/>
      </c>
      <c r="D52" s="63">
        <f>B8*(B13+(B22+(0.0))*(B27+(0.0)))+B9*B39*(1-B43)</f>
        <v/>
      </c>
      <c r="E52" s="62">
        <f>B8*(B13+(B22+(0.0))*(B27+(0.005)))+B9*B39*(1-B43)</f>
        <v/>
      </c>
      <c r="F52" s="62">
        <f>B8*(B13+(B22+(0.0))*(B27+(0.01)))+B9*B39*(1-B43)</f>
        <v/>
      </c>
    </row>
    <row r="53">
      <c r="A53" s="59" t="inlineStr">
        <is>
          <t>+0.5</t>
        </is>
      </c>
      <c r="B53" s="60">
        <f>B8*(B13+(B22+(0.5))*(B27+(-0.01)))+B9*B39*(1-B43)</f>
        <v/>
      </c>
      <c r="C53" s="60">
        <f>B8*(B13+(B22+(0.5))*(B27+(-0.005)))+B9*B39*(1-B43)</f>
        <v/>
      </c>
      <c r="D53" s="60">
        <f>B8*(B13+(B22+(0.5))*(B27+(0.0)))+B9*B39*(1-B43)</f>
        <v/>
      </c>
      <c r="E53" s="60">
        <f>B8*(B13+(B22+(0.5))*(B27+(0.005)))+B9*B39*(1-B43)</f>
        <v/>
      </c>
      <c r="F53" s="60">
        <f>B8*(B13+(B22+(0.5))*(B27+(0.01)))+B9*B39*(1-B43)</f>
        <v/>
      </c>
    </row>
    <row r="54">
      <c r="A54" s="59" t="inlineStr">
        <is>
          <t>+1.0</t>
        </is>
      </c>
      <c r="B54" s="60">
        <f>B8*(B13+(B22+(1.0))*(B27+(-0.01)))+B9*B39*(1-B43)</f>
        <v/>
      </c>
      <c r="C54" s="60">
        <f>B8*(B13+(B22+(1.0))*(B27+(-0.005)))+B9*B39*(1-B43)</f>
        <v/>
      </c>
      <c r="D54" s="60">
        <f>B8*(B13+(B22+(1.0))*(B27+(0.0)))+B9*B39*(1-B43)</f>
        <v/>
      </c>
      <c r="E54" s="60">
        <f>B8*(B13+(B22+(1.0))*(B27+(0.005)))+B9*B39*(1-B43)</f>
        <v/>
      </c>
      <c r="F54" s="60">
        <f>B8*(B13+(B22+(1.0))*(B27+(0.01)))+B9*B39*(1-B43)</f>
        <v/>
      </c>
    </row>
  </sheetData>
  <mergeCells count="12">
    <mergeCell ref="A41:C41"/>
    <mergeCell ref="A11:C11"/>
    <mergeCell ref="A1:C1"/>
    <mergeCell ref="A45:C45"/>
    <mergeCell ref="A32:C32"/>
    <mergeCell ref="A21:C21"/>
    <mergeCell ref="A15:C15"/>
    <mergeCell ref="A4:C4"/>
    <mergeCell ref="A48:C48"/>
    <mergeCell ref="A24:C24"/>
    <mergeCell ref="A2:C2"/>
    <mergeCell ref="A29:C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AMD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4" t="inlineStr">
        <is>
          <t>Fiscal Year</t>
        </is>
      </c>
      <c r="B3" s="65" t="inlineStr">
        <is>
          <t>2021</t>
        </is>
      </c>
      <c r="C3" s="65" t="inlineStr">
        <is>
          <t>2022</t>
        </is>
      </c>
      <c r="D3" s="65" t="inlineStr">
        <is>
          <t>2023</t>
        </is>
      </c>
      <c r="E3" s="65" t="inlineStr">
        <is>
          <t>2024</t>
        </is>
      </c>
      <c r="F3" s="65" t="inlineStr">
        <is>
          <t>2025</t>
        </is>
      </c>
      <c r="G3" s="66" t="inlineStr">
        <is>
          <t>2026E</t>
        </is>
      </c>
      <c r="H3" s="66" t="inlineStr">
        <is>
          <t>2027E</t>
        </is>
      </c>
      <c r="I3" s="66" t="inlineStr">
        <is>
          <t>2028E</t>
        </is>
      </c>
      <c r="J3" s="66" t="inlineStr">
        <is>
          <t>2029E</t>
        </is>
      </c>
      <c r="K3" s="66" t="inlineStr">
        <is>
          <t>2030E</t>
        </is>
      </c>
      <c r="L3" s="67" t="inlineStr">
        <is>
          <t>Terminal</t>
        </is>
      </c>
      <c r="M3" s="64" t="inlineStr">
        <is>
          <t>Source / Notes</t>
        </is>
      </c>
    </row>
    <row r="4" ht="16" customHeight="1">
      <c r="A4" s="68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9" t="inlineStr">
        <is>
          <t>Revenue Growth %</t>
        </is>
      </c>
      <c r="B7" s="70" t="inlineStr">
        <is>
          <t>—</t>
        </is>
      </c>
      <c r="C7" s="71">
        <f>'P&amp;L'!C5/'P&amp;L'!B5-1</f>
        <v/>
      </c>
      <c r="D7" s="71">
        <f>'P&amp;L'!D5/'P&amp;L'!C5-1</f>
        <v/>
      </c>
      <c r="E7" s="71">
        <f>'P&amp;L'!E5/'P&amp;L'!D5-1</f>
        <v/>
      </c>
      <c r="F7" s="71">
        <f>'P&amp;L'!F5/'P&amp;L'!E5-1</f>
        <v/>
      </c>
      <c r="G7" s="72" t="n">
        <v>0.4255</v>
      </c>
      <c r="H7" s="72" t="n">
        <v>0.5168</v>
      </c>
      <c r="I7" s="72" t="n">
        <v>0.3205</v>
      </c>
      <c r="J7" s="73">
        <f>I7</f>
        <v/>
      </c>
      <c r="K7" s="73">
        <f>I7</f>
        <v/>
      </c>
      <c r="L7" s="74" t="n">
        <v>0.03</v>
      </c>
      <c r="M7" s="75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9" t="inlineStr">
        <is>
          <t>EBITDA Margin %</t>
        </is>
      </c>
      <c r="B8" s="71">
        <f>'P&amp;L'!B12/'P&amp;L'!B5</f>
        <v/>
      </c>
      <c r="C8" s="71">
        <f>'P&amp;L'!C12/'P&amp;L'!C5</f>
        <v/>
      </c>
      <c r="D8" s="71">
        <f>'P&amp;L'!D12/'P&amp;L'!D5</f>
        <v/>
      </c>
      <c r="E8" s="71">
        <f>'P&amp;L'!E12/'P&amp;L'!E5</f>
        <v/>
      </c>
      <c r="F8" s="71">
        <f>'P&amp;L'!F12/'P&amp;L'!F5</f>
        <v/>
      </c>
      <c r="G8" s="72" t="n">
        <v>0.217</v>
      </c>
      <c r="H8" s="72" t="n">
        <v>0.217</v>
      </c>
      <c r="I8" s="72" t="n">
        <v>0.217</v>
      </c>
      <c r="J8" s="73">
        <f>I8</f>
        <v/>
      </c>
      <c r="K8" s="73">
        <f>I8</f>
        <v/>
      </c>
      <c r="L8" s="74" t="n">
        <v>0.21</v>
      </c>
      <c r="M8" s="75" t="inlineStr">
        <is>
          <t>Yrs 1-3: FMP analyst consensus margin.  Yrs 4-5: = Yr 3 margin.  Terminal: long-run normalised EBITDA margin (user input).</t>
        </is>
      </c>
    </row>
    <row r="9" ht="20" customHeight="1">
      <c r="A9" s="69" t="inlineStr">
        <is>
          <t>D&amp;A as % of Revenue</t>
        </is>
      </c>
      <c r="B9" s="71">
        <f>'P&amp;L'!B14/'P&amp;L'!B5</f>
        <v/>
      </c>
      <c r="C9" s="71">
        <f>'P&amp;L'!C14/'P&amp;L'!C5</f>
        <v/>
      </c>
      <c r="D9" s="71">
        <f>'P&amp;L'!D14/'P&amp;L'!D5</f>
        <v/>
      </c>
      <c r="E9" s="71">
        <f>'P&amp;L'!E14/'P&amp;L'!E5</f>
        <v/>
      </c>
      <c r="F9" s="71">
        <f>'P&amp;L'!F14/'P&amp;L'!F5</f>
        <v/>
      </c>
      <c r="G9" s="73">
        <f>AVERAGE(B9:F9)</f>
        <v/>
      </c>
      <c r="H9" s="73">
        <f>G9</f>
        <v/>
      </c>
      <c r="I9" s="73">
        <f>G9</f>
        <v/>
      </c>
      <c r="J9" s="73">
        <f>G9</f>
        <v/>
      </c>
      <c r="K9" s="73">
        <f>G9</f>
        <v/>
      </c>
      <c r="L9" s="74">
        <f>G9</f>
        <v/>
      </c>
      <c r="M9" s="75" t="inlineStr">
        <is>
          <t>Historical linked from P&amp;L.  Yr 1 = avg of historicals; Yrs 2-5 &amp; terminal = Yr 1.</t>
        </is>
      </c>
    </row>
    <row r="10" ht="20" customHeight="1">
      <c r="A10" s="69" t="inlineStr">
        <is>
          <t>CapEx as % of Revenue</t>
        </is>
      </c>
      <c r="B10" s="71">
        <f>-'Cash Flow'!B6/'P&amp;L'!B5</f>
        <v/>
      </c>
      <c r="C10" s="71">
        <f>-'Cash Flow'!C6/'P&amp;L'!C5</f>
        <v/>
      </c>
      <c r="D10" s="71">
        <f>-'Cash Flow'!D6/'P&amp;L'!D5</f>
        <v/>
      </c>
      <c r="E10" s="71">
        <f>-'Cash Flow'!E6/'P&amp;L'!E5</f>
        <v/>
      </c>
      <c r="F10" s="71">
        <f>-'Cash Flow'!F6/'P&amp;L'!F5</f>
        <v/>
      </c>
      <c r="G10" s="73">
        <f>AVERAGE(B10:F10)</f>
        <v/>
      </c>
      <c r="H10" s="73">
        <f>G10</f>
        <v/>
      </c>
      <c r="I10" s="73">
        <f>G10</f>
        <v/>
      </c>
      <c r="J10" s="73">
        <f>G10</f>
        <v/>
      </c>
      <c r="K10" s="73">
        <f>G10</f>
        <v/>
      </c>
      <c r="L10" s="74">
        <f>G10</f>
        <v/>
      </c>
      <c r="M10" s="75" t="inlineStr">
        <is>
          <t>Historical linked from Cash Flow.  Yr 1 = avg of historicals; Yrs 2-5 &amp; terminal = Yr 1.</t>
        </is>
      </c>
    </row>
    <row r="11" ht="20" customHeight="1">
      <c r="A11" s="69" t="inlineStr">
        <is>
          <t>Change in NWC as % of Revenue</t>
        </is>
      </c>
      <c r="B11" s="70" t="inlineStr">
        <is>
          <t>—</t>
        </is>
      </c>
      <c r="C11" s="71">
        <f>(('Balance Sheet'!C9-'Balance Sheet'!C21)-('Balance Sheet'!B9-'Balance Sheet'!B21))/'P&amp;L'!C5</f>
        <v/>
      </c>
      <c r="D11" s="71">
        <f>(('Balance Sheet'!D9-'Balance Sheet'!D21)-('Balance Sheet'!C9-'Balance Sheet'!C21))/'P&amp;L'!D5</f>
        <v/>
      </c>
      <c r="E11" s="71">
        <f>(('Balance Sheet'!E9-'Balance Sheet'!E21)-('Balance Sheet'!D9-'Balance Sheet'!D21))/'P&amp;L'!E5</f>
        <v/>
      </c>
      <c r="F11" s="71">
        <f>(('Balance Sheet'!F9-'Balance Sheet'!F21)-('Balance Sheet'!E9-'Balance Sheet'!E21))/'P&amp;L'!F5</f>
        <v/>
      </c>
      <c r="G11" s="73">
        <f>MAX(-0.02,MIN(0.05,AVERAGE(C11:F11)))</f>
        <v/>
      </c>
      <c r="H11" s="73">
        <f>G11*4/5</f>
        <v/>
      </c>
      <c r="I11" s="73">
        <f>G11*3/5</f>
        <v/>
      </c>
      <c r="J11" s="73">
        <f>G11*2/5</f>
        <v/>
      </c>
      <c r="K11" s="73">
        <f>G11*1/5</f>
        <v/>
      </c>
      <c r="L11" s="74" t="n">
        <v>0</v>
      </c>
      <c r="M11" s="75" t="inlineStr">
        <is>
          <t>Yr 1 = clamped avg of historicals [-2%, +5%]. Yrs 2-5 fade linearly to 0. Terminal = 0 (steady-state: NWC tracks revenue).</t>
        </is>
      </c>
    </row>
    <row r="12" ht="20" customHeight="1">
      <c r="A12" s="69" t="inlineStr">
        <is>
          <t>Effective Tax Rate</t>
        </is>
      </c>
      <c r="B12" s="71">
        <f>IFERROR(MAX(0,MIN(0.5,'P&amp;L'!B22/'P&amp;L'!B21)),0)</f>
        <v/>
      </c>
      <c r="C12" s="71">
        <f>IFERROR(MAX(0,MIN(0.5,'P&amp;L'!C22/'P&amp;L'!C21)),0)</f>
        <v/>
      </c>
      <c r="D12" s="71">
        <f>IFERROR(MAX(0,MIN(0.5,'P&amp;L'!D22/'P&amp;L'!D21)),0)</f>
        <v/>
      </c>
      <c r="E12" s="71">
        <f>IFERROR(MAX(0,MIN(0.5,'P&amp;L'!E22/'P&amp;L'!E21)),0)</f>
        <v/>
      </c>
      <c r="F12" s="71">
        <f>IFERROR(MAX(0,MIN(0.5,'P&amp;L'!F22/'P&amp;L'!F21)),0)</f>
        <v/>
      </c>
      <c r="G12" s="73">
        <f>AVERAGE(B12:F12)</f>
        <v/>
      </c>
      <c r="H12" s="73">
        <f>G12</f>
        <v/>
      </c>
      <c r="I12" s="73">
        <f>G12</f>
        <v/>
      </c>
      <c r="J12" s="73">
        <f>G12</f>
        <v/>
      </c>
      <c r="K12" s="73">
        <f>G12</f>
        <v/>
      </c>
      <c r="L12" s="74">
        <f>G12</f>
        <v/>
      </c>
      <c r="M12" s="75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6" t="inlineStr">
        <is>
          <t>Revenue</t>
        </is>
      </c>
      <c r="B15" s="77">
        <f>'P&amp;L'!B5</f>
        <v/>
      </c>
      <c r="C15" s="77">
        <f>'P&amp;L'!C5</f>
        <v/>
      </c>
      <c r="D15" s="77">
        <f>'P&amp;L'!D5</f>
        <v/>
      </c>
      <c r="E15" s="77">
        <f>'P&amp;L'!E5</f>
        <v/>
      </c>
      <c r="F15" s="77">
        <f>'P&amp;L'!F5</f>
        <v/>
      </c>
      <c r="G15" s="78" t="n">
        <v>49376.9</v>
      </c>
      <c r="H15" s="78" t="n">
        <v>74897.10000000001</v>
      </c>
      <c r="I15" s="78" t="n">
        <v>98900.10000000001</v>
      </c>
      <c r="J15" s="79">
        <f>I15*(1+J7)</f>
        <v/>
      </c>
      <c r="K15" s="79">
        <f>J15*(1+K7)</f>
        <v/>
      </c>
      <c r="L15" s="80">
        <f>K15*(1+L7)</f>
        <v/>
      </c>
      <c r="M15" s="81" t="inlineStr">
        <is>
          <t>FMP consensus years: analyst revenue average ($mm).  Range: Low–High shown below.  User years: prior × (1+growth).</t>
        </is>
      </c>
    </row>
    <row r="16" ht="20" customHeight="1">
      <c r="A16" s="82" t="inlineStr">
        <is>
          <t xml:space="preserve">  Analyst Range:  Low — High  ($mm)</t>
        </is>
      </c>
      <c r="G16" s="83" t="inlineStr">
        <is>
          <t>42,914 — 51,691</t>
        </is>
      </c>
      <c r="H16" s="83" t="inlineStr">
        <is>
          <t>56,853 — 83,869</t>
        </is>
      </c>
      <c r="I16" s="83" t="inlineStr">
        <is>
          <t>97,777 — 100,024</t>
        </is>
      </c>
      <c r="J16" s="83" t="inlineStr">
        <is>
          <t>118,298 — 168,587</t>
        </is>
      </c>
      <c r="K16" s="83" t="inlineStr">
        <is>
          <t>140,523 — 200,260</t>
        </is>
      </c>
      <c r="L16" s="84" t="inlineStr">
        <is>
          <t>—</t>
        </is>
      </c>
      <c r="M16" s="81" t="inlineStr">
        <is>
          <t>Sell-side analyst low / high revenue estimates for consensus years</t>
        </is>
      </c>
    </row>
    <row r="17" ht="20" customHeight="1">
      <c r="A17" s="82" t="inlineStr">
        <is>
          <t xml:space="preserve">  Number of Analysts</t>
        </is>
      </c>
      <c r="G17" s="85" t="n">
        <v>33</v>
      </c>
      <c r="H17" s="85" t="n">
        <v>35</v>
      </c>
      <c r="I17" s="85" t="n">
        <v>29</v>
      </c>
      <c r="J17" s="85" t="n">
        <v>14</v>
      </c>
      <c r="K17" s="85" t="n">
        <v>14</v>
      </c>
      <c r="L17" s="84" t="inlineStr">
        <is>
          <t>—</t>
        </is>
      </c>
      <c r="M17" s="81" t="inlineStr">
        <is>
          <t>Red &lt; 5 analysts — treat estimate with caution.  Orange &lt; 10.</t>
        </is>
      </c>
    </row>
    <row r="18" ht="20" customHeight="1">
      <c r="A18" s="82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1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6" t="inlineStr">
        <is>
          <t>EBITDA</t>
        </is>
      </c>
      <c r="B20" s="77">
        <f>'P&amp;L'!B12</f>
        <v/>
      </c>
      <c r="C20" s="77">
        <f>'P&amp;L'!C12</f>
        <v/>
      </c>
      <c r="D20" s="77">
        <f>'P&amp;L'!D12</f>
        <v/>
      </c>
      <c r="E20" s="77">
        <f>'P&amp;L'!E12</f>
        <v/>
      </c>
      <c r="F20" s="77">
        <f>'P&amp;L'!F12</f>
        <v/>
      </c>
      <c r="G20" s="78" t="n">
        <v>10713.4</v>
      </c>
      <c r="H20" s="78" t="n">
        <v>16250.5</v>
      </c>
      <c r="I20" s="78" t="n">
        <v>21458.5</v>
      </c>
      <c r="J20" s="79">
        <f>J15*J8</f>
        <v/>
      </c>
      <c r="K20" s="79">
        <f>K15*K8</f>
        <v/>
      </c>
      <c r="L20" s="80">
        <f>L15*L8</f>
        <v/>
      </c>
      <c r="M20" s="81" t="inlineStr">
        <is>
          <t>FMP consensus years: analyst EBITDA average.  User years: Revenue × EBITDA margin assumption.</t>
        </is>
      </c>
    </row>
    <row r="21" ht="20" customHeight="1">
      <c r="A21" s="82" t="inlineStr">
        <is>
          <t xml:space="preserve">  Analyst Range:  Low — High  ($mm)</t>
        </is>
      </c>
      <c r="G21" s="83" t="inlineStr">
        <is>
          <t>9,311 — 11,215</t>
        </is>
      </c>
      <c r="H21" s="83" t="inlineStr">
        <is>
          <t>12,336 — 18,197</t>
        </is>
      </c>
      <c r="I21" s="83" t="inlineStr">
        <is>
          <t>21,215 — 21,702</t>
        </is>
      </c>
      <c r="J21" s="83" t="inlineStr">
        <is>
          <t>25,667 — 36,579</t>
        </is>
      </c>
      <c r="K21" s="83" t="inlineStr">
        <is>
          <t>30,490 — 43,451</t>
        </is>
      </c>
      <c r="L21" s="84" t="inlineStr">
        <is>
          <t>—</t>
        </is>
      </c>
      <c r="M21" s="81" t="inlineStr">
        <is>
          <t>Sell-side analyst low / high EBITDA estimates for consensus years</t>
        </is>
      </c>
    </row>
    <row r="22" ht="20" customHeight="1">
      <c r="A22" s="82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1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7">
        <f>-'P&amp;L'!B14</f>
        <v/>
      </c>
      <c r="C25" s="77">
        <f>-'P&amp;L'!C14</f>
        <v/>
      </c>
      <c r="D25" s="77">
        <f>-'P&amp;L'!D14</f>
        <v/>
      </c>
      <c r="E25" s="77">
        <f>-'P&amp;L'!E14</f>
        <v/>
      </c>
      <c r="F25" s="77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80">
        <f>-L15*L9</f>
        <v/>
      </c>
      <c r="M25" s="81">
        <f> Revenue × D&amp;A % assumption  (negative = P&amp;L charge)</f>
        <v/>
      </c>
    </row>
    <row r="26" ht="20" customHeight="1">
      <c r="A26" s="64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1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1">
        <f> EBIT × tax rate  (no interest tax shield — UFCF is pre-debt)</f>
        <v/>
      </c>
    </row>
    <row r="28" ht="20" customHeight="1">
      <c r="A28" s="76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1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1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7">
        <f>'Cash Flow'!B6</f>
        <v/>
      </c>
      <c r="C30" s="77">
        <f>'Cash Flow'!C6</f>
        <v/>
      </c>
      <c r="D30" s="77">
        <f>'Cash Flow'!D6</f>
        <v/>
      </c>
      <c r="E30" s="77">
        <f>'Cash Flow'!E6</f>
        <v/>
      </c>
      <c r="F30" s="77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1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1">
        <f> −Revenue × NWC%  (positive NWC% → cash outflow, reduces UFCF)</f>
        <v/>
      </c>
    </row>
    <row r="32" ht="20" customHeight="1">
      <c r="A32" s="76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1">
        <f> NOPAT + D&amp;A − CapEx − ΔNWC  (pre-debt, pre-interest free cash flow)</f>
        <v/>
      </c>
    </row>
    <row r="33" ht="20" customHeight="1">
      <c r="A33" s="82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1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9" t="inlineStr">
        <is>
          <t>WACC  (from WACC tab)</t>
        </is>
      </c>
      <c r="B36" s="98">
        <f>WACC!B46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5" t="inlineStr">
        <is>
          <t>Auto-linked from WACC tab selected output.  Override manually if needed.</t>
        </is>
      </c>
    </row>
    <row r="37" ht="20" customHeight="1">
      <c r="A37" s="69" t="inlineStr">
        <is>
          <t>Terminal Growth Rate  (g)</t>
        </is>
      </c>
      <c r="B37" s="100" t="n">
        <v>0.04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5" t="inlineStr">
        <is>
          <t>Growth tier: HIGH (14.7% 3yr avg rev growth).  Bear 3.00% / Base 4.0% / Bull 5.00%.  Keep below WACC.</t>
        </is>
      </c>
    </row>
    <row r="38" ht="20" customHeight="1">
      <c r="A38" s="69" t="inlineStr">
        <is>
          <t>Terminal EV/EBITDA Multiple  (exit multiple method)</t>
        </is>
      </c>
      <c r="B38" s="101" t="n">
        <v>18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5" t="inlineStr">
        <is>
          <t>Growth tier: HIGH (14.7%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1" t="inlineStr">
        <is>
          <t>Cross-ref from Section 3 — terminal year UFCF (already grown by g in assumptions)</t>
        </is>
      </c>
    </row>
    <row r="41" ht="20" customHeight="1">
      <c r="A41" s="76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1" t="inlineStr">
        <is>
          <t>Sensitive to g — always cross-check vs Exit Multiple below</t>
        </is>
      </c>
    </row>
    <row r="42" ht="20" customHeight="1">
      <c r="A42" s="76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1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1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1">
        <f> 1 / (1 + WACC) ^ discount period</f>
        <v/>
      </c>
    </row>
    <row r="47" ht="20" customHeight="1">
      <c r="A47" s="76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1">
        <f> UFCF × discount factor</f>
        <v/>
      </c>
    </row>
    <row r="48" ht="20" customHeight="1">
      <c r="A48" s="64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1" t="inlineStr">
        <is>
          <t>Sum of 5 discounted annual FCFs</t>
        </is>
      </c>
    </row>
    <row r="49" ht="20" customHeight="1">
      <c r="A49" s="64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1" t="inlineStr">
        <is>
          <t>Terminal value × terminal-year discount factor</t>
        </is>
      </c>
    </row>
    <row r="50" ht="20" customHeight="1">
      <c r="A50" s="64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1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6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6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1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0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1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1636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1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6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6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449.7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1" t="inlineStr">
        <is>
          <t>Auto-linked from FMP company profile — price</t>
        </is>
      </c>
    </row>
    <row r="62">
      <c r="A62" s="64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4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AMD  |  Master Prompt v2  |  15 May 2026  |  Sector bucket: Tech Growth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49.5% ✓ (&gt;40%)  |  GM trend +4.6% ✓ (&gt;+1pp)  |  ROIC-WACC +1.3% ✗ (&gt;+5pp)  |  Rev consistency σ=18.4% ✗ (&lt;8%)  [2/4 indicators positive — proxy score]</t>
        </is>
      </c>
      <c r="E9" s="131" t="inlineStr">
        <is>
          <t>MOD-LOW</t>
        </is>
      </c>
      <c r="F9" s="132" t="n">
        <v>5</v>
      </c>
      <c r="G9" s="133">
        <f>IF(F9="",0,C9*F9*10)</f>
        <v/>
      </c>
      <c r="H9" s="134" t="inlineStr">
        <is>
          <t>GM 49.5% ✓ (&gt;40%)  |  GM trend +4.6% ✓ (&gt;+1pp)  |  ROIC-WACC +1.3% ✗ (&gt;+5pp)  |  Rev consistency σ=18.4% ✗ (&lt;8%)  [2/4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+3.7% ✓ (≥-2pp)  |  GM maintained +4.6% ✓  |  Op margin +5.3% ✓ (≥-2pp)  |  Capital returns MOD-LOW ✗  |  Share count +7.6%/yr ✗ (≤+2%/yr)  |  Goodwill/Equity 40% ✓ (&lt;40%)  [4/6 indicators positive — proxy score]</t>
        </is>
      </c>
      <c r="E11" s="135" t="inlineStr">
        <is>
          <t>MOD-HIGH</t>
        </is>
      </c>
      <c r="F11" s="132" t="n">
        <v>6.67</v>
      </c>
      <c r="G11" s="133">
        <f>IF(F11="",0,C11*F11*10)</f>
        <v/>
      </c>
      <c r="H11" s="134" t="inlineStr">
        <is>
          <t>ROIC trend +3.7% ✓ (≥-2pp)  |  GM maintained +4.6% ✓  |  Op margin +5.3% ✓ (≥-2pp)  |  Capital returns MOD-LOW ✗  |  Share count +7.6%/yr ✗ (≤+2%/yr)  |  Goodwill/Equity 40% ✓ (&lt;40%)  [4/6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13.6%</t>
        </is>
      </c>
      <c r="E13" s="135" t="inlineStr">
        <is>
          <t>MOD-HIGH</t>
        </is>
      </c>
      <c r="F13" s="132" t="n">
        <v>9.19</v>
      </c>
      <c r="G13" s="133">
        <f>IF(F13="",0,C13*F13*10)</f>
        <v/>
      </c>
      <c r="H13" s="134" t="inlineStr">
        <is>
          <t>13.6%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153%  [trend penalty: declined &gt;15pp vs 3yr ago]  [through-cycle: 70/30 latest+5yr median, latest 155.4% → smoothed 152.7%]</t>
        </is>
      </c>
      <c r="E14" s="135" t="inlineStr">
        <is>
          <t>MOD-HIGH</t>
        </is>
      </c>
      <c r="F14" s="132" t="n">
        <v>8.5</v>
      </c>
      <c r="G14" s="133">
        <f>IF(F14="",0,C14*F14*10)</f>
        <v/>
      </c>
      <c r="H14" s="134" t="inlineStr">
        <is>
          <t>153%  [trend penalty: declined &gt;15pp vs 3yr ago]  [through-cycle: 70/30 latest+5yr median, latest 155.4% → smoothed 152.7%]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$1,316mm latest FY — debt-funded  [payout 20% of FCF — low, building cash]</t>
        </is>
      </c>
      <c r="E15" s="131" t="inlineStr">
        <is>
          <t>MOD-LOW</t>
        </is>
      </c>
      <c r="F15" s="132" t="n">
        <v>3</v>
      </c>
      <c r="G15" s="133">
        <f>IF(F15="",0,C15*F15*10)</f>
        <v/>
      </c>
      <c r="H15" s="134" t="inlineStr">
        <is>
          <t>$1,316mm latest FY — debt-funded  [payout 20% of FCF — low, building cash]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4.9%  [through-cycle: 70/30 latest+5yr median, latest 5.9% → smoothed 4.9%]</t>
        </is>
      </c>
      <c r="E16" s="136" t="inlineStr">
        <is>
          <t>LOW</t>
        </is>
      </c>
      <c r="F16" s="132" t="n">
        <v>1.86</v>
      </c>
      <c r="G16" s="133">
        <f>IF(F16="",0,C16*F16*10)</f>
        <v/>
      </c>
      <c r="H16" s="134" t="inlineStr">
        <is>
          <t>4.9%  [through-cycle: 70/30 latest+5yr median, latest 5.9% → smoothed 4.9%]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Net cash $1,692mm — no net leverage</t>
        </is>
      </c>
      <c r="E18" s="137" t="inlineStr">
        <is>
          <t>HIGH</t>
        </is>
      </c>
      <c r="F18" s="132" t="n">
        <v>12</v>
      </c>
      <c r="G18" s="133">
        <f>IF(F18="",0,C18*F18*10)</f>
        <v/>
      </c>
      <c r="H18" s="134" t="inlineStr">
        <is>
          <t>Net cash $1,692mm — no net leverage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28.2x</t>
        </is>
      </c>
      <c r="E19" s="137" t="inlineStr">
        <is>
          <t>HIGH</t>
        </is>
      </c>
      <c r="F19" s="132" t="n">
        <v>12</v>
      </c>
      <c r="G19" s="133">
        <f>IF(F19="",0,C19*F19*10)</f>
        <v/>
      </c>
      <c r="H19" s="134" t="inlineStr">
        <is>
          <t>28.2x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σ=18.4%  |  Op margin σ=7.0%  [proxy — lower σ = lower risk = higher score]</t>
        </is>
      </c>
      <c r="E20" s="136" t="inlineStr">
        <is>
          <t>LOW</t>
        </is>
      </c>
      <c r="F20" s="132" t="n">
        <v>1.67</v>
      </c>
      <c r="G20" s="133">
        <f>IF(F20="",0,C20*F20*10)</f>
        <v/>
      </c>
      <c r="H20" s="134" t="inlineStr">
        <is>
          <t>Rev growth σ=18.4%  |  Op margin σ=7.0%  [proxy — lower σ = lower risk = higher score]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Current 80.5x  |  5yr avg 123.1x  |  Sector median 28.5x  |  DCF-implied 59.3x  [+182% vs benchmark]</t>
        </is>
      </c>
      <c r="E22" s="136" t="inlineStr">
        <is>
          <t>LOW</t>
        </is>
      </c>
      <c r="F22" s="132" t="n">
        <v>0</v>
      </c>
      <c r="G22" s="133">
        <f>IF(F22="",0,C22*F22*10)</f>
        <v/>
      </c>
      <c r="H22" s="134" t="inlineStr">
        <is>
          <t>Current 80.5x  |  5yr avg 123.1x  |  Sector median 28.5x  |  DCF-implied 59.3x  [+182% vs benchmark]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51.8x  |  5yr avg 87.2x  |  Sector median 45.0x  |  DCF-implied 38.2x  [+36% vs benchmark]</t>
        </is>
      </c>
      <c r="E23" s="136" t="inlineStr">
        <is>
          <t>LOW</t>
        </is>
      </c>
      <c r="F23" s="132" t="n">
        <v>1.73</v>
      </c>
      <c r="G23" s="133">
        <f>IF(F23="",0,C23*F23*10)</f>
        <v/>
      </c>
      <c r="H23" s="134" t="inlineStr">
        <is>
          <t>Current 51.8x  |  5yr avg 87.2x  |  Sector median 45.0x  |  DCF-implied 38.2x  [+36% vs benchmark]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8" t="inlineStr">
        <is>
          <t>TOTAL SCORE  (max = 100.0)</t>
        </is>
      </c>
      <c r="B25" s="139" t="n"/>
      <c r="C25" s="139" t="n"/>
      <c r="D25" s="139" t="n"/>
      <c r="E25" s="139" t="n"/>
      <c r="F25" s="139" t="n"/>
      <c r="G25" s="140">
        <f>G8+G9+G10+G11+G13+G14+G15+G16+G18+G19+G20+G22+G23</f>
        <v/>
      </c>
      <c r="H25" s="141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2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3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2026-05-15T11:59:06Z</dcterms:created>
  <dcterms:modified xsi:type="dcterms:W3CDTF">2026-05-15T11:59:30Z</dcterms:modified>
</cp:coreProperties>
</file>