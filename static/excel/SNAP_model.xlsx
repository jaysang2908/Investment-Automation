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1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2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SNAP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5931.45</v>
      </c>
    </row>
    <row r="8">
      <c r="A8" s="3" t="inlineStr">
        <is>
          <t>Gross Profit ($mm)</t>
        </is>
      </c>
      <c r="B8" s="7" t="n">
        <v>3260.57</v>
      </c>
    </row>
    <row r="9">
      <c r="A9" s="3" t="inlineStr">
        <is>
          <t>EBITDA ($mm)</t>
        </is>
      </c>
      <c r="B9" s="7" t="n">
        <v>-169.31</v>
      </c>
    </row>
    <row r="10">
      <c r="A10" s="3" t="inlineStr">
        <is>
          <t>EBIT ($mm)</t>
        </is>
      </c>
      <c r="B10" s="7" t="n">
        <v>-532.17</v>
      </c>
    </row>
    <row r="11">
      <c r="A11" s="3" t="inlineStr">
        <is>
          <t>Net Income ($mm)</t>
        </is>
      </c>
      <c r="B11" s="7" t="n">
        <v>-460.49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SNAP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4117.05</v>
      </c>
      <c r="C5" s="16" t="n">
        <v>4601.85</v>
      </c>
      <c r="D5" s="16" t="n">
        <v>4606.11</v>
      </c>
      <c r="E5" s="16" t="n">
        <v>5361.4</v>
      </c>
      <c r="F5" s="16" t="n">
        <v>5931.45</v>
      </c>
    </row>
    <row r="6">
      <c r="A6" s="17" t="inlineStr">
        <is>
          <t>(2)  Cost of Revenue (COGS)</t>
        </is>
      </c>
      <c r="B6" s="18" t="n">
        <v>1750.25</v>
      </c>
      <c r="C6" s="18" t="n">
        <v>1815.34</v>
      </c>
      <c r="D6" s="18" t="n">
        <v>2114.12</v>
      </c>
      <c r="E6" s="18" t="n">
        <v>2474.24</v>
      </c>
      <c r="F6" s="18" t="n">
        <v>2670.88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1503.4</v>
      </c>
      <c r="C9" s="18" t="n">
        <v>2072.01</v>
      </c>
      <c r="D9" s="18" t="n">
        <v>1979.52</v>
      </c>
      <c r="E9" s="18" t="n">
        <v>1982.77</v>
      </c>
      <c r="F9" s="18" t="n">
        <v>2008.52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3068.87</v>
      </c>
      <c r="C11" s="18" t="n">
        <v>4181.81</v>
      </c>
      <c r="D11" s="18" t="n">
        <v>3890.38</v>
      </c>
      <c r="E11" s="18" t="n">
        <v>3674.45</v>
      </c>
      <c r="F11" s="18" t="n">
        <v>3792.73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119.14</v>
      </c>
      <c r="C14" s="18" t="n">
        <v>202.17</v>
      </c>
      <c r="D14" s="18" t="n">
        <v>168.44</v>
      </c>
      <c r="E14" s="18" t="n">
        <v>158.07</v>
      </c>
      <c r="F14" s="18" t="n">
        <v>159.83</v>
      </c>
    </row>
    <row r="15">
      <c r="A15" s="19" t="inlineStr">
        <is>
          <t>(8)  EBIT (Operating Income)</t>
        </is>
      </c>
      <c r="B15" s="24" t="n">
        <v>-702.0700000000001</v>
      </c>
      <c r="C15" s="24" t="n">
        <v>-1395.31</v>
      </c>
      <c r="D15" s="24" t="n">
        <v>-1398.38</v>
      </c>
      <c r="E15" s="24" t="n">
        <v>-787.29</v>
      </c>
      <c r="F15" s="24" t="n">
        <v>-532.17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17.68</v>
      </c>
      <c r="C17" s="18" t="n">
        <v>21.46</v>
      </c>
      <c r="D17" s="18" t="n">
        <v>22.02</v>
      </c>
      <c r="E17" s="18" t="n">
        <v>21.55</v>
      </c>
      <c r="F17" s="18" t="n">
        <v>89</v>
      </c>
    </row>
    <row r="18">
      <c r="A18" s="21" t="inlineStr">
        <is>
          <t xml:space="preserve">     Interest Income</t>
        </is>
      </c>
      <c r="B18" s="18" t="n">
        <v>5.2</v>
      </c>
      <c r="C18" s="18" t="n">
        <v>58.6</v>
      </c>
      <c r="D18" s="18" t="n">
        <v>168.39</v>
      </c>
      <c r="E18" s="18" t="n">
        <v>153.47</v>
      </c>
      <c r="F18" s="18" t="n">
        <v>134.16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-474.37</v>
      </c>
      <c r="C21" s="24" t="n">
        <v>-1400.7</v>
      </c>
      <c r="D21" s="24" t="n">
        <v>-1294.42</v>
      </c>
      <c r="E21" s="24" t="n">
        <v>-672.23</v>
      </c>
      <c r="F21" s="24" t="n">
        <v>-442.78</v>
      </c>
    </row>
    <row r="22">
      <c r="A22" s="17" t="inlineStr">
        <is>
          <t>(11) Income Tax Expense</t>
        </is>
      </c>
      <c r="B22" s="18" t="n">
        <v>13.58</v>
      </c>
      <c r="C22" s="18" t="n">
        <v>28.96</v>
      </c>
      <c r="D22" s="18" t="n">
        <v>28.06</v>
      </c>
      <c r="E22" s="18" t="n">
        <v>25.63</v>
      </c>
      <c r="F22" s="18" t="n">
        <v>17.71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-487.95</v>
      </c>
      <c r="C24" s="24" t="n">
        <v>-1429.65</v>
      </c>
      <c r="D24" s="24" t="n">
        <v>-1322.48</v>
      </c>
      <c r="E24" s="24" t="n">
        <v>-697.86</v>
      </c>
      <c r="F24" s="24" t="n">
        <v>-460.49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4117.05</v>
      </c>
      <c r="C30" s="16" t="n">
        <v>4601.85</v>
      </c>
      <c r="D30" s="16" t="n">
        <v>4606.11</v>
      </c>
      <c r="E30" s="16" t="n">
        <v>5361.4</v>
      </c>
      <c r="F30" s="16" t="n">
        <v>5931.45</v>
      </c>
    </row>
    <row r="31">
      <c r="A31" s="17" t="inlineStr">
        <is>
          <t>Cost of Revenue</t>
        </is>
      </c>
      <c r="B31" s="18" t="n">
        <v>1750.25</v>
      </c>
      <c r="C31" s="18" t="n">
        <v>1815.34</v>
      </c>
      <c r="D31" s="18" t="n">
        <v>2114.12</v>
      </c>
      <c r="E31" s="18" t="n">
        <v>2474.24</v>
      </c>
      <c r="F31" s="18" t="n">
        <v>2670.88</v>
      </c>
    </row>
    <row r="32">
      <c r="A32" s="26" t="inlineStr">
        <is>
          <t>Gross Profit</t>
        </is>
      </c>
      <c r="B32" s="27" t="n">
        <v>2366.8</v>
      </c>
      <c r="C32" s="27" t="n">
        <v>2786.51</v>
      </c>
      <c r="D32" s="27" t="n">
        <v>2492</v>
      </c>
      <c r="E32" s="27" t="n">
        <v>2887.16</v>
      </c>
      <c r="F32" s="27" t="n">
        <v>3260.57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1565.47</v>
      </c>
      <c r="C34" s="18" t="n">
        <v>2109.8</v>
      </c>
      <c r="D34" s="18" t="n">
        <v>1910.86</v>
      </c>
      <c r="E34" s="18" t="n">
        <v>1691.68</v>
      </c>
      <c r="F34" s="18" t="n">
        <v>1770.91</v>
      </c>
    </row>
    <row r="35">
      <c r="A35" s="17" t="inlineStr">
        <is>
          <t>General &amp; Administrative</t>
        </is>
      </c>
      <c r="B35" s="18" t="n">
        <v>710.64</v>
      </c>
      <c r="C35" s="18" t="n">
        <v>953.26</v>
      </c>
      <c r="D35" s="18" t="n">
        <v>857.42</v>
      </c>
      <c r="E35" s="18" t="n">
        <v>919.1</v>
      </c>
      <c r="F35" s="18" t="n">
        <v>1241.31</v>
      </c>
    </row>
    <row r="36">
      <c r="A36" s="17" t="inlineStr">
        <is>
          <t>Selling &amp; Marketing</t>
        </is>
      </c>
      <c r="B36" s="18" t="n">
        <v>792.76</v>
      </c>
      <c r="C36" s="18" t="n">
        <v>1118.75</v>
      </c>
      <c r="D36" s="18" t="n">
        <v>1122.09</v>
      </c>
      <c r="E36" s="18" t="n">
        <v>1063.67</v>
      </c>
      <c r="F36" s="18" t="n">
        <v>767.2</v>
      </c>
    </row>
    <row r="37">
      <c r="A37" s="17" t="inlineStr">
        <is>
          <t>SG&amp;A (Combined)</t>
        </is>
      </c>
      <c r="B37" s="18" t="n">
        <v>1503.4</v>
      </c>
      <c r="C37" s="18" t="n">
        <v>2072.01</v>
      </c>
      <c r="D37" s="18" t="n">
        <v>1979.52</v>
      </c>
      <c r="E37" s="18" t="n">
        <v>1982.77</v>
      </c>
      <c r="F37" s="18" t="n">
        <v>2008.52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13.31</v>
      </c>
    </row>
    <row r="39">
      <c r="A39" s="26" t="inlineStr">
        <is>
          <t>Total Operating Expenses</t>
        </is>
      </c>
      <c r="B39" s="27" t="n">
        <v>3068.87</v>
      </c>
      <c r="C39" s="27" t="n">
        <v>4181.81</v>
      </c>
      <c r="D39" s="27" t="n">
        <v>3890.38</v>
      </c>
      <c r="E39" s="27" t="n">
        <v>3674.45</v>
      </c>
      <c r="F39" s="27" t="n">
        <v>3792.73</v>
      </c>
    </row>
    <row r="40">
      <c r="A40" s="17" t="inlineStr">
        <is>
          <t>Cost &amp; Expenses (COGS + Opex)</t>
        </is>
      </c>
      <c r="B40" s="18" t="n">
        <v>4819.12</v>
      </c>
      <c r="C40" s="18" t="n">
        <v>5997.15</v>
      </c>
      <c r="D40" s="18" t="n">
        <v>6004.49</v>
      </c>
      <c r="E40" s="18" t="n">
        <v>6148.69</v>
      </c>
      <c r="F40" s="18" t="n">
        <v>6463.61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-702.0700000000001</v>
      </c>
      <c r="C42" s="16" t="n">
        <v>-1395.31</v>
      </c>
      <c r="D42" s="16" t="n">
        <v>-1398.38</v>
      </c>
      <c r="E42" s="16" t="n">
        <v>-787.29</v>
      </c>
      <c r="F42" s="16" t="n">
        <v>-532.17</v>
      </c>
    </row>
    <row r="43">
      <c r="A43" s="17" t="inlineStr">
        <is>
          <t>EBIT (FMP field)</t>
        </is>
      </c>
      <c r="B43" s="18" t="n">
        <v>-456.69</v>
      </c>
      <c r="C43" s="18" t="n">
        <v>-1379.24</v>
      </c>
      <c r="D43" s="18" t="n">
        <v>-1272.4</v>
      </c>
      <c r="E43" s="18" t="n">
        <v>-650.67</v>
      </c>
      <c r="F43" s="18" t="n">
        <v>-329.14</v>
      </c>
    </row>
    <row r="44">
      <c r="A44" s="26" t="inlineStr">
        <is>
          <t>EBITDA</t>
        </is>
      </c>
      <c r="B44" s="27" t="n">
        <v>-337.55</v>
      </c>
      <c r="C44" s="27" t="n">
        <v>-1177.07</v>
      </c>
      <c r="D44" s="27" t="n">
        <v>-1103.96</v>
      </c>
      <c r="E44" s="27" t="n">
        <v>-492.6</v>
      </c>
      <c r="F44" s="27" t="n">
        <v>-169.31</v>
      </c>
    </row>
    <row r="45">
      <c r="A45" s="17" t="inlineStr">
        <is>
          <t>Depreciation &amp; Amortisation</t>
        </is>
      </c>
      <c r="B45" s="18" t="n">
        <v>119.14</v>
      </c>
      <c r="C45" s="18" t="n">
        <v>202.17</v>
      </c>
      <c r="D45" s="18" t="n">
        <v>168.44</v>
      </c>
      <c r="E45" s="18" t="n">
        <v>158.07</v>
      </c>
      <c r="F45" s="18" t="n">
        <v>159.83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5.2</v>
      </c>
      <c r="C47" s="18" t="n">
        <v>58.6</v>
      </c>
      <c r="D47" s="18" t="n">
        <v>168.39</v>
      </c>
      <c r="E47" s="18" t="n">
        <v>153.47</v>
      </c>
      <c r="F47" s="18" t="n">
        <v>134.16</v>
      </c>
    </row>
    <row r="48">
      <c r="A48" s="17" t="inlineStr">
        <is>
          <t>Interest Expense</t>
        </is>
      </c>
      <c r="B48" s="18" t="n">
        <v>17.68</v>
      </c>
      <c r="C48" s="18" t="n">
        <v>21.46</v>
      </c>
      <c r="D48" s="18" t="n">
        <v>22.02</v>
      </c>
      <c r="E48" s="18" t="n">
        <v>21.55</v>
      </c>
      <c r="F48" s="18" t="n">
        <v>89</v>
      </c>
    </row>
    <row r="49">
      <c r="A49" s="17" t="inlineStr">
        <is>
          <t>Net Interest Income</t>
        </is>
      </c>
      <c r="B49" s="18" t="n">
        <v>-12.48</v>
      </c>
      <c r="C49" s="18" t="n">
        <v>37.14</v>
      </c>
      <c r="D49" s="18" t="n">
        <v>146.37</v>
      </c>
      <c r="E49" s="18" t="n">
        <v>131.91</v>
      </c>
      <c r="F49" s="18" t="n">
        <v>45.16</v>
      </c>
    </row>
    <row r="50">
      <c r="A50" s="17" t="inlineStr">
        <is>
          <t>Non-Operating Income (ex-interest)</t>
        </is>
      </c>
      <c r="B50" s="18" t="n">
        <v>-245.37</v>
      </c>
      <c r="C50" s="18" t="n">
        <v>-16.07</v>
      </c>
      <c r="D50" s="18" t="n">
        <v>-125.98</v>
      </c>
      <c r="E50" s="18" t="n">
        <v>-136.62</v>
      </c>
      <c r="F50" s="18" t="n">
        <v>-203.03</v>
      </c>
    </row>
    <row r="51">
      <c r="A51" s="17" t="inlineStr">
        <is>
          <t>Total Other Income / (Expenses)</t>
        </is>
      </c>
      <c r="B51" s="18" t="n">
        <v>227.7</v>
      </c>
      <c r="C51" s="18" t="n">
        <v>-5.39</v>
      </c>
      <c r="D51" s="18" t="n">
        <v>103.96</v>
      </c>
      <c r="E51" s="18" t="n">
        <v>115.07</v>
      </c>
      <c r="F51" s="18" t="n">
        <v>89.39</v>
      </c>
    </row>
    <row r="52">
      <c r="A52" s="26" t="inlineStr">
        <is>
          <t>EBT / Income Before Tax</t>
        </is>
      </c>
      <c r="B52" s="27" t="n">
        <v>-474.37</v>
      </c>
      <c r="C52" s="27" t="n">
        <v>-1400.7</v>
      </c>
      <c r="D52" s="27" t="n">
        <v>-1294.42</v>
      </c>
      <c r="E52" s="27" t="n">
        <v>-672.23</v>
      </c>
      <c r="F52" s="27" t="n">
        <v>-442.78</v>
      </c>
    </row>
    <row r="53">
      <c r="A53" s="17" t="inlineStr">
        <is>
          <t>Income Tax Expense</t>
        </is>
      </c>
      <c r="B53" s="18" t="n">
        <v>13.58</v>
      </c>
      <c r="C53" s="18" t="n">
        <v>28.96</v>
      </c>
      <c r="D53" s="18" t="n">
        <v>28.06</v>
      </c>
      <c r="E53" s="18" t="n">
        <v>25.63</v>
      </c>
      <c r="F53" s="18" t="n">
        <v>17.71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-487.95</v>
      </c>
      <c r="C55" s="18" t="n">
        <v>-1429.65</v>
      </c>
      <c r="D55" s="18" t="n">
        <v>-1322.48</v>
      </c>
      <c r="E55" s="18" t="n">
        <v>-697.86</v>
      </c>
      <c r="F55" s="18" t="n">
        <v>-460.49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-487.95</v>
      </c>
      <c r="C59" s="27" t="n">
        <v>-1429.65</v>
      </c>
      <c r="D59" s="27" t="n">
        <v>-1322.48</v>
      </c>
      <c r="E59" s="27" t="n">
        <v>-697.86</v>
      </c>
      <c r="F59" s="27" t="n">
        <v>-460.49</v>
      </c>
    </row>
    <row r="60">
      <c r="A60" s="15" t="inlineStr">
        <is>
          <t>Bottom Line Net Income</t>
        </is>
      </c>
      <c r="B60" s="16" t="n">
        <v>-487.95</v>
      </c>
      <c r="C60" s="16" t="n">
        <v>-1429.65</v>
      </c>
      <c r="D60" s="16" t="n">
        <v>-1322.48</v>
      </c>
      <c r="E60" s="16" t="n">
        <v>-697.86</v>
      </c>
      <c r="F60" s="16" t="n">
        <v>-460.49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-0.31</v>
      </c>
      <c r="C62" s="18" t="n">
        <v>-0.89</v>
      </c>
      <c r="D62" s="18" t="n">
        <v>-0.82</v>
      </c>
      <c r="E62" s="18" t="n">
        <v>-0.42</v>
      </c>
      <c r="F62" s="18" t="n">
        <v>-0.27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1559</v>
      </c>
      <c r="C64" s="18" t="n">
        <v>1608.3</v>
      </c>
      <c r="D64" s="18" t="n">
        <v>1612.5</v>
      </c>
      <c r="E64" s="18" t="n">
        <v>1659.15</v>
      </c>
      <c r="F64" s="18" t="n">
        <v>1710.46</v>
      </c>
    </row>
    <row r="65">
      <c r="A65" s="17" t="inlineStr">
        <is>
          <t>Shares Outstanding — Diluted (mm)</t>
        </is>
      </c>
      <c r="B65" s="18" t="n">
        <v>1559</v>
      </c>
      <c r="C65" s="18" t="n">
        <v>1608.3</v>
      </c>
      <c r="D65" s="18" t="n">
        <v>1612.5</v>
      </c>
      <c r="E65" s="18" t="n">
        <v>1659.15</v>
      </c>
      <c r="F65" s="18" t="n">
        <v>1720.35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SNAP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1993.81</v>
      </c>
      <c r="C5" s="18" t="n">
        <v>1423.12</v>
      </c>
      <c r="D5" s="18" t="n">
        <v>1780.4</v>
      </c>
      <c r="E5" s="18" t="n">
        <v>1046.53</v>
      </c>
      <c r="F5" s="18" t="n">
        <v>1030.43</v>
      </c>
    </row>
    <row r="6">
      <c r="A6" s="17" t="inlineStr">
        <is>
          <t>(2)  Receivables</t>
        </is>
      </c>
      <c r="B6" s="18" t="n">
        <v>1068.87</v>
      </c>
      <c r="C6" s="18" t="n">
        <v>1183.09</v>
      </c>
      <c r="D6" s="18" t="n">
        <v>1278.18</v>
      </c>
      <c r="E6" s="18" t="n">
        <v>1348.47</v>
      </c>
      <c r="F6" s="18" t="n">
        <v>1372.24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4854</v>
      </c>
      <c r="C9" s="24" t="n">
        <v>5256.65</v>
      </c>
      <c r="D9" s="24" t="n">
        <v>4975.84</v>
      </c>
      <c r="E9" s="24" t="n">
        <v>4906.76</v>
      </c>
      <c r="F9" s="24" t="n">
        <v>4584.87</v>
      </c>
    </row>
    <row r="10">
      <c r="A10" s="17" t="inlineStr">
        <is>
          <t>(6)  PP&amp;E (Net)</t>
        </is>
      </c>
      <c r="B10" s="18" t="n">
        <v>524.9</v>
      </c>
      <c r="C10" s="18" t="n">
        <v>642.73</v>
      </c>
      <c r="D10" s="18" t="n">
        <v>927.1900000000001</v>
      </c>
      <c r="E10" s="18" t="n">
        <v>1019.53</v>
      </c>
      <c r="F10" s="18" t="n">
        <v>1084.29</v>
      </c>
    </row>
    <row r="11">
      <c r="A11" s="17" t="inlineStr">
        <is>
          <t>(7)  Goodwill</t>
        </is>
      </c>
      <c r="B11" s="18" t="n">
        <v>1588.45</v>
      </c>
      <c r="C11" s="18" t="n">
        <v>1646.12</v>
      </c>
      <c r="D11" s="18" t="n">
        <v>1691.83</v>
      </c>
      <c r="E11" s="18" t="n">
        <v>1689.79</v>
      </c>
      <c r="F11" s="18" t="n">
        <v>1720.77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2682.3</v>
      </c>
      <c r="C14" s="24" t="n">
        <v>2772.89</v>
      </c>
      <c r="D14" s="24" t="n">
        <v>2991.91</v>
      </c>
      <c r="E14" s="24" t="n">
        <v>3029.59</v>
      </c>
      <c r="F14" s="24" t="n">
        <v>3092.93</v>
      </c>
    </row>
    <row r="15">
      <c r="A15" s="19" t="inlineStr">
        <is>
          <t>(11) Total Assets</t>
        </is>
      </c>
      <c r="B15" s="24" t="n">
        <v>7536.31</v>
      </c>
      <c r="C15" s="24" t="n">
        <v>8029.54</v>
      </c>
      <c r="D15" s="24" t="n">
        <v>7967.76</v>
      </c>
      <c r="E15" s="24" t="n">
        <v>7936.35</v>
      </c>
      <c r="F15" s="24" t="n">
        <v>7677.8</v>
      </c>
    </row>
    <row r="16" ht="6" customHeight="1"/>
    <row r="17">
      <c r="A17" s="17" t="inlineStr">
        <is>
          <t>(12) Accounts Payable</t>
        </is>
      </c>
      <c r="B17" s="18" t="n">
        <v>125.28</v>
      </c>
      <c r="C17" s="18" t="n">
        <v>181.77</v>
      </c>
      <c r="D17" s="18" t="n">
        <v>278.96</v>
      </c>
      <c r="E17" s="18" t="n">
        <v>173.2</v>
      </c>
      <c r="F17" s="18" t="n">
        <v>219.79</v>
      </c>
    </row>
    <row r="18">
      <c r="A18" s="17" t="inlineStr">
        <is>
          <t>(13) Short-Term Borrowings</t>
        </is>
      </c>
      <c r="B18" s="18" t="n">
        <v>0</v>
      </c>
      <c r="C18" s="18" t="n">
        <v>0</v>
      </c>
      <c r="D18" s="18" t="n">
        <v>0</v>
      </c>
      <c r="E18" s="18" t="n">
        <v>36.21</v>
      </c>
      <c r="F18" s="18" t="n">
        <v>46.97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851.79</v>
      </c>
      <c r="C21" s="24" t="n">
        <v>1215.6</v>
      </c>
      <c r="D21" s="24" t="n">
        <v>1134.12</v>
      </c>
      <c r="E21" s="24" t="n">
        <v>1243.55</v>
      </c>
      <c r="F21" s="24" t="n">
        <v>1286.87</v>
      </c>
    </row>
    <row r="22">
      <c r="A22" s="17" t="inlineStr">
        <is>
          <t>(17) Long-Term Debt</t>
        </is>
      </c>
      <c r="B22" s="18" t="n">
        <v>2253.09</v>
      </c>
      <c r="C22" s="18" t="n">
        <v>3742.52</v>
      </c>
      <c r="D22" s="18" t="n">
        <v>3749.4</v>
      </c>
      <c r="E22" s="18" t="n">
        <v>3607.72</v>
      </c>
      <c r="F22" s="18" t="n">
        <v>4047.68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3746.14</v>
      </c>
      <c r="C25" s="24" t="n">
        <v>5448.84</v>
      </c>
      <c r="D25" s="24" t="n">
        <v>5553.65</v>
      </c>
      <c r="E25" s="24" t="n">
        <v>5485.59</v>
      </c>
      <c r="F25" s="24" t="n">
        <v>5396.31</v>
      </c>
    </row>
    <row r="26" ht="6" customHeight="1"/>
    <row r="27">
      <c r="A27" s="17" t="inlineStr">
        <is>
          <t>(21) Common Stock &amp; APIC</t>
        </is>
      </c>
      <c r="B27" s="18" t="n">
        <v>0.02</v>
      </c>
      <c r="C27" s="18" t="n">
        <v>0.01</v>
      </c>
      <c r="D27" s="18" t="n">
        <v>0.02</v>
      </c>
      <c r="E27" s="18" t="n">
        <v>0.02</v>
      </c>
      <c r="F27" s="18" t="n">
        <v>0.02</v>
      </c>
    </row>
    <row r="28">
      <c r="A28" s="17" t="inlineStr">
        <is>
          <t>(22) Retained Earnings</t>
        </is>
      </c>
      <c r="B28" s="18" t="n">
        <v>-8284.469999999999</v>
      </c>
      <c r="C28" s="18" t="n">
        <v>-10214.66</v>
      </c>
      <c r="D28" s="18" t="n">
        <v>-11726.54</v>
      </c>
      <c r="E28" s="18" t="n">
        <v>-12735.46</v>
      </c>
      <c r="F28" s="18" t="n">
        <v>-13946.82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3790.17</v>
      </c>
      <c r="C30" s="24" t="n">
        <v>2580.7</v>
      </c>
      <c r="D30" s="24" t="n">
        <v>2414.11</v>
      </c>
      <c r="E30" s="24" t="n">
        <v>2450.76</v>
      </c>
      <c r="F30" s="24" t="n">
        <v>2281.49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1993.81</v>
      </c>
      <c r="C36" s="18" t="n">
        <v>1423.12</v>
      </c>
      <c r="D36" s="18" t="n">
        <v>1780.4</v>
      </c>
      <c r="E36" s="18" t="n">
        <v>1046.53</v>
      </c>
      <c r="F36" s="18" t="n">
        <v>1030.43</v>
      </c>
    </row>
    <row r="37">
      <c r="A37" s="17" t="inlineStr">
        <is>
          <t>Short-Term Investments</t>
        </is>
      </c>
      <c r="B37" s="18" t="n">
        <v>1699.08</v>
      </c>
      <c r="C37" s="18" t="n">
        <v>2516</v>
      </c>
      <c r="D37" s="18" t="n">
        <v>1763.68</v>
      </c>
      <c r="E37" s="18" t="n">
        <v>2329.74</v>
      </c>
      <c r="F37" s="18" t="n">
        <v>1910.14</v>
      </c>
    </row>
    <row r="38">
      <c r="A38" s="28" t="inlineStr">
        <is>
          <t>Cash &amp; Short-Term Investments</t>
        </is>
      </c>
      <c r="B38" s="29" t="n">
        <v>3692.89</v>
      </c>
      <c r="C38" s="29" t="n">
        <v>3939.12</v>
      </c>
      <c r="D38" s="29" t="n">
        <v>3544.08</v>
      </c>
      <c r="E38" s="29" t="n">
        <v>3376.28</v>
      </c>
      <c r="F38" s="29" t="n">
        <v>2940.57</v>
      </c>
    </row>
    <row r="39">
      <c r="A39" s="17" t="inlineStr">
        <is>
          <t>Accounts Receivable (Trade)</t>
        </is>
      </c>
      <c r="B39" s="18" t="n">
        <v>1068.87</v>
      </c>
      <c r="C39" s="18" t="n">
        <v>1183.09</v>
      </c>
      <c r="D39" s="18" t="n">
        <v>1278.18</v>
      </c>
      <c r="E39" s="18" t="n">
        <v>1348.47</v>
      </c>
      <c r="F39" s="18" t="n">
        <v>1372.24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1068.87</v>
      </c>
      <c r="C41" s="29" t="n">
        <v>1183.09</v>
      </c>
      <c r="D41" s="29" t="n">
        <v>1278.18</v>
      </c>
      <c r="E41" s="29" t="n">
        <v>1348.47</v>
      </c>
      <c r="F41" s="29" t="n">
        <v>1372.24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92.23999999999999</v>
      </c>
      <c r="C43" s="18" t="n">
        <v>134.43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153.59</v>
      </c>
      <c r="E44" s="18" t="n">
        <v>182.01</v>
      </c>
      <c r="F44" s="18" t="n">
        <v>272.06</v>
      </c>
    </row>
    <row r="45">
      <c r="A45" s="26" t="inlineStr">
        <is>
          <t>Total Current Assets</t>
        </is>
      </c>
      <c r="B45" s="27" t="n">
        <v>4854</v>
      </c>
      <c r="C45" s="27" t="n">
        <v>5256.65</v>
      </c>
      <c r="D45" s="27" t="n">
        <v>4975.84</v>
      </c>
      <c r="E45" s="27" t="n">
        <v>4906.76</v>
      </c>
      <c r="F45" s="27" t="n">
        <v>4584.87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524.9</v>
      </c>
      <c r="C47" s="18" t="n">
        <v>642.73</v>
      </c>
      <c r="D47" s="18" t="n">
        <v>927.1900000000001</v>
      </c>
      <c r="E47" s="18" t="n">
        <v>1019.53</v>
      </c>
      <c r="F47" s="18" t="n">
        <v>1084.29</v>
      </c>
    </row>
    <row r="48">
      <c r="A48" s="17" t="inlineStr">
        <is>
          <t>Goodwill</t>
        </is>
      </c>
      <c r="B48" s="18" t="n">
        <v>1588.45</v>
      </c>
      <c r="C48" s="18" t="n">
        <v>1646.12</v>
      </c>
      <c r="D48" s="18" t="n">
        <v>1691.83</v>
      </c>
      <c r="E48" s="18" t="n">
        <v>1689.79</v>
      </c>
      <c r="F48" s="18" t="n">
        <v>1720.77</v>
      </c>
    </row>
    <row r="49">
      <c r="A49" s="17" t="inlineStr">
        <is>
          <t>Intangible Assets</t>
        </is>
      </c>
      <c r="B49" s="18" t="n">
        <v>277.65</v>
      </c>
      <c r="C49" s="18" t="n">
        <v>204.48</v>
      </c>
      <c r="D49" s="18" t="n">
        <v>146.3</v>
      </c>
      <c r="E49" s="18" t="n">
        <v>86.36</v>
      </c>
      <c r="F49" s="18" t="n">
        <v>66.61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1699.08</v>
      </c>
      <c r="C52" s="18" t="n">
        <v>2516</v>
      </c>
      <c r="D52" s="18" t="n">
        <v>1763.68</v>
      </c>
      <c r="E52" s="18" t="n">
        <v>2329.74</v>
      </c>
      <c r="F52" s="18" t="n">
        <v>1910.14</v>
      </c>
    </row>
    <row r="53">
      <c r="A53" s="17" t="inlineStr">
        <is>
          <t>Other Non-Current Assets</t>
        </is>
      </c>
      <c r="B53" s="18" t="n">
        <v>291.3</v>
      </c>
      <c r="C53" s="18" t="n">
        <v>279.56</v>
      </c>
      <c r="D53" s="18" t="n">
        <v>226.6</v>
      </c>
      <c r="E53" s="18" t="n">
        <v>233.91</v>
      </c>
      <c r="F53" s="18" t="n">
        <v>221.25</v>
      </c>
    </row>
    <row r="54">
      <c r="A54" s="26" t="inlineStr">
        <is>
          <t>Total Non-Current Assets</t>
        </is>
      </c>
      <c r="B54" s="27" t="n">
        <v>2682.3</v>
      </c>
      <c r="C54" s="27" t="n">
        <v>2772.89</v>
      </c>
      <c r="D54" s="27" t="n">
        <v>2991.91</v>
      </c>
      <c r="E54" s="27" t="n">
        <v>3029.59</v>
      </c>
      <c r="F54" s="27" t="n">
        <v>3092.93</v>
      </c>
    </row>
    <row r="55">
      <c r="A55" s="13" t="inlineStr">
        <is>
          <t>TOTAL ASSETS</t>
        </is>
      </c>
      <c r="B55" s="30" t="n">
        <v>7536.31</v>
      </c>
      <c r="C55" s="30" t="n">
        <v>8029.54</v>
      </c>
      <c r="D55" s="30" t="n">
        <v>7967.76</v>
      </c>
      <c r="E55" s="30" t="n">
        <v>7936.35</v>
      </c>
      <c r="F55" s="30" t="n">
        <v>7677.8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125.28</v>
      </c>
      <c r="C57" s="18" t="n">
        <v>181.77</v>
      </c>
      <c r="D57" s="18" t="n">
        <v>278.96</v>
      </c>
      <c r="E57" s="18" t="n">
        <v>173.2</v>
      </c>
      <c r="F57" s="18" t="n">
        <v>219.79</v>
      </c>
    </row>
    <row r="58">
      <c r="A58" s="17" t="inlineStr">
        <is>
          <t>Short-Term Debt</t>
        </is>
      </c>
      <c r="B58" s="18" t="n">
        <v>0</v>
      </c>
      <c r="C58" s="18" t="n">
        <v>0</v>
      </c>
      <c r="D58" s="18" t="n">
        <v>0</v>
      </c>
      <c r="E58" s="18" t="n">
        <v>36.21</v>
      </c>
      <c r="F58" s="18" t="n">
        <v>46.97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44.47</v>
      </c>
      <c r="C60" s="18" t="n">
        <v>50.78</v>
      </c>
      <c r="D60" s="18" t="n">
        <v>93.70999999999999</v>
      </c>
      <c r="E60" s="18" t="n">
        <v>112.77</v>
      </c>
      <c r="F60" s="18" t="n">
        <v>145.21</v>
      </c>
    </row>
    <row r="61">
      <c r="A61" s="17" t="inlineStr">
        <is>
          <t>Accrued &amp; Other Current Liabilities</t>
        </is>
      </c>
      <c r="B61" s="18" t="n">
        <v>412.06</v>
      </c>
      <c r="C61" s="18" t="n">
        <v>691.3</v>
      </c>
      <c r="D61" s="18" t="n">
        <v>239.34</v>
      </c>
      <c r="E61" s="18" t="n">
        <v>302.48</v>
      </c>
      <c r="F61" s="18" t="n">
        <v>301.83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851.79</v>
      </c>
      <c r="C63" s="27" t="n">
        <v>1215.6</v>
      </c>
      <c r="D63" s="27" t="n">
        <v>1134.12</v>
      </c>
      <c r="E63" s="27" t="n">
        <v>1243.55</v>
      </c>
      <c r="F63" s="27" t="n">
        <v>1286.87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2253.09</v>
      </c>
      <c r="C65" s="18" t="n">
        <v>3742.52</v>
      </c>
      <c r="D65" s="18" t="n">
        <v>3749.4</v>
      </c>
      <c r="E65" s="18" t="n">
        <v>3607.72</v>
      </c>
      <c r="F65" s="18" t="n">
        <v>4047.68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27.8</v>
      </c>
    </row>
    <row r="69">
      <c r="A69" s="17" t="inlineStr">
        <is>
          <t>Other Non-Current Liabilities</t>
        </is>
      </c>
      <c r="B69" s="18" t="n">
        <v>315.76</v>
      </c>
      <c r="C69" s="18" t="n">
        <v>104.45</v>
      </c>
      <c r="D69" s="18" t="n">
        <v>123.85</v>
      </c>
      <c r="E69" s="18" t="n">
        <v>59.24</v>
      </c>
      <c r="F69" s="18" t="n">
        <v>-523.87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3746.14</v>
      </c>
      <c r="C71" s="30" t="n">
        <v>5448.84</v>
      </c>
      <c r="D71" s="30" t="n">
        <v>5553.65</v>
      </c>
      <c r="E71" s="30" t="n">
        <v>5485.59</v>
      </c>
      <c r="F71" s="30" t="n">
        <v>5396.31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0.02</v>
      </c>
      <c r="C73" s="18" t="n">
        <v>0.01</v>
      </c>
      <c r="D73" s="18" t="n">
        <v>0.02</v>
      </c>
      <c r="E73" s="18" t="n">
        <v>0.02</v>
      </c>
      <c r="F73" s="18" t="n">
        <v>0.02</v>
      </c>
    </row>
    <row r="74">
      <c r="A74" s="17" t="inlineStr">
        <is>
          <t>Retained Earnings</t>
        </is>
      </c>
      <c r="B74" s="18" t="n">
        <v>-8284.469999999999</v>
      </c>
      <c r="C74" s="18" t="n">
        <v>-10214.66</v>
      </c>
      <c r="D74" s="18" t="n">
        <v>-11726.54</v>
      </c>
      <c r="E74" s="18" t="n">
        <v>-12735.46</v>
      </c>
      <c r="F74" s="18" t="n">
        <v>-13946.82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3790.17</v>
      </c>
      <c r="C78" s="27" t="n">
        <v>2580.7</v>
      </c>
      <c r="D78" s="27" t="n">
        <v>2414.11</v>
      </c>
      <c r="E78" s="27" t="n">
        <v>2450.76</v>
      </c>
      <c r="F78" s="27" t="n">
        <v>2281.49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SNAP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292.88</v>
      </c>
      <c r="C5" s="24" t="n">
        <v>184.61</v>
      </c>
      <c r="D5" s="24" t="n">
        <v>246.52</v>
      </c>
      <c r="E5" s="24" t="n">
        <v>413.48</v>
      </c>
      <c r="F5" s="24" t="n">
        <v>656.17</v>
      </c>
    </row>
    <row r="6">
      <c r="A6" s="17" t="inlineStr">
        <is>
          <t>(2)  Capital Expenditures</t>
        </is>
      </c>
      <c r="B6" s="18" t="n">
        <v>-69.88</v>
      </c>
      <c r="C6" s="18" t="n">
        <v>-129.31</v>
      </c>
      <c r="D6" s="18" t="n">
        <v>-211.73</v>
      </c>
      <c r="E6" s="18" t="n">
        <v>-194.83</v>
      </c>
      <c r="F6" s="18" t="n">
        <v>-218.98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1137.23</v>
      </c>
      <c r="C9" s="18" t="n">
        <v>1483.5</v>
      </c>
      <c r="D9" s="18" t="n">
        <v>0</v>
      </c>
      <c r="E9" s="18" t="n">
        <v>-118.69</v>
      </c>
      <c r="F9" s="18" t="n">
        <v>1977.95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14.67</v>
      </c>
      <c r="C11" s="18" t="n">
        <v>0</v>
      </c>
      <c r="D11" s="18" t="n">
        <v>0</v>
      </c>
      <c r="E11" s="18" t="n">
        <v>0</v>
      </c>
      <c r="F11" s="18" t="n">
        <v>0.37</v>
      </c>
    </row>
    <row r="12">
      <c r="A12" s="17" t="inlineStr">
        <is>
          <t>(7)  Dividends Paid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223</v>
      </c>
      <c r="C15" s="24" t="n">
        <v>55.31</v>
      </c>
      <c r="D15" s="24" t="n">
        <v>34.79</v>
      </c>
      <c r="E15" s="24" t="n">
        <v>218.65</v>
      </c>
      <c r="F15" s="24" t="n">
        <v>437.19</v>
      </c>
    </row>
    <row r="16">
      <c r="A16" s="15" t="inlineStr">
        <is>
          <t xml:space="preserve">     Net Change in Cash</t>
        </is>
      </c>
      <c r="B16" s="16" t="n">
        <v>1448.18</v>
      </c>
      <c r="C16" s="16" t="n">
        <v>-570.95</v>
      </c>
      <c r="D16" s="16" t="n">
        <v>358.69</v>
      </c>
      <c r="E16" s="16" t="n">
        <v>-732.23</v>
      </c>
      <c r="F16" s="16" t="n">
        <v>-18.84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-487.95</v>
      </c>
      <c r="C21" s="18" t="n">
        <v>-1429.65</v>
      </c>
      <c r="D21" s="18" t="n">
        <v>-1322.48</v>
      </c>
      <c r="E21" s="18" t="n">
        <v>-697.86</v>
      </c>
      <c r="F21" s="18" t="n">
        <v>-460.49</v>
      </c>
    </row>
    <row r="22">
      <c r="A22" s="17" t="inlineStr">
        <is>
          <t>Depreciation &amp; Amortisation</t>
        </is>
      </c>
      <c r="B22" s="18" t="n">
        <v>119.14</v>
      </c>
      <c r="C22" s="18" t="n">
        <v>202.17</v>
      </c>
      <c r="D22" s="18" t="n">
        <v>168.44</v>
      </c>
      <c r="E22" s="18" t="n">
        <v>158.07</v>
      </c>
      <c r="F22" s="18" t="n">
        <v>163.63</v>
      </c>
    </row>
    <row r="23">
      <c r="A23" s="17" t="inlineStr">
        <is>
          <t>Deferred Income Tax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</row>
    <row r="24">
      <c r="A24" s="17" t="inlineStr">
        <is>
          <t>Stock-Based Compensation</t>
        </is>
      </c>
      <c r="B24" s="18" t="n">
        <v>1092.13</v>
      </c>
      <c r="C24" s="18" t="n">
        <v>1387.79</v>
      </c>
      <c r="D24" s="18" t="n">
        <v>1324</v>
      </c>
      <c r="E24" s="18" t="n">
        <v>1041.02</v>
      </c>
      <c r="F24" s="18" t="n">
        <v>1016.83</v>
      </c>
    </row>
    <row r="25">
      <c r="A25" s="17" t="inlineStr">
        <is>
          <t>Change in Working Capital</t>
        </is>
      </c>
      <c r="B25" s="18" t="n">
        <v>-195.88</v>
      </c>
      <c r="C25" s="18" t="n">
        <v>-34.99</v>
      </c>
      <c r="D25" s="18" t="n">
        <v>63.13</v>
      </c>
      <c r="E25" s="18" t="n">
        <v>-91.45999999999999</v>
      </c>
      <c r="F25" s="18" t="n">
        <v>-17</v>
      </c>
    </row>
    <row r="26">
      <c r="A26" s="21" t="inlineStr">
        <is>
          <t xml:space="preserve">  — Accounts Receivable</t>
        </is>
      </c>
      <c r="B26" s="18" t="n">
        <v>-332.97</v>
      </c>
      <c r="C26" s="18" t="n">
        <v>-119.78</v>
      </c>
      <c r="D26" s="18" t="n">
        <v>-98.13</v>
      </c>
      <c r="E26" s="18" t="n">
        <v>-94</v>
      </c>
      <c r="F26" s="18" t="n">
        <v>-31.83</v>
      </c>
    </row>
    <row r="27">
      <c r="A27" s="21" t="inlineStr">
        <is>
          <t xml:space="preserve">  — Inventory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53.58</v>
      </c>
      <c r="C28" s="18" t="n">
        <v>46.49</v>
      </c>
      <c r="D28" s="18" t="n">
        <v>94.98999999999999</v>
      </c>
      <c r="E28" s="18" t="n">
        <v>-100.73</v>
      </c>
      <c r="F28" s="18" t="n">
        <v>45.92</v>
      </c>
    </row>
    <row r="29">
      <c r="A29" s="21" t="inlineStr">
        <is>
          <t xml:space="preserve">  — Other Working Capital</t>
        </is>
      </c>
      <c r="B29" s="18" t="n">
        <v>83.51000000000001</v>
      </c>
      <c r="C29" s="18" t="n">
        <v>38.3</v>
      </c>
      <c r="D29" s="18" t="n">
        <v>66.27</v>
      </c>
      <c r="E29" s="18" t="n">
        <v>103.28</v>
      </c>
      <c r="F29" s="18" t="n">
        <v>-31.09</v>
      </c>
    </row>
    <row r="30">
      <c r="A30" s="17" t="inlineStr">
        <is>
          <t>Other Non-Cash Items</t>
        </is>
      </c>
      <c r="B30" s="18" t="n">
        <v>-234.56</v>
      </c>
      <c r="C30" s="18" t="n">
        <v>59.3</v>
      </c>
      <c r="D30" s="18" t="n">
        <v>13.43</v>
      </c>
      <c r="E30" s="18" t="n">
        <v>3.69</v>
      </c>
      <c r="F30" s="18" t="n">
        <v>-46.8</v>
      </c>
    </row>
    <row r="31">
      <c r="A31" s="26" t="inlineStr">
        <is>
          <t>Net Cash from Operations (CFO)</t>
        </is>
      </c>
      <c r="B31" s="27" t="n">
        <v>292.88</v>
      </c>
      <c r="C31" s="27" t="n">
        <v>184.61</v>
      </c>
      <c r="D31" s="27" t="n">
        <v>246.52</v>
      </c>
      <c r="E31" s="27" t="n">
        <v>413.48</v>
      </c>
      <c r="F31" s="27" t="n">
        <v>656.17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-69.88</v>
      </c>
      <c r="C33" s="18" t="n">
        <v>-129.31</v>
      </c>
      <c r="D33" s="18" t="n">
        <v>-211.73</v>
      </c>
      <c r="E33" s="18" t="n">
        <v>-194.83</v>
      </c>
      <c r="F33" s="18" t="n">
        <v>-218.98</v>
      </c>
    </row>
    <row r="34">
      <c r="A34" s="21" t="inlineStr">
        <is>
          <t xml:space="preserve">  (Alt: Invest. in PP&amp;E)</t>
        </is>
      </c>
      <c r="B34" s="18" t="n">
        <v>-69.88</v>
      </c>
      <c r="C34" s="18" t="n">
        <v>-129.31</v>
      </c>
      <c r="D34" s="18" t="n">
        <v>-211.73</v>
      </c>
      <c r="E34" s="18" t="n">
        <v>-194.83</v>
      </c>
      <c r="F34" s="18" t="n">
        <v>-218.98</v>
      </c>
    </row>
    <row r="35">
      <c r="A35" s="17" t="inlineStr">
        <is>
          <t>Acquisitions (Net)</t>
        </is>
      </c>
      <c r="B35" s="18" t="n">
        <v>-310.92</v>
      </c>
      <c r="C35" s="18" t="n">
        <v>-67.06999999999999</v>
      </c>
      <c r="D35" s="18" t="n">
        <v>-50.25</v>
      </c>
      <c r="E35" s="18" t="n">
        <v>0</v>
      </c>
      <c r="F35" s="18" t="n">
        <v>-35.5</v>
      </c>
    </row>
    <row r="36">
      <c r="A36" s="17" t="inlineStr">
        <is>
          <t>Purchases of Investments</t>
        </is>
      </c>
      <c r="B36" s="18" t="n">
        <v>-2480.14</v>
      </c>
      <c r="C36" s="18" t="n">
        <v>-3511.98</v>
      </c>
      <c r="D36" s="18" t="n">
        <v>-2056.04</v>
      </c>
      <c r="E36" s="18" t="n">
        <v>-2289.67</v>
      </c>
      <c r="F36" s="18" t="n">
        <v>-1298.3</v>
      </c>
    </row>
    <row r="37">
      <c r="A37" s="17" t="inlineStr">
        <is>
          <t>Sales / Maturities of Investments</t>
        </is>
      </c>
      <c r="B37" s="18" t="n">
        <v>2953.06</v>
      </c>
      <c r="C37" s="18" t="n">
        <v>2664.21</v>
      </c>
      <c r="D37" s="18" t="n">
        <v>2891.76</v>
      </c>
      <c r="E37" s="18" t="n">
        <v>1767.51</v>
      </c>
      <c r="F37" s="18" t="n">
        <v>1729.47</v>
      </c>
    </row>
    <row r="38">
      <c r="A38" s="17" t="inlineStr">
        <is>
          <t>Other Investing Activities</t>
        </is>
      </c>
      <c r="B38" s="18" t="n">
        <v>-1.9</v>
      </c>
      <c r="C38" s="18" t="n">
        <v>-18.12</v>
      </c>
      <c r="D38" s="18" t="n">
        <v>-2.78</v>
      </c>
      <c r="E38" s="18" t="n">
        <v>-0.1</v>
      </c>
      <c r="F38" s="18" t="n">
        <v>-3.58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1137.23</v>
      </c>
      <c r="C41" s="18" t="n">
        <v>1483.5</v>
      </c>
      <c r="D41" s="18" t="n">
        <v>0</v>
      </c>
      <c r="E41" s="18" t="n">
        <v>-118.69</v>
      </c>
      <c r="F41" s="18" t="n">
        <v>1977.95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14.67</v>
      </c>
      <c r="C43" s="18" t="n">
        <v>0</v>
      </c>
      <c r="D43" s="18" t="n">
        <v>0</v>
      </c>
      <c r="E43" s="18" t="n">
        <v>0</v>
      </c>
      <c r="F43" s="18" t="n">
        <v>0.37</v>
      </c>
    </row>
    <row r="44">
      <c r="A44" s="17" t="inlineStr">
        <is>
          <t>Common Stock Repurchased (Buybacks)</t>
        </is>
      </c>
      <c r="B44" s="18" t="n">
        <v>0</v>
      </c>
      <c r="C44" s="18" t="n">
        <v>-1001.05</v>
      </c>
      <c r="D44" s="18" t="n">
        <v>-189.39</v>
      </c>
      <c r="E44" s="18" t="n">
        <v>-311.07</v>
      </c>
      <c r="F44" s="18" t="n">
        <v>-2745.42</v>
      </c>
    </row>
    <row r="45">
      <c r="A45" s="17" t="inlineStr">
        <is>
          <t>Dividends Paid</t>
        </is>
      </c>
      <c r="B45" s="18" t="n">
        <v>0</v>
      </c>
      <c r="C45" s="18" t="n">
        <v>0</v>
      </c>
      <c r="D45" s="18" t="n">
        <v>0</v>
      </c>
      <c r="E45" s="18" t="n">
        <v>0</v>
      </c>
      <c r="F45" s="18" t="n">
        <v>0</v>
      </c>
    </row>
    <row r="46">
      <c r="A46" s="17" t="inlineStr">
        <is>
          <t>Other Financing Activities</t>
        </is>
      </c>
      <c r="B46" s="18" t="n">
        <v>-86.83</v>
      </c>
      <c r="C46" s="18" t="n">
        <v>-175.73</v>
      </c>
      <c r="D46" s="18" t="n">
        <v>-269.39</v>
      </c>
      <c r="E46" s="18" t="n">
        <v>1.14</v>
      </c>
      <c r="F46" s="18" t="n">
        <v>-81.04000000000001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5" t="inlineStr">
        <is>
          <t>Net Change in Cash</t>
        </is>
      </c>
      <c r="B50" s="16" t="n">
        <v>1448.18</v>
      </c>
      <c r="C50" s="16" t="n">
        <v>-570.95</v>
      </c>
      <c r="D50" s="16" t="n">
        <v>358.69</v>
      </c>
      <c r="E50" s="16" t="n">
        <v>-732.23</v>
      </c>
      <c r="F50" s="16" t="n">
        <v>-18.84</v>
      </c>
    </row>
    <row r="51">
      <c r="A51" s="17" t="inlineStr">
        <is>
          <t>Cash at Beginning of Period</t>
        </is>
      </c>
      <c r="B51" s="18" t="n">
        <v>546.54</v>
      </c>
      <c r="C51" s="18" t="n">
        <v>1994.72</v>
      </c>
      <c r="D51" s="18" t="n">
        <v>1423.78</v>
      </c>
      <c r="E51" s="18" t="n">
        <v>1782.46</v>
      </c>
      <c r="F51" s="18" t="n">
        <v>1050.23</v>
      </c>
    </row>
    <row r="52">
      <c r="A52" s="26" t="inlineStr">
        <is>
          <t>Cash at End of Period</t>
        </is>
      </c>
      <c r="B52" s="27" t="n">
        <v>1994.72</v>
      </c>
      <c r="C52" s="27" t="n">
        <v>1423.78</v>
      </c>
      <c r="D52" s="27" t="n">
        <v>1782.46</v>
      </c>
      <c r="E52" s="27" t="n">
        <v>1050.23</v>
      </c>
      <c r="F52" s="27" t="n">
        <v>1031.4</v>
      </c>
    </row>
    <row r="53">
      <c r="A53" s="26" t="inlineStr">
        <is>
          <t>Free Cash Flow</t>
        </is>
      </c>
      <c r="B53" s="27" t="n">
        <v>223</v>
      </c>
      <c r="C53" s="27" t="n">
        <v>55.31</v>
      </c>
      <c r="D53" s="27" t="n">
        <v>34.79</v>
      </c>
      <c r="E53" s="27" t="n">
        <v>218.65</v>
      </c>
      <c r="F53" s="27" t="n">
        <v>437.19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SNAP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1559</v>
      </c>
      <c r="C61" s="18" t="n">
        <v>1608.3</v>
      </c>
      <c r="D61" s="18" t="n">
        <v>1612.5</v>
      </c>
      <c r="E61" s="18" t="n">
        <v>1659.15</v>
      </c>
      <c r="F61" s="18" t="n">
        <v>1720.35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SNAP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</row>
    <row r="5">
      <c r="A5" s="17" t="inlineStr">
        <is>
          <t>data</t>
        </is>
      </c>
      <c r="B5" s="18" t="n">
        <v>5186.08</v>
      </c>
      <c r="C5" s="18" t="n">
        <v>5361.4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SNAP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9670.961588</v>
      </c>
      <c r="C5" s="44" t="inlineStr">
        <is>
          <t>FMP marketCap  |  price $5.715</t>
        </is>
      </c>
    </row>
    <row r="6">
      <c r="A6" s="17" t="inlineStr">
        <is>
          <t>Debt  (gross book value, $mm)</t>
        </is>
      </c>
      <c r="B6" s="43" t="n">
        <v>4094.652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1.055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1.037</v>
      </c>
      <c r="C17" s="44" t="inlineStr">
        <is>
          <t>Mean-reversion toward market beta of 1.0</t>
        </is>
      </c>
    </row>
    <row r="18">
      <c r="A18" s="17" t="inlineStr">
        <is>
          <t>Damodaran industry unlevered  (Internet Content &amp; Information)</t>
        </is>
      </c>
      <c r="B18" s="50" t="n">
        <v>1.12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0.42x,  t = 4.0%)</t>
        </is>
      </c>
      <c r="B19" s="50" t="n">
        <v>1.575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1.222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6</v>
      </c>
      <c r="C33" s="44" t="inlineStr">
        <is>
          <t>EBIT $532mm  /  Int Exp $89mm</t>
        </is>
      </c>
    </row>
    <row r="34">
      <c r="A34" s="17" t="inlineStr">
        <is>
          <t>Synthetic rating  (Damodaran ICR table)</t>
        </is>
      </c>
      <c r="B34" s="53" t="inlineStr">
        <is>
          <t>A-</t>
        </is>
      </c>
      <c r="C34" s="44" t="inlineStr">
        <is>
          <t>ICR 6.0x  →  A-</t>
        </is>
      </c>
    </row>
    <row r="35">
      <c r="A35" s="17" t="inlineStr">
        <is>
          <t>Synthetic Rd  (Rf + Damodaran default spread)</t>
        </is>
      </c>
      <c r="B35" s="46" t="n">
        <v>0.05890000000000001</v>
      </c>
      <c r="C35" s="44" t="inlineStr">
        <is>
          <t>Rf 4.57% + spread 1.32%</t>
        </is>
      </c>
    </row>
    <row r="36">
      <c r="A36" s="17" t="inlineStr">
        <is>
          <t>Accounting Rd  (Gross int exp / Avg gross debt)</t>
        </is>
      </c>
      <c r="B36" s="46" t="n">
        <v>0.0230016329867194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$45mm  (int inc $134mm &gt; int exp $89mm)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0.041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0.04</v>
      </c>
      <c r="C41" s="44" t="inlineStr">
        <is>
          <t>FMP: $18mm  /  $443mm</t>
        </is>
      </c>
    </row>
    <row r="42">
      <c r="A42" s="47" t="inlineStr">
        <is>
          <t>► Selected tax rate  (user override)</t>
        </is>
      </c>
      <c r="B42" s="48" t="n">
        <v>0.04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SNAP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0.1293</v>
      </c>
      <c r="H7" s="71" t="n">
        <v>0.0985</v>
      </c>
      <c r="I7" s="71" t="n">
        <v>0.0829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-0.1396</v>
      </c>
      <c r="H8" s="71" t="n">
        <v>-0.1396</v>
      </c>
      <c r="I8" s="71" t="n">
        <v>-0.1396</v>
      </c>
      <c r="J8" s="72">
        <f>I8</f>
        <v/>
      </c>
      <c r="K8" s="72">
        <f>I8</f>
        <v/>
      </c>
      <c r="L8" s="73" t="n">
        <v>-0.0285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6698.1</v>
      </c>
      <c r="H15" s="77" t="n">
        <v>7358</v>
      </c>
      <c r="I15" s="77" t="n">
        <v>7968.2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6,539 — 7,265</t>
        </is>
      </c>
      <c r="H16" s="82" t="inlineStr">
        <is>
          <t>6,902 — 8,528</t>
        </is>
      </c>
      <c r="I16" s="82" t="inlineStr">
        <is>
          <t>7,966 — 7,970</t>
        </is>
      </c>
      <c r="J16" s="82" t="inlineStr">
        <is>
          <t>8,165 — 9,094</t>
        </is>
      </c>
      <c r="K16" s="82" t="inlineStr">
        <is>
          <t>8,663 — 9,648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31</v>
      </c>
      <c r="H17" s="84" t="n">
        <v>31</v>
      </c>
      <c r="I17" s="84" t="n">
        <v>24</v>
      </c>
      <c r="J17" s="84" t="n">
        <v>23</v>
      </c>
      <c r="K17" s="84" t="n">
        <v>15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-934.9</v>
      </c>
      <c r="H20" s="77" t="n">
        <v>-1027</v>
      </c>
      <c r="I20" s="77" t="n">
        <v>-1112.1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-1,014 — -913</t>
        </is>
      </c>
      <c r="H21" s="82" t="inlineStr">
        <is>
          <t>-1,190 — -963</t>
        </is>
      </c>
      <c r="I21" s="82" t="inlineStr">
        <is>
          <t>-1,112 — -1,112</t>
        </is>
      </c>
      <c r="J21" s="82" t="inlineStr">
        <is>
          <t>-1,269 — -1,140</t>
        </is>
      </c>
      <c r="K21" s="82" t="inlineStr">
        <is>
          <t>-1,347 — -1,209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WACC!B45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0.03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MEDIUM (9.0%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15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MEDIUM (9.0%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1720.3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5.71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SNAP  |  Master Prompt v2  |  24 May 2026  |  Sector bucket: Tech Growth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0.075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0.2</v>
      </c>
      <c r="D9" s="129" t="inlineStr">
        <is>
          <t>GM 55.0% ✓ (&gt;40%)  |  GM trend -5.6% ✗ (&gt;+1pp)  |  ROIC-WACC +2.6% ✗ (&gt;+5pp)  |  Rev consistency σ=6.0% ✓ (&lt;8%)  [2/4 indicators positive — proxy score]</t>
        </is>
      </c>
      <c r="E9" s="130" t="inlineStr">
        <is>
          <t>MOD-LOW</t>
        </is>
      </c>
      <c r="F9" s="131" t="n">
        <v>5</v>
      </c>
      <c r="G9" s="132">
        <f>IF(F9="",0,C9*F9*10)</f>
        <v/>
      </c>
      <c r="H9" s="133" t="inlineStr">
        <is>
          <t>GM 55.0% ✓ (&gt;40%)  |  GM trend -5.6% ✗ (&gt;+1pp)  |  ROIC-WACC +2.6% ✗ (&gt;+5pp)  |  Rev consistency σ=6.0% ✓ (&lt;8%)  [2/4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0.25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0.125</v>
      </c>
      <c r="D11" s="129" t="inlineStr">
        <is>
          <t>ROIC trend -18.3% ✗ (&gt;=-2pp)  |  GM maintained -5.6% ✗  |  Op margin -21.3% ✗ (≥-2pp)  |  Capital returns MOD-LOW ✗  |  Share count +2.3%/yr ✗ (≤+2%/yr)  |  Goodwill/Equity 75% ✗ (&lt;40%)  [0/6 indicators positive — proxy score]</t>
        </is>
      </c>
      <c r="E11" s="134" t="inlineStr">
        <is>
          <t>LOW</t>
        </is>
      </c>
      <c r="F11" s="131" t="n">
        <v>0</v>
      </c>
      <c r="G11" s="132">
        <f>IF(F11="",0,C11*F11*10)</f>
        <v/>
      </c>
      <c r="H11" s="133" t="inlineStr">
        <is>
          <t>ROIC trend -18.3% ✗ (&gt;=-2pp)  |  GM maintained -5.6% ✗  |  Op margin -21.3% ✗ (≥-2pp)  |  Capital returns MOD-LOW ✗  |  Share count +2.3%/yr ✗ (≤+2%/yr)  |  Goodwill/Equity 75% ✗ (&lt;40%)  [0/6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0.25</v>
      </c>
      <c r="D13" s="129" t="inlineStr">
        <is>
          <t>8.8%</t>
        </is>
      </c>
      <c r="E13" s="130" t="inlineStr">
        <is>
          <t>MOD-LOW</t>
        </is>
      </c>
      <c r="F13" s="131" t="n">
        <v>5.83</v>
      </c>
      <c r="G13" s="132">
        <f>IF(F13="",0,C13*F13*10)</f>
        <v/>
      </c>
      <c r="H13" s="133" t="inlineStr">
        <is>
          <t>8.8%</t>
        </is>
      </c>
    </row>
    <row r="14" ht="18" customHeight="1">
      <c r="A14" s="25" t="inlineStr">
        <is>
          <t>PART 3 — RISK PROFILE  (quantitative / qualitative)</t>
        </is>
      </c>
    </row>
    <row r="15" ht="18" customHeight="1">
      <c r="A15" s="126" t="inlineStr">
        <is>
          <t xml:space="preserve">  Credit Risk  (D / EBITDA)</t>
        </is>
      </c>
      <c r="B15" s="127" t="inlineStr">
        <is>
          <t>P3</t>
        </is>
      </c>
      <c r="C15" s="128" t="n">
        <v>0.05</v>
      </c>
      <c r="D15" s="129" t="inlineStr">
        <is>
          <t>N/A</t>
        </is>
      </c>
      <c r="E15" s="122" t="n"/>
      <c r="F15" s="131" t="n">
        <v>0</v>
      </c>
      <c r="G15" s="132">
        <f>IF(F15="",0,C15*F15*10)</f>
        <v/>
      </c>
      <c r="H15" s="133" t="inlineStr">
        <is>
          <t>N/A</t>
        </is>
      </c>
    </row>
    <row r="16" ht="18" customHeight="1">
      <c r="A16" s="126" t="inlineStr">
        <is>
          <t xml:space="preserve">  Execution Risk</t>
        </is>
      </c>
      <c r="B16" s="127" t="inlineStr">
        <is>
          <t>P3</t>
        </is>
      </c>
      <c r="C16" s="128" t="n">
        <v>0.05</v>
      </c>
      <c r="D16" s="129" t="inlineStr">
        <is>
          <t>Rev growth σ=6.0%  |  OM trend -8.1%, σ=8.6%  [quality = direction + stability]</t>
        </is>
      </c>
      <c r="E16" s="130" t="inlineStr">
        <is>
          <t>MOD-LOW</t>
        </is>
      </c>
      <c r="F16" s="131" t="n">
        <v>3.33</v>
      </c>
      <c r="G16" s="132">
        <f>IF(F16="",0,C16*F16*10)</f>
        <v/>
      </c>
      <c r="H16" s="133" t="inlineStr">
        <is>
          <t>Rev growth σ=6.0%  |  OM trend -8.1%, σ=8.6%  [quality = direction + stability]</t>
        </is>
      </c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</row>
    <row r="18" ht="20" customHeight="1">
      <c r="A18" s="135" t="inlineStr">
        <is>
          <t>TOTAL SCORE  (max = 100.0)</t>
        </is>
      </c>
      <c r="B18" s="136" t="n"/>
      <c r="C18" s="136" t="n"/>
      <c r="D18" s="136" t="n"/>
      <c r="E18" s="136" t="n"/>
      <c r="F18" s="136" t="n"/>
      <c r="G18" s="137">
        <f>G8+G9+G10+G11+G13+G15+G16</f>
        <v/>
      </c>
      <c r="H18" s="138" t="inlineStr">
        <is>
          <t>No floor cap.</t>
        </is>
      </c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</row>
    <row r="20" ht="24" customHeight="1">
      <c r="A20" s="139">
        <f>IF(G18="","Score incomplete — fill qualitative tiers above",IF(G18&gt;=80,"STRONG BUY",IF(G18&gt;=65,"BUY",IF(G18&gt;=50,"HOLD",IF(G18&gt;=35,"REDUCE","SELL")))))</f>
        <v/>
      </c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</row>
    <row r="22" ht="18" customHeight="1">
      <c r="A22" s="140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8">
    <mergeCell ref="A12:H12"/>
    <mergeCell ref="A4:H4"/>
    <mergeCell ref="A7:H7"/>
    <mergeCell ref="A20:H20"/>
    <mergeCell ref="A2:H2"/>
    <mergeCell ref="A14:H14"/>
    <mergeCell ref="A1:H1"/>
    <mergeCell ref="A22:H22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2026-05-24T11:16:41Z</dcterms:created>
  <dcterms:modified xmlns:dcterms="http://purl.org/dc/terms/" xmlns:xsi="http://www.w3.org/2001/XMLSchema-instance" xsi:type="dcterms:W3CDTF">2026-05-24T11:16:56Z</dcterms:modified>
</cp:coreProperties>
</file>