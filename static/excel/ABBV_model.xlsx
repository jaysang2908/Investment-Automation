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33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3" fillId="21" borderId="1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ABBV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61160</v>
      </c>
    </row>
    <row r="8">
      <c r="A8" s="3" t="inlineStr">
        <is>
          <t>Gross Profit ($mm)</t>
        </is>
      </c>
      <c r="B8" s="7" t="n">
        <v>42956</v>
      </c>
    </row>
    <row r="9">
      <c r="A9" s="3" t="inlineStr">
        <is>
          <t>EBITDA ($mm)</t>
        </is>
      </c>
      <c r="B9" s="7" t="n">
        <v>17629</v>
      </c>
    </row>
    <row r="10">
      <c r="A10" s="3" t="inlineStr">
        <is>
          <t>EBIT ($mm)</t>
        </is>
      </c>
      <c r="B10" s="7" t="n">
        <v>20091</v>
      </c>
    </row>
    <row r="11">
      <c r="A11" s="3" t="inlineStr">
        <is>
          <t>Net Income ($mm)</t>
        </is>
      </c>
      <c r="B11" s="7" t="n">
        <v>4226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56197</v>
      </c>
      <c r="C5" s="16" t="n">
        <v>58054</v>
      </c>
      <c r="D5" s="16" t="n">
        <v>54318</v>
      </c>
      <c r="E5" s="16" t="n">
        <v>56334</v>
      </c>
      <c r="F5" s="16" t="n">
        <v>61160</v>
      </c>
    </row>
    <row r="6">
      <c r="A6" s="17" t="inlineStr">
        <is>
          <t>(2)  Cost of Revenue (COGS)</t>
        </is>
      </c>
      <c r="B6" s="18" t="n">
        <v>17446</v>
      </c>
      <c r="C6" s="18" t="n">
        <v>17414</v>
      </c>
      <c r="D6" s="18" t="n">
        <v>20415</v>
      </c>
      <c r="E6" s="18" t="n">
        <v>16904</v>
      </c>
      <c r="F6" s="18" t="n">
        <v>18204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12349</v>
      </c>
      <c r="C9" s="18" t="n">
        <v>15260</v>
      </c>
      <c r="D9" s="18" t="n">
        <v>12872</v>
      </c>
      <c r="E9" s="18" t="n">
        <v>14752</v>
      </c>
      <c r="F9" s="18" t="n">
        <v>14010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20827</v>
      </c>
      <c r="C11" s="18" t="n">
        <v>22523</v>
      </c>
      <c r="D11" s="18" t="n">
        <v>21146</v>
      </c>
      <c r="E11" s="18" t="n">
        <v>30293</v>
      </c>
      <c r="F11" s="18" t="n">
        <v>22865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8521</v>
      </c>
      <c r="C14" s="18" t="n">
        <v>8467</v>
      </c>
      <c r="D14" s="18" t="n">
        <v>8698</v>
      </c>
      <c r="E14" s="18" t="n">
        <v>8386</v>
      </c>
      <c r="F14" s="18" t="n">
        <v>8139</v>
      </c>
    </row>
    <row r="15">
      <c r="A15" s="19" t="inlineStr">
        <is>
          <t>(8)  EBIT (Operating Income)</t>
        </is>
      </c>
      <c r="B15" s="24" t="n">
        <v>17924</v>
      </c>
      <c r="C15" s="24" t="n">
        <v>18117</v>
      </c>
      <c r="D15" s="24" t="n">
        <v>12757</v>
      </c>
      <c r="E15" s="24" t="n">
        <v>9137</v>
      </c>
      <c r="F15" s="24" t="n">
        <v>20091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2423</v>
      </c>
      <c r="C17" s="18" t="n">
        <v>2230</v>
      </c>
      <c r="D17" s="18" t="n">
        <v>2224</v>
      </c>
      <c r="E17" s="18" t="n">
        <v>2808</v>
      </c>
      <c r="F17" s="18" t="n">
        <v>2893</v>
      </c>
    </row>
    <row r="18">
      <c r="A18" s="21" t="inlineStr">
        <is>
          <t xml:space="preserve">     Interest Income</t>
        </is>
      </c>
      <c r="B18" s="18" t="n">
        <v>39</v>
      </c>
      <c r="C18" s="18" t="n">
        <v>186</v>
      </c>
      <c r="D18" s="18" t="n">
        <v>540</v>
      </c>
      <c r="E18" s="18" t="n">
        <v>648</v>
      </c>
      <c r="F18" s="18" t="n">
        <v>266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12989</v>
      </c>
      <c r="C21" s="24" t="n">
        <v>13477</v>
      </c>
      <c r="D21" s="24" t="n">
        <v>6250</v>
      </c>
      <c r="E21" s="24" t="n">
        <v>3716</v>
      </c>
      <c r="F21" s="24" t="n">
        <v>6597</v>
      </c>
    </row>
    <row r="22">
      <c r="A22" s="17" t="inlineStr">
        <is>
          <t>(11) Income Tax Expense</t>
        </is>
      </c>
      <c r="B22" s="18" t="n">
        <v>1440</v>
      </c>
      <c r="C22" s="18" t="n">
        <v>1632</v>
      </c>
      <c r="D22" s="18" t="n">
        <v>1377</v>
      </c>
      <c r="E22" s="18" t="n">
        <v>-570</v>
      </c>
      <c r="F22" s="18" t="n">
        <v>2364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11542</v>
      </c>
      <c r="C24" s="24" t="n">
        <v>11836</v>
      </c>
      <c r="D24" s="24" t="n">
        <v>4863</v>
      </c>
      <c r="E24" s="24" t="n">
        <v>4278</v>
      </c>
      <c r="F24" s="24" t="n">
        <v>4226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56197</v>
      </c>
      <c r="C30" s="16" t="n">
        <v>58054</v>
      </c>
      <c r="D30" s="16" t="n">
        <v>54318</v>
      </c>
      <c r="E30" s="16" t="n">
        <v>56334</v>
      </c>
      <c r="F30" s="16" t="n">
        <v>61160</v>
      </c>
    </row>
    <row r="31">
      <c r="A31" s="17" t="inlineStr">
        <is>
          <t>Cost of Revenue</t>
        </is>
      </c>
      <c r="B31" s="18" t="n">
        <v>17446</v>
      </c>
      <c r="C31" s="18" t="n">
        <v>17414</v>
      </c>
      <c r="D31" s="18" t="n">
        <v>20415</v>
      </c>
      <c r="E31" s="18" t="n">
        <v>16904</v>
      </c>
      <c r="F31" s="18" t="n">
        <v>18204</v>
      </c>
    </row>
    <row r="32">
      <c r="A32" s="26" t="inlineStr">
        <is>
          <t>Gross Profit</t>
        </is>
      </c>
      <c r="B32" s="27" t="n">
        <v>38751</v>
      </c>
      <c r="C32" s="27" t="n">
        <v>40640</v>
      </c>
      <c r="D32" s="27" t="n">
        <v>33903</v>
      </c>
      <c r="E32" s="27" t="n">
        <v>39430</v>
      </c>
      <c r="F32" s="27" t="n">
        <v>42956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8046</v>
      </c>
      <c r="C34" s="18" t="n">
        <v>6510</v>
      </c>
      <c r="D34" s="18" t="n">
        <v>7675</v>
      </c>
      <c r="E34" s="18" t="n">
        <v>12791</v>
      </c>
      <c r="F34" s="18" t="n">
        <v>9096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12349</v>
      </c>
      <c r="C37" s="18" t="n">
        <v>15260</v>
      </c>
      <c r="D37" s="18" t="n">
        <v>12872</v>
      </c>
      <c r="E37" s="18" t="n">
        <v>14752</v>
      </c>
      <c r="F37" s="18" t="n">
        <v>14010</v>
      </c>
    </row>
    <row r="38">
      <c r="A38" s="17" t="inlineStr">
        <is>
          <t>Other Expenses</t>
        </is>
      </c>
      <c r="B38" s="18" t="n">
        <v>432</v>
      </c>
      <c r="C38" s="18" t="n">
        <v>753</v>
      </c>
      <c r="D38" s="18" t="n">
        <v>599</v>
      </c>
      <c r="E38" s="18" t="n">
        <v>2750</v>
      </c>
      <c r="F38" s="18" t="n">
        <v>-241</v>
      </c>
    </row>
    <row r="39">
      <c r="A39" s="26" t="inlineStr">
        <is>
          <t>Total Operating Expenses</t>
        </is>
      </c>
      <c r="B39" s="27" t="n">
        <v>20827</v>
      </c>
      <c r="C39" s="27" t="n">
        <v>22523</v>
      </c>
      <c r="D39" s="27" t="n">
        <v>21146</v>
      </c>
      <c r="E39" s="27" t="n">
        <v>30293</v>
      </c>
      <c r="F39" s="27" t="n">
        <v>22865</v>
      </c>
    </row>
    <row r="40">
      <c r="A40" s="17" t="inlineStr">
        <is>
          <t>Cost &amp; Expenses (COGS + Opex)</t>
        </is>
      </c>
      <c r="B40" s="18" t="n">
        <v>38273</v>
      </c>
      <c r="C40" s="18" t="n">
        <v>39937</v>
      </c>
      <c r="D40" s="18" t="n">
        <v>41561</v>
      </c>
      <c r="E40" s="18" t="n">
        <v>47197</v>
      </c>
      <c r="F40" s="18" t="n">
        <v>41069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17924</v>
      </c>
      <c r="C42" s="16" t="n">
        <v>18117</v>
      </c>
      <c r="D42" s="16" t="n">
        <v>12757</v>
      </c>
      <c r="E42" s="16" t="n">
        <v>9137</v>
      </c>
      <c r="F42" s="16" t="n">
        <v>20091</v>
      </c>
    </row>
    <row r="43">
      <c r="A43" s="17" t="inlineStr">
        <is>
          <t>EBIT (FMP field)</t>
        </is>
      </c>
      <c r="B43" s="18" t="n">
        <v>15412</v>
      </c>
      <c r="C43" s="18" t="n">
        <v>15707</v>
      </c>
      <c r="D43" s="18" t="n">
        <v>8474</v>
      </c>
      <c r="E43" s="18" t="n">
        <v>6524</v>
      </c>
      <c r="F43" s="18" t="n">
        <v>9490</v>
      </c>
    </row>
    <row r="44">
      <c r="A44" s="26" t="inlineStr">
        <is>
          <t>EBITDA</t>
        </is>
      </c>
      <c r="B44" s="27" t="n">
        <v>23933</v>
      </c>
      <c r="C44" s="27" t="n">
        <v>24174</v>
      </c>
      <c r="D44" s="27" t="n">
        <v>17172</v>
      </c>
      <c r="E44" s="27" t="n">
        <v>14910</v>
      </c>
      <c r="F44" s="27" t="n">
        <v>17629</v>
      </c>
    </row>
    <row r="45">
      <c r="A45" s="17" t="inlineStr">
        <is>
          <t>Depreciation &amp; Amortisation</t>
        </is>
      </c>
      <c r="B45" s="18" t="n">
        <v>8521</v>
      </c>
      <c r="C45" s="18" t="n">
        <v>8467</v>
      </c>
      <c r="D45" s="18" t="n">
        <v>8698</v>
      </c>
      <c r="E45" s="18" t="n">
        <v>8386</v>
      </c>
      <c r="F45" s="18" t="n">
        <v>8139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39</v>
      </c>
      <c r="C47" s="18" t="n">
        <v>186</v>
      </c>
      <c r="D47" s="18" t="n">
        <v>540</v>
      </c>
      <c r="E47" s="18" t="n">
        <v>648</v>
      </c>
      <c r="F47" s="18" t="n">
        <v>266</v>
      </c>
    </row>
    <row r="48">
      <c r="A48" s="17" t="inlineStr">
        <is>
          <t>Interest Expense</t>
        </is>
      </c>
      <c r="B48" s="18" t="n">
        <v>2423</v>
      </c>
      <c r="C48" s="18" t="n">
        <v>2230</v>
      </c>
      <c r="D48" s="18" t="n">
        <v>2224</v>
      </c>
      <c r="E48" s="18" t="n">
        <v>2808</v>
      </c>
      <c r="F48" s="18" t="n">
        <v>2893</v>
      </c>
    </row>
    <row r="49">
      <c r="A49" s="17" t="inlineStr">
        <is>
          <t>Net Interest Income</t>
        </is>
      </c>
      <c r="B49" s="18" t="n">
        <v>-2384</v>
      </c>
      <c r="C49" s="18" t="n">
        <v>-2044</v>
      </c>
      <c r="D49" s="18" t="n">
        <v>-1684</v>
      </c>
      <c r="E49" s="18" t="n">
        <v>-2160</v>
      </c>
      <c r="F49" s="18" t="n">
        <v>-2627</v>
      </c>
    </row>
    <row r="50">
      <c r="A50" s="17" t="inlineStr">
        <is>
          <t>Non-Operating Income (ex-interest)</t>
        </is>
      </c>
      <c r="B50" s="18" t="n">
        <v>2512</v>
      </c>
      <c r="C50" s="18" t="n">
        <v>2410</v>
      </c>
      <c r="D50" s="18" t="n">
        <v>4283</v>
      </c>
      <c r="E50" s="18" t="n">
        <v>2613</v>
      </c>
      <c r="F50" s="18" t="n">
        <v>10601</v>
      </c>
    </row>
    <row r="51">
      <c r="A51" s="17" t="inlineStr">
        <is>
          <t>Total Other Income / (Expenses)</t>
        </is>
      </c>
      <c r="B51" s="18" t="n">
        <v>-4935</v>
      </c>
      <c r="C51" s="18" t="n">
        <v>-4640</v>
      </c>
      <c r="D51" s="18" t="n">
        <v>-6507</v>
      </c>
      <c r="E51" s="18" t="n">
        <v>-5421</v>
      </c>
      <c r="F51" s="18" t="n">
        <v>-13494</v>
      </c>
    </row>
    <row r="52">
      <c r="A52" s="26" t="inlineStr">
        <is>
          <t>EBT / Income Before Tax</t>
        </is>
      </c>
      <c r="B52" s="27" t="n">
        <v>12989</v>
      </c>
      <c r="C52" s="27" t="n">
        <v>13477</v>
      </c>
      <c r="D52" s="27" t="n">
        <v>6250</v>
      </c>
      <c r="E52" s="27" t="n">
        <v>3716</v>
      </c>
      <c r="F52" s="27" t="n">
        <v>6597</v>
      </c>
    </row>
    <row r="53">
      <c r="A53" s="17" t="inlineStr">
        <is>
          <t>Income Tax Expense</t>
        </is>
      </c>
      <c r="B53" s="18" t="n">
        <v>1440</v>
      </c>
      <c r="C53" s="18" t="n">
        <v>1632</v>
      </c>
      <c r="D53" s="18" t="n">
        <v>1377</v>
      </c>
      <c r="E53" s="18" t="n">
        <v>-570</v>
      </c>
      <c r="F53" s="18" t="n">
        <v>2364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11549</v>
      </c>
      <c r="C55" s="18" t="n">
        <v>11845</v>
      </c>
      <c r="D55" s="18" t="n">
        <v>4873</v>
      </c>
      <c r="E55" s="18" t="n">
        <v>4286</v>
      </c>
      <c r="F55" s="18" t="n">
        <v>4233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11542</v>
      </c>
      <c r="C59" s="27" t="n">
        <v>11836</v>
      </c>
      <c r="D59" s="27" t="n">
        <v>4863</v>
      </c>
      <c r="E59" s="27" t="n">
        <v>4278</v>
      </c>
      <c r="F59" s="27" t="n">
        <v>4226</v>
      </c>
    </row>
    <row r="60">
      <c r="A60" s="15" t="inlineStr">
        <is>
          <t>Bottom Line Net Income</t>
        </is>
      </c>
      <c r="B60" s="16" t="n">
        <v>11468</v>
      </c>
      <c r="C60" s="16" t="n">
        <v>11782</v>
      </c>
      <c r="D60" s="16" t="n">
        <v>4820</v>
      </c>
      <c r="E60" s="16" t="n">
        <v>4238</v>
      </c>
      <c r="F60" s="16" t="n">
        <v>4196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6.48</v>
      </c>
      <c r="C62" s="18" t="n">
        <v>6.65</v>
      </c>
      <c r="D62" s="18" t="n">
        <v>2.73</v>
      </c>
      <c r="E62" s="18" t="n">
        <v>2.4</v>
      </c>
      <c r="F62" s="18" t="n">
        <v>2.37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1770</v>
      </c>
      <c r="C64" s="18" t="n">
        <v>1771</v>
      </c>
      <c r="D64" s="18" t="n">
        <v>1768</v>
      </c>
      <c r="E64" s="18" t="n">
        <v>1769</v>
      </c>
      <c r="F64" s="18" t="n">
        <v>1780.39</v>
      </c>
    </row>
    <row r="65">
      <c r="A65" s="17" t="inlineStr">
        <is>
          <t>Shares Outstanding — Diluted (mm)</t>
        </is>
      </c>
      <c r="B65" s="18" t="n">
        <v>1777</v>
      </c>
      <c r="C65" s="18" t="n">
        <v>1778</v>
      </c>
      <c r="D65" s="18" t="n">
        <v>1773</v>
      </c>
      <c r="E65" s="18" t="n">
        <v>1773</v>
      </c>
      <c r="F65" s="18" t="n">
        <v>1774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9746</v>
      </c>
      <c r="C5" s="18" t="n">
        <v>9201</v>
      </c>
      <c r="D5" s="18" t="n">
        <v>12814</v>
      </c>
      <c r="E5" s="18" t="n">
        <v>5524</v>
      </c>
      <c r="F5" s="18" t="n">
        <v>5229</v>
      </c>
    </row>
    <row r="6">
      <c r="A6" s="17" t="inlineStr">
        <is>
          <t>(2)  Receivables</t>
        </is>
      </c>
      <c r="B6" s="18" t="n">
        <v>9977</v>
      </c>
      <c r="C6" s="18" t="n">
        <v>11254</v>
      </c>
      <c r="D6" s="18" t="n">
        <v>11155</v>
      </c>
      <c r="E6" s="18" t="n">
        <v>10919</v>
      </c>
      <c r="F6" s="18" t="n">
        <v>12589</v>
      </c>
    </row>
    <row r="7">
      <c r="A7" s="17" t="inlineStr">
        <is>
          <t>(3)  Inventory</t>
        </is>
      </c>
      <c r="B7" s="18" t="n">
        <v>3128</v>
      </c>
      <c r="C7" s="18" t="n">
        <v>3579</v>
      </c>
      <c r="D7" s="18" t="n">
        <v>4099</v>
      </c>
      <c r="E7" s="18" t="n">
        <v>4181</v>
      </c>
      <c r="F7" s="18" t="n">
        <v>4951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27928</v>
      </c>
      <c r="C9" s="24" t="n">
        <v>28463</v>
      </c>
      <c r="D9" s="24" t="n">
        <v>33002</v>
      </c>
      <c r="E9" s="24" t="n">
        <v>25582</v>
      </c>
      <c r="F9" s="24" t="n">
        <v>29062</v>
      </c>
    </row>
    <row r="10">
      <c r="A10" s="17" t="inlineStr">
        <is>
          <t>(6)  PP&amp;E (Net)</t>
        </is>
      </c>
      <c r="B10" s="18" t="n">
        <v>5110</v>
      </c>
      <c r="C10" s="18" t="n">
        <v>4935</v>
      </c>
      <c r="D10" s="18" t="n">
        <v>4989</v>
      </c>
      <c r="E10" s="18" t="n">
        <v>5134</v>
      </c>
      <c r="F10" s="18" t="n">
        <v>6365</v>
      </c>
    </row>
    <row r="11">
      <c r="A11" s="17" t="inlineStr">
        <is>
          <t>(7)  Goodwill</t>
        </is>
      </c>
      <c r="B11" s="18" t="n">
        <v>32379</v>
      </c>
      <c r="C11" s="18" t="n">
        <v>32156</v>
      </c>
      <c r="D11" s="18" t="n">
        <v>32293</v>
      </c>
      <c r="E11" s="18" t="n">
        <v>34956</v>
      </c>
      <c r="F11" s="18" t="n">
        <v>35640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118601</v>
      </c>
      <c r="C14" s="24" t="n">
        <v>110342</v>
      </c>
      <c r="D14" s="24" t="n">
        <v>101709</v>
      </c>
      <c r="E14" s="24" t="n">
        <v>109579</v>
      </c>
      <c r="F14" s="24" t="n">
        <v>104898</v>
      </c>
    </row>
    <row r="15">
      <c r="A15" s="19" t="inlineStr">
        <is>
          <t>(11) Total Assets</t>
        </is>
      </c>
      <c r="B15" s="24" t="n">
        <v>146529</v>
      </c>
      <c r="C15" s="24" t="n">
        <v>138805</v>
      </c>
      <c r="D15" s="24" t="n">
        <v>134711</v>
      </c>
      <c r="E15" s="24" t="n">
        <v>135161</v>
      </c>
      <c r="F15" s="24" t="n">
        <v>133960</v>
      </c>
    </row>
    <row r="16" ht="6" customHeight="1"/>
    <row r="17">
      <c r="A17" s="17" t="inlineStr">
        <is>
          <t>(12) Accounts Payable</t>
        </is>
      </c>
      <c r="B17" s="18" t="n">
        <v>2882</v>
      </c>
      <c r="C17" s="18" t="n">
        <v>2934</v>
      </c>
      <c r="D17" s="18" t="n">
        <v>3688</v>
      </c>
      <c r="E17" s="18" t="n">
        <v>2945</v>
      </c>
      <c r="F17" s="18" t="n">
        <v>3592</v>
      </c>
    </row>
    <row r="18">
      <c r="A18" s="17" t="inlineStr">
        <is>
          <t>(13) Short-Term Borrowings</t>
        </is>
      </c>
      <c r="B18" s="18" t="n">
        <v>12673</v>
      </c>
      <c r="C18" s="18" t="n">
        <v>4302</v>
      </c>
      <c r="D18" s="18" t="n">
        <v>7191</v>
      </c>
      <c r="E18" s="18" t="n">
        <v>6804</v>
      </c>
      <c r="F18" s="18" t="n">
        <v>8749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35194</v>
      </c>
      <c r="C21" s="24" t="n">
        <v>29538</v>
      </c>
      <c r="D21" s="24" t="n">
        <v>37841</v>
      </c>
      <c r="E21" s="24" t="n">
        <v>38749</v>
      </c>
      <c r="F21" s="24" t="n">
        <v>43289</v>
      </c>
    </row>
    <row r="22">
      <c r="A22" s="17" t="inlineStr">
        <is>
          <t>(17) Long-Term Debt</t>
        </is>
      </c>
      <c r="B22" s="18" t="n">
        <v>64164</v>
      </c>
      <c r="C22" s="18" t="n">
        <v>59118</v>
      </c>
      <c r="D22" s="18" t="n">
        <v>52167</v>
      </c>
      <c r="E22" s="18" t="n">
        <v>60340</v>
      </c>
      <c r="F22" s="18" t="n">
        <v>59608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131093</v>
      </c>
      <c r="C25" s="24" t="n">
        <v>121518</v>
      </c>
      <c r="D25" s="24" t="n">
        <v>124314</v>
      </c>
      <c r="E25" s="24" t="n">
        <v>131797</v>
      </c>
      <c r="F25" s="24" t="n">
        <v>137188</v>
      </c>
    </row>
    <row r="26" ht="6" customHeight="1"/>
    <row r="27">
      <c r="A27" s="17" t="inlineStr">
        <is>
          <t>(21) Common Stock &amp; APIC</t>
        </is>
      </c>
      <c r="B27" s="18" t="n">
        <v>18</v>
      </c>
      <c r="C27" s="18" t="n">
        <v>18</v>
      </c>
      <c r="D27" s="18" t="n">
        <v>18</v>
      </c>
      <c r="E27" s="18" t="n">
        <v>18</v>
      </c>
      <c r="F27" s="18" t="n">
        <v>18</v>
      </c>
    </row>
    <row r="28">
      <c r="A28" s="17" t="inlineStr">
        <is>
          <t>(22) Retained Earnings</t>
        </is>
      </c>
      <c r="B28" s="18" t="n">
        <v>3127</v>
      </c>
      <c r="C28" s="18" t="n">
        <v>4784</v>
      </c>
      <c r="D28" s="18" t="n">
        <v>-1000</v>
      </c>
      <c r="E28" s="18" t="n">
        <v>-7900</v>
      </c>
      <c r="F28" s="18" t="n">
        <v>-15493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15408</v>
      </c>
      <c r="C30" s="24" t="n">
        <v>17254</v>
      </c>
      <c r="D30" s="24" t="n">
        <v>10360</v>
      </c>
      <c r="E30" s="24" t="n">
        <v>3325</v>
      </c>
      <c r="F30" s="24" t="n">
        <v>-3270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9746</v>
      </c>
      <c r="C36" s="18" t="n">
        <v>9201</v>
      </c>
      <c r="D36" s="18" t="n">
        <v>12814</v>
      </c>
      <c r="E36" s="18" t="n">
        <v>5524</v>
      </c>
      <c r="F36" s="18" t="n">
        <v>5229</v>
      </c>
    </row>
    <row r="37">
      <c r="A37" s="17" t="inlineStr">
        <is>
          <t>Short-Term Investments</t>
        </is>
      </c>
      <c r="B37" s="18" t="n">
        <v>84</v>
      </c>
      <c r="C37" s="18" t="n">
        <v>28</v>
      </c>
      <c r="D37" s="18" t="n">
        <v>2</v>
      </c>
      <c r="E37" s="18" t="n">
        <v>31</v>
      </c>
      <c r="F37" s="18" t="n">
        <v>28</v>
      </c>
    </row>
    <row r="38">
      <c r="A38" s="28" t="inlineStr">
        <is>
          <t>Cash &amp; Short-Term Investments</t>
        </is>
      </c>
      <c r="B38" s="29" t="n">
        <v>9830</v>
      </c>
      <c r="C38" s="29" t="n">
        <v>9229</v>
      </c>
      <c r="D38" s="29" t="n">
        <v>12816</v>
      </c>
      <c r="E38" s="29" t="n">
        <v>5555</v>
      </c>
      <c r="F38" s="29" t="n">
        <v>5257</v>
      </c>
    </row>
    <row r="39">
      <c r="A39" s="17" t="inlineStr">
        <is>
          <t>Accounts Receivable (Trade)</t>
        </is>
      </c>
      <c r="B39" s="18" t="n">
        <v>9977</v>
      </c>
      <c r="C39" s="18" t="n">
        <v>11254</v>
      </c>
      <c r="D39" s="18" t="n">
        <v>11155</v>
      </c>
      <c r="E39" s="18" t="n">
        <v>10919</v>
      </c>
      <c r="F39" s="18" t="n">
        <v>12589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9977</v>
      </c>
      <c r="C41" s="29" t="n">
        <v>11254</v>
      </c>
      <c r="D41" s="29" t="n">
        <v>11155</v>
      </c>
      <c r="E41" s="29" t="n">
        <v>10919</v>
      </c>
      <c r="F41" s="29" t="n">
        <v>12589</v>
      </c>
    </row>
    <row r="42">
      <c r="A42" s="17" t="inlineStr">
        <is>
          <t>Inventory</t>
        </is>
      </c>
      <c r="B42" s="18" t="n">
        <v>3128</v>
      </c>
      <c r="C42" s="18" t="n">
        <v>3579</v>
      </c>
      <c r="D42" s="18" t="n">
        <v>4099</v>
      </c>
      <c r="E42" s="18" t="n">
        <v>4181</v>
      </c>
      <c r="F42" s="18" t="n">
        <v>4951</v>
      </c>
    </row>
    <row r="43">
      <c r="A43" s="17" t="inlineStr">
        <is>
          <t>Prepaids</t>
        </is>
      </c>
      <c r="B43" s="18" t="n">
        <v>4993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4401</v>
      </c>
      <c r="D44" s="18" t="n">
        <v>4932</v>
      </c>
      <c r="E44" s="18" t="n">
        <v>4927</v>
      </c>
      <c r="F44" s="18" t="n">
        <v>6265</v>
      </c>
    </row>
    <row r="45">
      <c r="A45" s="26" t="inlineStr">
        <is>
          <t>Total Current Assets</t>
        </is>
      </c>
      <c r="B45" s="27" t="n">
        <v>27928</v>
      </c>
      <c r="C45" s="27" t="n">
        <v>28463</v>
      </c>
      <c r="D45" s="27" t="n">
        <v>33002</v>
      </c>
      <c r="E45" s="27" t="n">
        <v>25582</v>
      </c>
      <c r="F45" s="27" t="n">
        <v>29062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5110</v>
      </c>
      <c r="C47" s="18" t="n">
        <v>4935</v>
      </c>
      <c r="D47" s="18" t="n">
        <v>4989</v>
      </c>
      <c r="E47" s="18" t="n">
        <v>5134</v>
      </c>
      <c r="F47" s="18" t="n">
        <v>6365</v>
      </c>
    </row>
    <row r="48">
      <c r="A48" s="17" t="inlineStr">
        <is>
          <t>Goodwill</t>
        </is>
      </c>
      <c r="B48" s="18" t="n">
        <v>32379</v>
      </c>
      <c r="C48" s="18" t="n">
        <v>32156</v>
      </c>
      <c r="D48" s="18" t="n">
        <v>32293</v>
      </c>
      <c r="E48" s="18" t="n">
        <v>34956</v>
      </c>
      <c r="F48" s="18" t="n">
        <v>35640</v>
      </c>
    </row>
    <row r="49">
      <c r="A49" s="17" t="inlineStr">
        <is>
          <t>Intangible Assets</t>
        </is>
      </c>
      <c r="B49" s="18" t="n">
        <v>75951</v>
      </c>
      <c r="C49" s="18" t="n">
        <v>67439</v>
      </c>
      <c r="D49" s="18" t="n">
        <v>55610</v>
      </c>
      <c r="E49" s="18" t="n">
        <v>60068</v>
      </c>
      <c r="F49" s="18" t="n">
        <v>52641</v>
      </c>
    </row>
    <row r="50">
      <c r="A50" s="17" t="inlineStr">
        <is>
          <t>Long-Term Investments</t>
        </is>
      </c>
      <c r="B50" s="18" t="n">
        <v>277</v>
      </c>
      <c r="C50" s="18" t="n">
        <v>241</v>
      </c>
      <c r="D50" s="18" t="n">
        <v>304</v>
      </c>
      <c r="E50" s="18" t="n">
        <v>279</v>
      </c>
      <c r="F50" s="18" t="n">
        <v>299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361</v>
      </c>
      <c r="C52" s="18" t="n">
        <v>269</v>
      </c>
      <c r="D52" s="18" t="n">
        <v>306</v>
      </c>
      <c r="E52" s="18" t="n">
        <v>310</v>
      </c>
      <c r="F52" s="18" t="n">
        <v>327</v>
      </c>
    </row>
    <row r="53">
      <c r="A53" s="17" t="inlineStr">
        <is>
          <t>Other Non-Current Assets</t>
        </is>
      </c>
      <c r="B53" s="18" t="n">
        <v>4884</v>
      </c>
      <c r="C53" s="18" t="n">
        <v>5571</v>
      </c>
      <c r="D53" s="18" t="n">
        <v>8513</v>
      </c>
      <c r="E53" s="18" t="n">
        <v>9142</v>
      </c>
      <c r="F53" s="18" t="n">
        <v>9953</v>
      </c>
    </row>
    <row r="54">
      <c r="A54" s="26" t="inlineStr">
        <is>
          <t>Total Non-Current Assets</t>
        </is>
      </c>
      <c r="B54" s="27" t="n">
        <v>118601</v>
      </c>
      <c r="C54" s="27" t="n">
        <v>110342</v>
      </c>
      <c r="D54" s="27" t="n">
        <v>101709</v>
      </c>
      <c r="E54" s="27" t="n">
        <v>109579</v>
      </c>
      <c r="F54" s="27" t="n">
        <v>104898</v>
      </c>
    </row>
    <row r="55">
      <c r="A55" s="13" t="inlineStr">
        <is>
          <t>TOTAL ASSETS</t>
        </is>
      </c>
      <c r="B55" s="30" t="n">
        <v>146529</v>
      </c>
      <c r="C55" s="30" t="n">
        <v>138805</v>
      </c>
      <c r="D55" s="30" t="n">
        <v>134711</v>
      </c>
      <c r="E55" s="30" t="n">
        <v>135161</v>
      </c>
      <c r="F55" s="30" t="n">
        <v>133960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2882</v>
      </c>
      <c r="C57" s="18" t="n">
        <v>2934</v>
      </c>
      <c r="D57" s="18" t="n">
        <v>3688</v>
      </c>
      <c r="E57" s="18" t="n">
        <v>2945</v>
      </c>
      <c r="F57" s="18" t="n">
        <v>3592</v>
      </c>
    </row>
    <row r="58">
      <c r="A58" s="17" t="inlineStr">
        <is>
          <t>Short-Term Debt</t>
        </is>
      </c>
      <c r="B58" s="18" t="n">
        <v>12673</v>
      </c>
      <c r="C58" s="18" t="n">
        <v>4302</v>
      </c>
      <c r="D58" s="18" t="n">
        <v>7191</v>
      </c>
      <c r="E58" s="18" t="n">
        <v>6804</v>
      </c>
      <c r="F58" s="18" t="n">
        <v>8749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17854</v>
      </c>
      <c r="C61" s="18" t="n">
        <v>20931</v>
      </c>
      <c r="D61" s="18" t="n">
        <v>25160</v>
      </c>
      <c r="E61" s="18" t="n">
        <v>27014</v>
      </c>
      <c r="F61" s="18" t="n">
        <v>25630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35194</v>
      </c>
      <c r="C63" s="27" t="n">
        <v>29538</v>
      </c>
      <c r="D63" s="27" t="n">
        <v>37841</v>
      </c>
      <c r="E63" s="27" t="n">
        <v>38749</v>
      </c>
      <c r="F63" s="27" t="n">
        <v>43289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64164</v>
      </c>
      <c r="C65" s="18" t="n">
        <v>59118</v>
      </c>
      <c r="D65" s="18" t="n">
        <v>52167</v>
      </c>
      <c r="E65" s="18" t="n">
        <v>60340</v>
      </c>
      <c r="F65" s="18" t="n">
        <v>59608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8979</v>
      </c>
      <c r="C68" s="18" t="n">
        <v>8692</v>
      </c>
      <c r="D68" s="18" t="n">
        <v>8633</v>
      </c>
      <c r="E68" s="18" t="n">
        <v>7628</v>
      </c>
      <c r="F68" s="18" t="n">
        <v>7962</v>
      </c>
    </row>
    <row r="69">
      <c r="A69" s="17" t="inlineStr">
        <is>
          <t>Other Non-Current Liabilities</t>
        </is>
      </c>
      <c r="B69" s="18" t="n">
        <v>22018</v>
      </c>
      <c r="C69" s="18" t="n">
        <v>23399</v>
      </c>
      <c r="D69" s="18" t="n">
        <v>24911</v>
      </c>
      <c r="E69" s="18" t="n">
        <v>24383</v>
      </c>
      <c r="F69" s="18" t="n">
        <v>25618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131093</v>
      </c>
      <c r="C71" s="30" t="n">
        <v>121518</v>
      </c>
      <c r="D71" s="30" t="n">
        <v>124314</v>
      </c>
      <c r="E71" s="30" t="n">
        <v>131797</v>
      </c>
      <c r="F71" s="30" t="n">
        <v>137188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18</v>
      </c>
      <c r="C73" s="18" t="n">
        <v>18</v>
      </c>
      <c r="D73" s="18" t="n">
        <v>18</v>
      </c>
      <c r="E73" s="18" t="n">
        <v>18</v>
      </c>
      <c r="F73" s="18" t="n">
        <v>18</v>
      </c>
    </row>
    <row r="74">
      <c r="A74" s="17" t="inlineStr">
        <is>
          <t>Retained Earnings</t>
        </is>
      </c>
      <c r="B74" s="18" t="n">
        <v>3127</v>
      </c>
      <c r="C74" s="18" t="n">
        <v>4784</v>
      </c>
      <c r="D74" s="18" t="n">
        <v>-1000</v>
      </c>
      <c r="E74" s="18" t="n">
        <v>-7900</v>
      </c>
      <c r="F74" s="18" t="n">
        <v>-15493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28</v>
      </c>
      <c r="C77" s="18" t="n">
        <v>33</v>
      </c>
      <c r="D77" s="18" t="n">
        <v>37</v>
      </c>
      <c r="E77" s="18" t="n">
        <v>39</v>
      </c>
      <c r="F77" s="18" t="n">
        <v>42</v>
      </c>
    </row>
    <row r="78">
      <c r="A78" s="26" t="inlineStr">
        <is>
          <t>Total Equity (inc. Minority)</t>
        </is>
      </c>
      <c r="B78" s="27" t="n">
        <v>15436</v>
      </c>
      <c r="C78" s="27" t="n">
        <v>17287</v>
      </c>
      <c r="D78" s="27" t="n">
        <v>10397</v>
      </c>
      <c r="E78" s="27" t="n">
        <v>3364</v>
      </c>
      <c r="F78" s="27" t="n">
        <v>-3228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22777</v>
      </c>
      <c r="C5" s="24" t="n">
        <v>24943</v>
      </c>
      <c r="D5" s="24" t="n">
        <v>22839</v>
      </c>
      <c r="E5" s="24" t="n">
        <v>18806</v>
      </c>
      <c r="F5" s="24" t="n">
        <v>19030</v>
      </c>
    </row>
    <row r="6">
      <c r="A6" s="17" t="inlineStr">
        <is>
          <t>(2)  Capital Expenditures</t>
        </is>
      </c>
      <c r="B6" s="18" t="n">
        <v>-787</v>
      </c>
      <c r="C6" s="18" t="n">
        <v>-695</v>
      </c>
      <c r="D6" s="18" t="n">
        <v>-777</v>
      </c>
      <c r="E6" s="18" t="n">
        <v>-974</v>
      </c>
      <c r="F6" s="18" t="n">
        <v>-1214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-8414</v>
      </c>
      <c r="C9" s="18" t="n">
        <v>-12433</v>
      </c>
      <c r="D9" s="18" t="n">
        <v>-4149</v>
      </c>
      <c r="E9" s="18" t="n">
        <v>7350</v>
      </c>
      <c r="F9" s="18" t="n">
        <v>-327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172</v>
      </c>
    </row>
    <row r="12">
      <c r="A12" s="17" t="inlineStr">
        <is>
          <t>(7)  Dividends Paid</t>
        </is>
      </c>
      <c r="B12" s="18" t="n">
        <v>-9261</v>
      </c>
      <c r="C12" s="18" t="n">
        <v>-10043</v>
      </c>
      <c r="D12" s="18" t="n">
        <v>-10539</v>
      </c>
      <c r="E12" s="18" t="n">
        <v>-11025</v>
      </c>
      <c r="F12" s="18" t="n">
        <v>-11657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21990</v>
      </c>
      <c r="C15" s="24" t="n">
        <v>24248</v>
      </c>
      <c r="D15" s="24" t="n">
        <v>22062</v>
      </c>
      <c r="E15" s="24" t="n">
        <v>17832</v>
      </c>
      <c r="F15" s="24" t="n">
        <v>17816</v>
      </c>
    </row>
    <row r="16">
      <c r="A16" s="15" t="inlineStr">
        <is>
          <t xml:space="preserve">     Net Change in Cash</t>
        </is>
      </c>
      <c r="B16" s="16" t="n">
        <v>1297</v>
      </c>
      <c r="C16" s="16" t="n">
        <v>-545</v>
      </c>
      <c r="D16" s="16" t="n">
        <v>3613</v>
      </c>
      <c r="E16" s="16" t="n">
        <v>-7290</v>
      </c>
      <c r="F16" s="16" t="n">
        <v>-295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11549</v>
      </c>
      <c r="C21" s="18" t="n">
        <v>11845</v>
      </c>
      <c r="D21" s="18" t="n">
        <v>4820</v>
      </c>
      <c r="E21" s="18" t="n">
        <v>4286</v>
      </c>
      <c r="F21" s="18" t="n">
        <v>4226</v>
      </c>
    </row>
    <row r="22">
      <c r="A22" s="17" t="inlineStr">
        <is>
          <t>Depreciation &amp; Amortisation</t>
        </is>
      </c>
      <c r="B22" s="18" t="n">
        <v>8521</v>
      </c>
      <c r="C22" s="18" t="n">
        <v>8467</v>
      </c>
      <c r="D22" s="18" t="n">
        <v>8698</v>
      </c>
      <c r="E22" s="18" t="n">
        <v>8386</v>
      </c>
      <c r="F22" s="18" t="n">
        <v>8139</v>
      </c>
    </row>
    <row r="23">
      <c r="A23" s="17" t="inlineStr">
        <is>
          <t>Deferred Income Tax</t>
        </is>
      </c>
      <c r="B23" s="18" t="n">
        <v>-898</v>
      </c>
      <c r="C23" s="18" t="n">
        <v>-1931</v>
      </c>
      <c r="D23" s="18" t="n">
        <v>-2889</v>
      </c>
      <c r="E23" s="18" t="n">
        <v>-1449</v>
      </c>
      <c r="F23" s="18" t="n">
        <v>-492</v>
      </c>
    </row>
    <row r="24">
      <c r="A24" s="17" t="inlineStr">
        <is>
          <t>Stock-Based Compensation</t>
        </is>
      </c>
      <c r="B24" s="18" t="n">
        <v>692</v>
      </c>
      <c r="C24" s="18" t="n">
        <v>671</v>
      </c>
      <c r="D24" s="18" t="n">
        <v>747</v>
      </c>
      <c r="E24" s="18" t="n">
        <v>911</v>
      </c>
      <c r="F24" s="18" t="n">
        <v>955</v>
      </c>
    </row>
    <row r="25">
      <c r="A25" s="17" t="inlineStr">
        <is>
          <t>Change in Working Capital</t>
        </is>
      </c>
      <c r="B25" s="18" t="n">
        <v>-1322</v>
      </c>
      <c r="C25" s="18" t="n">
        <v>-258</v>
      </c>
      <c r="D25" s="18" t="n">
        <v>2813</v>
      </c>
      <c r="E25" s="18" t="n">
        <v>-2782</v>
      </c>
      <c r="F25" s="18" t="n">
        <v>-2362</v>
      </c>
    </row>
    <row r="26">
      <c r="A26" s="21" t="inlineStr">
        <is>
          <t xml:space="preserve">  — Accounts Receivable</t>
        </is>
      </c>
      <c r="B26" s="18" t="n">
        <v>-1321</v>
      </c>
      <c r="C26" s="18" t="n">
        <v>-1455</v>
      </c>
      <c r="D26" s="18" t="n">
        <v>66</v>
      </c>
      <c r="E26" s="18" t="n">
        <v>207</v>
      </c>
      <c r="F26" s="18" t="n">
        <v>-1490</v>
      </c>
    </row>
    <row r="27">
      <c r="A27" s="21" t="inlineStr">
        <is>
          <t xml:space="preserve">  — Inventory</t>
        </is>
      </c>
      <c r="B27" s="18" t="n">
        <v>-142</v>
      </c>
      <c r="C27" s="18" t="n">
        <v>-686</v>
      </c>
      <c r="D27" s="18" t="n">
        <v>-417</v>
      </c>
      <c r="E27" s="18" t="n">
        <v>-319</v>
      </c>
      <c r="F27" s="18" t="n">
        <v>-234</v>
      </c>
    </row>
    <row r="28">
      <c r="A28" s="21" t="inlineStr">
        <is>
          <t xml:space="preserve">  — Accounts Payable</t>
        </is>
      </c>
      <c r="B28" s="18" t="n">
        <v>1628</v>
      </c>
      <c r="C28" s="18" t="n">
        <v>1605</v>
      </c>
      <c r="D28" s="18" t="n">
        <v>3840</v>
      </c>
      <c r="E28" s="18" t="n">
        <v>177</v>
      </c>
      <c r="F28" s="18" t="n">
        <v>951</v>
      </c>
    </row>
    <row r="29">
      <c r="A29" s="21" t="inlineStr">
        <is>
          <t xml:space="preserve">  — Other Working Capital</t>
        </is>
      </c>
      <c r="B29" s="18" t="n">
        <v>-1487</v>
      </c>
      <c r="C29" s="18" t="n">
        <v>278</v>
      </c>
      <c r="D29" s="18" t="n">
        <v>-676</v>
      </c>
      <c r="E29" s="18" t="n">
        <v>-2847</v>
      </c>
      <c r="F29" s="18" t="n">
        <v>-1589</v>
      </c>
    </row>
    <row r="30">
      <c r="A30" s="17" t="inlineStr">
        <is>
          <t>Other Non-Cash Items</t>
        </is>
      </c>
      <c r="B30" s="18" t="n">
        <v>4235</v>
      </c>
      <c r="C30" s="18" t="n">
        <v>6149</v>
      </c>
      <c r="D30" s="18" t="n">
        <v>8650</v>
      </c>
      <c r="E30" s="18" t="n">
        <v>9454</v>
      </c>
      <c r="F30" s="18" t="n">
        <v>8604</v>
      </c>
    </row>
    <row r="31">
      <c r="A31" s="26" t="inlineStr">
        <is>
          <t>Net Cash from Operations (CFO)</t>
        </is>
      </c>
      <c r="B31" s="27" t="n">
        <v>22777</v>
      </c>
      <c r="C31" s="27" t="n">
        <v>24943</v>
      </c>
      <c r="D31" s="27" t="n">
        <v>22839</v>
      </c>
      <c r="E31" s="27" t="n">
        <v>18806</v>
      </c>
      <c r="F31" s="27" t="n">
        <v>19030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-787</v>
      </c>
      <c r="C33" s="18" t="n">
        <v>-695</v>
      </c>
      <c r="D33" s="18" t="n">
        <v>-777</v>
      </c>
      <c r="E33" s="18" t="n">
        <v>-974</v>
      </c>
      <c r="F33" s="18" t="n">
        <v>-1214</v>
      </c>
    </row>
    <row r="34">
      <c r="A34" s="21" t="inlineStr">
        <is>
          <t xml:space="preserve">  (Alt: Invest. in PP&amp;E)</t>
        </is>
      </c>
      <c r="B34" s="18" t="n">
        <v>-787</v>
      </c>
      <c r="C34" s="18" t="n">
        <v>-695</v>
      </c>
      <c r="D34" s="18" t="n">
        <v>-777</v>
      </c>
      <c r="E34" s="18" t="n">
        <v>-974</v>
      </c>
      <c r="F34" s="18" t="n">
        <v>-1214</v>
      </c>
    </row>
    <row r="35">
      <c r="A35" s="17" t="inlineStr">
        <is>
          <t>Acquisitions (Net)</t>
        </is>
      </c>
      <c r="B35" s="18" t="n">
        <v>-1902</v>
      </c>
      <c r="C35" s="18" t="n">
        <v>-794</v>
      </c>
      <c r="D35" s="18" t="n">
        <v>-1223</v>
      </c>
      <c r="E35" s="18" t="n">
        <v>-17493</v>
      </c>
      <c r="F35" s="18" t="n">
        <v>-204</v>
      </c>
    </row>
    <row r="36">
      <c r="A36" s="17" t="inlineStr">
        <is>
          <t>Purchases of Investments</t>
        </is>
      </c>
      <c r="B36" s="18" t="n">
        <v>-119</v>
      </c>
      <c r="C36" s="18" t="n">
        <v>-1438</v>
      </c>
      <c r="D36" s="18" t="n">
        <v>-77</v>
      </c>
      <c r="E36" s="18" t="n">
        <v>-73</v>
      </c>
      <c r="F36" s="18" t="n">
        <v>-35</v>
      </c>
    </row>
    <row r="37">
      <c r="A37" s="17" t="inlineStr">
        <is>
          <t>Sales / Maturities of Investments</t>
        </is>
      </c>
      <c r="B37" s="18" t="n">
        <v>98</v>
      </c>
      <c r="C37" s="18" t="n">
        <v>1530</v>
      </c>
      <c r="D37" s="18" t="n">
        <v>55</v>
      </c>
      <c r="E37" s="18" t="n">
        <v>555</v>
      </c>
      <c r="F37" s="18" t="n">
        <v>76</v>
      </c>
    </row>
    <row r="38">
      <c r="A38" s="17" t="inlineStr">
        <is>
          <t>Other Investing Activities</t>
        </is>
      </c>
      <c r="B38" s="18" t="n">
        <v>366</v>
      </c>
      <c r="C38" s="18" t="n">
        <v>774</v>
      </c>
      <c r="D38" s="18" t="n">
        <v>13</v>
      </c>
      <c r="E38" s="18" t="n">
        <v>-2835</v>
      </c>
      <c r="F38" s="18" t="n">
        <v>-5266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-8414</v>
      </c>
      <c r="C41" s="18" t="n">
        <v>-12433</v>
      </c>
      <c r="D41" s="18" t="n">
        <v>-4149</v>
      </c>
      <c r="E41" s="18" t="n">
        <v>7350</v>
      </c>
      <c r="F41" s="18" t="n">
        <v>-327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172</v>
      </c>
    </row>
    <row r="44">
      <c r="A44" s="17" t="inlineStr">
        <is>
          <t>Common Stock Repurchased (Buybacks)</t>
        </is>
      </c>
      <c r="B44" s="18" t="n">
        <v>-934</v>
      </c>
      <c r="C44" s="18" t="n">
        <v>-1487</v>
      </c>
      <c r="D44" s="18" t="n">
        <v>-1972</v>
      </c>
      <c r="E44" s="18" t="n">
        <v>-1708</v>
      </c>
      <c r="F44" s="18" t="n">
        <v>-980</v>
      </c>
    </row>
    <row r="45">
      <c r="A45" s="17" t="inlineStr">
        <is>
          <t>Dividends Paid</t>
        </is>
      </c>
      <c r="B45" s="18" t="n">
        <v>-9261</v>
      </c>
      <c r="C45" s="18" t="n">
        <v>-10043</v>
      </c>
      <c r="D45" s="18" t="n">
        <v>-10539</v>
      </c>
      <c r="E45" s="18" t="n">
        <v>-11025</v>
      </c>
      <c r="F45" s="18" t="n">
        <v>-11657</v>
      </c>
    </row>
    <row r="46">
      <c r="A46" s="17" t="inlineStr">
        <is>
          <t>Other Financing Activities</t>
        </is>
      </c>
      <c r="B46" s="18" t="n">
        <v>-430</v>
      </c>
      <c r="C46" s="18" t="n">
        <v>-840</v>
      </c>
      <c r="D46" s="18" t="n">
        <v>-562</v>
      </c>
      <c r="E46" s="18" t="n">
        <v>172</v>
      </c>
      <c r="F46" s="18" t="n">
        <v>68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-97</v>
      </c>
      <c r="C49" s="18" t="n">
        <v>-62</v>
      </c>
      <c r="D49" s="18" t="n">
        <v>5</v>
      </c>
      <c r="E49" s="18" t="n">
        <v>-65</v>
      </c>
      <c r="F49" s="18" t="n">
        <v>42</v>
      </c>
    </row>
    <row r="50">
      <c r="A50" s="15" t="inlineStr">
        <is>
          <t>Net Change in Cash</t>
        </is>
      </c>
      <c r="B50" s="16" t="n">
        <v>1297</v>
      </c>
      <c r="C50" s="16" t="n">
        <v>-545</v>
      </c>
      <c r="D50" s="16" t="n">
        <v>3613</v>
      </c>
      <c r="E50" s="16" t="n">
        <v>-7290</v>
      </c>
      <c r="F50" s="16" t="n">
        <v>-295</v>
      </c>
    </row>
    <row r="51">
      <c r="A51" s="17" t="inlineStr">
        <is>
          <t>Cash at Beginning of Period</t>
        </is>
      </c>
      <c r="B51" s="18" t="n">
        <v>8449</v>
      </c>
      <c r="C51" s="18" t="n">
        <v>9746</v>
      </c>
      <c r="D51" s="18" t="n">
        <v>9201</v>
      </c>
      <c r="E51" s="18" t="n">
        <v>12814</v>
      </c>
      <c r="F51" s="18" t="n">
        <v>5524</v>
      </c>
    </row>
    <row r="52">
      <c r="A52" s="26" t="inlineStr">
        <is>
          <t>Cash at End of Period</t>
        </is>
      </c>
      <c r="B52" s="27" t="n">
        <v>9746</v>
      </c>
      <c r="C52" s="27" t="n">
        <v>9201</v>
      </c>
      <c r="D52" s="27" t="n">
        <v>12814</v>
      </c>
      <c r="E52" s="27" t="n">
        <v>5524</v>
      </c>
      <c r="F52" s="27" t="n">
        <v>5229</v>
      </c>
    </row>
    <row r="53">
      <c r="A53" s="26" t="inlineStr">
        <is>
          <t>Free Cash Flow</t>
        </is>
      </c>
      <c r="B53" s="27" t="n">
        <v>21990</v>
      </c>
      <c r="C53" s="27" t="n">
        <v>24248</v>
      </c>
      <c r="D53" s="27" t="n">
        <v>22062</v>
      </c>
      <c r="E53" s="27" t="n">
        <v>17832</v>
      </c>
      <c r="F53" s="27" t="n">
        <v>17816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1777</v>
      </c>
      <c r="C61" s="18" t="n">
        <v>1778</v>
      </c>
      <c r="D61" s="18" t="n">
        <v>1773</v>
      </c>
      <c r="E61" s="18" t="n">
        <v>1773</v>
      </c>
      <c r="F61" s="18" t="n">
        <v>1774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ABBV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2602</v>
      </c>
      <c r="C5" s="18" t="n">
        <v>2720</v>
      </c>
      <c r="D5" s="18" t="n">
        <v>2682</v>
      </c>
      <c r="E5" s="18" t="n">
        <v>2615</v>
      </c>
      <c r="F5" s="18" t="n">
        <v>2232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ABBV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372484.096487</v>
      </c>
      <c r="C5" s="44" t="inlineStr">
        <is>
          <t>FMP marketCap  |  price $210.825</t>
        </is>
      </c>
    </row>
    <row r="6">
      <c r="A6" s="17" t="inlineStr">
        <is>
          <t>Debt  (gross book value, $mm)</t>
        </is>
      </c>
      <c r="B6" s="43" t="n">
        <v>68357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0.305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0.534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0.18x,  t = 35.8%)</t>
        </is>
      </c>
      <c r="B19" s="50" t="n">
        <v>1.118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6.9</v>
      </c>
      <c r="C33" s="44" t="inlineStr">
        <is>
          <t>EBIT $20091mm  /  Int Exp $2893mm</t>
        </is>
      </c>
    </row>
    <row r="34">
      <c r="A34" s="17" t="inlineStr">
        <is>
          <t>Synthetic rating  (Damodaran ICR table)</t>
        </is>
      </c>
      <c r="B34" s="53" t="inlineStr">
        <is>
          <t>A</t>
        </is>
      </c>
      <c r="C34" s="44" t="inlineStr">
        <is>
          <t>ICR 6.9x  →  A</t>
        </is>
      </c>
    </row>
    <row r="35">
      <c r="A35" s="17" t="inlineStr">
        <is>
          <t>Synthetic Rd  (Rf + Damodaran default spread)</t>
        </is>
      </c>
      <c r="B35" s="46" t="n">
        <v>0.0554</v>
      </c>
      <c r="C35" s="44" t="inlineStr">
        <is>
          <t>Rf 4.46% + spread 1.08%</t>
        </is>
      </c>
    </row>
    <row r="36">
      <c r="A36" s="17" t="inlineStr">
        <is>
          <t>Accounting Rd  (Gross int exp / Avg gross debt)</t>
        </is>
      </c>
      <c r="B36" s="46" t="n">
        <v>0.04270079187607471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0.0491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0.3583</v>
      </c>
      <c r="C40" s="44" t="inlineStr">
        <is>
          <t>FMP: $2364mm  /  $6597mm</t>
        </is>
      </c>
    </row>
    <row r="41">
      <c r="A41" s="47" t="inlineStr">
        <is>
          <t>► Selected tax rate  (user override)</t>
        </is>
      </c>
      <c r="B41" s="48" t="n">
        <v>0.3583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ABBV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0.1001</v>
      </c>
      <c r="H7" s="71" t="n">
        <v>0.0795</v>
      </c>
      <c r="I7" s="71" t="n">
        <v>0.0716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0.3423</v>
      </c>
      <c r="H8" s="71" t="n">
        <v>0.3423</v>
      </c>
      <c r="I8" s="71" t="n">
        <v>0.3423</v>
      </c>
      <c r="J8" s="72">
        <f>I8</f>
        <v/>
      </c>
      <c r="K8" s="72">
        <f>I8</f>
        <v/>
      </c>
      <c r="L8" s="73" t="n">
        <v>0.2882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67283.8</v>
      </c>
      <c r="H15" s="77" t="n">
        <v>72633.7</v>
      </c>
      <c r="I15" s="77" t="n">
        <v>77836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66,573 — 67,744</t>
        </is>
      </c>
      <c r="H16" s="82" t="inlineStr">
        <is>
          <t>70,385 — 73,957</t>
        </is>
      </c>
      <c r="I16" s="82" t="inlineStr">
        <is>
          <t>77,748 — 77,924</t>
        </is>
      </c>
      <c r="J16" s="82" t="inlineStr">
        <is>
          <t>80,195 — 83,360</t>
        </is>
      </c>
      <c r="K16" s="82" t="inlineStr">
        <is>
          <t>81,939 — 85,174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22</v>
      </c>
      <c r="H17" s="84" t="n">
        <v>21</v>
      </c>
      <c r="I17" s="84" t="n">
        <v>23</v>
      </c>
      <c r="J17" s="84" t="n">
        <v>11</v>
      </c>
      <c r="K17" s="84" t="n">
        <v>11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23029</v>
      </c>
      <c r="H20" s="77" t="n">
        <v>24860.1</v>
      </c>
      <c r="I20" s="77" t="n">
        <v>26640.7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22,786 — 23,187</t>
        </is>
      </c>
      <c r="H21" s="82" t="inlineStr">
        <is>
          <t>24,090 — 25,313</t>
        </is>
      </c>
      <c r="I21" s="82" t="inlineStr">
        <is>
          <t>26,610 — 26,671</t>
        </is>
      </c>
      <c r="J21" s="82" t="inlineStr">
        <is>
          <t>27,448 — 28,531</t>
        </is>
      </c>
      <c r="K21" s="82" t="inlineStr">
        <is>
          <t>28,045 — 29,152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(1.9%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(1.9%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42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1774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210.82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ABBV  |  Master Prompt v2  |  15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•  SOFT FLOOR CAP 96/100 applied — D/EBITDA 3.9x → −4.4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70.2% ✓ (&gt;40%)  |  GM trend +0.2% ✗ (&gt;+1pp)  |  ROIC-WACC +18.8% ✓ (&gt;+5pp)  |  Rev consistency σ=5.4% ✓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70.2% ✓ (&gt;40%)  |  GM trend +0.2% ✗ (&gt;+1pp)  |  ROIC-WACC +18.8% ✓ (&gt;+5pp)  |  Rev consistency σ=5.4% ✓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-0.7% ✓ (≥-2pp)  |  GM maintained +0.2% ✓  |  Op margin +1.6% ✓ (≥-2pp)  |  Capital returns HIGH ✓  |  Share count +0.1%/yr ✓ (≤+2%/yr)  [5/5 indicators positive — proxy score]</t>
        </is>
      </c>
      <c r="E11" s="134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-0.7% ✓ (≥-2pp)  |  GM maintained +0.2% ✓  |  Op margin +1.6% ✓ (≥-2pp)  |  Capital returns HIGH ✓  |  Share count +0.1%/yr ✓ (≤+2%/yr)  [5/5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1.8%</t>
        </is>
      </c>
      <c r="E13" s="135" t="inlineStr">
        <is>
          <t>LOW</t>
        </is>
      </c>
      <c r="F13" s="131" t="n">
        <v>1.75</v>
      </c>
      <c r="G13" s="132">
        <f>IF(F13="",0,C13*F13*10)</f>
        <v/>
      </c>
      <c r="H13" s="133" t="inlineStr">
        <is>
          <t>1.8%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420%  [through-cycle: 70/30 latest+5yr median, latest 421.6% → smoothed 420.2%]</t>
        </is>
      </c>
      <c r="E14" s="134" t="inlineStr">
        <is>
          <t>HIGH</t>
        </is>
      </c>
      <c r="F14" s="131" t="n">
        <v>12</v>
      </c>
      <c r="G14" s="132">
        <f>IF(F14="",0,C14*F14*10)</f>
        <v/>
      </c>
      <c r="H14" s="133" t="inlineStr">
        <is>
          <t>420%  [through-cycle: 70/30 latest+5yr median, latest 421.6% → smoothed 420.2%]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$980mm latest FY — 5yr+ consistent equity-funded  [payout 6% of FCF — low, building cash]</t>
        </is>
      </c>
      <c r="E15" s="134" t="inlineStr">
        <is>
          <t>HIGH</t>
        </is>
      </c>
      <c r="F15" s="131" t="n">
        <v>10</v>
      </c>
      <c r="G15" s="132">
        <f>IF(F15="",0,C15*F15*10)</f>
        <v/>
      </c>
      <c r="H15" s="133" t="inlineStr">
        <is>
          <t>$980mm latest FY — 5yr+ consistent equity-funded  [payout 6% of FCF — low, building cash]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20.9%  [through-cycle: 70/30 latest+5yr median, latest 21.5% → smoothed 20.9%]</t>
        </is>
      </c>
      <c r="E16" s="134" t="inlineStr">
        <is>
          <t>HIGH</t>
        </is>
      </c>
      <c r="F16" s="131" t="n">
        <v>10.33</v>
      </c>
      <c r="G16" s="132">
        <f>IF(F16="",0,C16*F16*10)</f>
        <v/>
      </c>
      <c r="H16" s="133" t="inlineStr">
        <is>
          <t>20.9%  [through-cycle: 70/30 latest+5yr median, latest 21.5% → smoothed 20.9%]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3.8x  [through-cycle: 70/30 latest+5yr median, latest 3.9x → smoothed 3.8x]</t>
        </is>
      </c>
      <c r="E18" s="136" t="inlineStr">
        <is>
          <t>MOD-LOW</t>
        </is>
      </c>
      <c r="F18" s="131" t="n">
        <v>5</v>
      </c>
      <c r="G18" s="132">
        <f>IF(F18="",0,C18*F18*10)</f>
        <v/>
      </c>
      <c r="H18" s="133" t="inlineStr">
        <is>
          <t>3.8x  [through-cycle: 70/30 latest+5yr median, latest 3.9x → smoothed 3.8x]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6.9x</t>
        </is>
      </c>
      <c r="E19" s="130" t="inlineStr">
        <is>
          <t>MOD-HIGH</t>
        </is>
      </c>
      <c r="F19" s="131" t="n">
        <v>8.470000000000001</v>
      </c>
      <c r="G19" s="132">
        <f>IF(F19="",0,C19*F19*10)</f>
        <v/>
      </c>
      <c r="H19" s="133" t="inlineStr">
        <is>
          <t>6.9x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σ=5.4%  |  Op margin σ=6.4%  [proxy — lower σ = lower risk = higher score]</t>
        </is>
      </c>
      <c r="E20" s="136" t="inlineStr">
        <is>
          <t>MOD-LOW</t>
        </is>
      </c>
      <c r="F20" s="131" t="n">
        <v>5</v>
      </c>
      <c r="G20" s="132">
        <f>IF(F20="",0,C20*F20*10)</f>
        <v/>
      </c>
      <c r="H20" s="133" t="inlineStr">
        <is>
          <t>Rev growth σ=5.4%  |  Op margin σ=6.4%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96.3x  |  5yr avg 54.2x  |  DCF-implied 100.4x  [+78% vs benchmark]</t>
        </is>
      </c>
      <c r="E22" s="135" t="inlineStr">
        <is>
          <t>LOW</t>
        </is>
      </c>
      <c r="F22" s="131" t="n">
        <v>0</v>
      </c>
      <c r="G22" s="132">
        <f>IF(F22="",0,C22*F22*10)</f>
        <v/>
      </c>
      <c r="H22" s="133" t="inlineStr">
        <is>
          <t>Current 96.3x  |  5yr avg 54.2x  |  DCF-implied 100.4x  [+78%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22.8x  |  5yr avg 15.1x  |  DCF-implied 23.8x  [+51% vs benchmark]</t>
        </is>
      </c>
      <c r="E23" s="135" t="inlineStr">
        <is>
          <t>LOW</t>
        </is>
      </c>
      <c r="F23" s="131" t="n">
        <v>0</v>
      </c>
      <c r="G23" s="132">
        <f>IF(F23="",0,C23*F23*10)</f>
        <v/>
      </c>
      <c r="H23" s="133" t="inlineStr">
        <is>
          <t>Current 22.8x  |  5yr avg 15.1x  |  DCF-implied 23.8x  [+51%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Floor cap 95.6 applies — see gate warning above.</t>
        </is>
      </c>
    </row>
    <row r="26" ht="18" customHeight="1">
      <c r="A26" s="141" t="inlineStr">
        <is>
          <t>FLOOR-ADJUSTED SCORE  (capped at 95.6)</t>
        </is>
      </c>
      <c r="B26" s="142" t="n"/>
      <c r="C26" s="142" t="n"/>
      <c r="D26" s="142" t="n"/>
      <c r="E26" s="142" t="n"/>
      <c r="F26" s="142" t="n"/>
      <c r="G26" s="143">
        <f>MIN(G25,95.6)</f>
        <v/>
      </c>
      <c r="H26" s="1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4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2026-05-15T11:57:57Z</dcterms:created>
  <dcterms:modified xsi:type="dcterms:W3CDTF">2026-05-15T11:58:10Z</dcterms:modified>
</cp:coreProperties>
</file>