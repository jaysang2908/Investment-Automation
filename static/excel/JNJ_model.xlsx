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JNJ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94193</v>
      </c>
    </row>
    <row r="8">
      <c r="A8" s="3" t="inlineStr">
        <is>
          <t>Gross Profit ($mm)</t>
        </is>
      </c>
      <c r="B8" s="7" t="n">
        <v>68558</v>
      </c>
    </row>
    <row r="9">
      <c r="A9" s="3" t="inlineStr">
        <is>
          <t>EBITDA ($mm)</t>
        </is>
      </c>
      <c r="B9" s="7" t="n">
        <v>41055</v>
      </c>
    </row>
    <row r="10">
      <c r="A10" s="3" t="inlineStr">
        <is>
          <t>EBIT ($mm)</t>
        </is>
      </c>
      <c r="B10" s="7" t="n">
        <v>25596</v>
      </c>
    </row>
    <row r="11">
      <c r="A11" s="3" t="inlineStr">
        <is>
          <t>Net Income ($mm)</t>
        </is>
      </c>
      <c r="B11" s="7" t="n">
        <v>26804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78740</v>
      </c>
      <c r="C5" s="16" t="n">
        <v>79990</v>
      </c>
      <c r="D5" s="16" t="n">
        <v>85159</v>
      </c>
      <c r="E5" s="16" t="n">
        <v>88821</v>
      </c>
      <c r="F5" s="16" t="n">
        <v>94193</v>
      </c>
    </row>
    <row r="6">
      <c r="A6" s="17" t="inlineStr">
        <is>
          <t>(2)  Cost of Revenue (COGS)</t>
        </is>
      </c>
      <c r="B6" s="18" t="n">
        <v>23402</v>
      </c>
      <c r="C6" s="18" t="n">
        <v>24596</v>
      </c>
      <c r="D6" s="18" t="n">
        <v>26553</v>
      </c>
      <c r="E6" s="18" t="n">
        <v>27471</v>
      </c>
      <c r="F6" s="18" t="n">
        <v>25635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20118</v>
      </c>
      <c r="C9" s="18" t="n">
        <v>20246</v>
      </c>
      <c r="D9" s="18" t="n">
        <v>20112</v>
      </c>
      <c r="E9" s="18" t="n">
        <v>21969</v>
      </c>
      <c r="F9" s="18" t="n">
        <v>23676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34395</v>
      </c>
      <c r="C11" s="18" t="n">
        <v>34381</v>
      </c>
      <c r="D11" s="18" t="n">
        <v>35197</v>
      </c>
      <c r="E11" s="18" t="n">
        <v>39201</v>
      </c>
      <c r="F11" s="18" t="n">
        <v>42962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7390</v>
      </c>
      <c r="C14" s="18" t="n">
        <v>6970</v>
      </c>
      <c r="D14" s="18" t="n">
        <v>7486</v>
      </c>
      <c r="E14" s="18" t="n">
        <v>7339</v>
      </c>
      <c r="F14" s="18" t="n">
        <v>7503</v>
      </c>
    </row>
    <row r="15">
      <c r="A15" s="19" t="inlineStr">
        <is>
          <t>(8)  EBIT (Operating Income)</t>
        </is>
      </c>
      <c r="B15" s="24" t="n">
        <v>20943</v>
      </c>
      <c r="C15" s="24" t="n">
        <v>21013</v>
      </c>
      <c r="D15" s="24" t="n">
        <v>23409</v>
      </c>
      <c r="E15" s="24" t="n">
        <v>22149</v>
      </c>
      <c r="F15" s="24" t="n">
        <v>25596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183</v>
      </c>
      <c r="C17" s="18" t="n">
        <v>276</v>
      </c>
      <c r="D17" s="18" t="n">
        <v>772</v>
      </c>
      <c r="E17" s="18" t="n">
        <v>755</v>
      </c>
      <c r="F17" s="18" t="n">
        <v>971</v>
      </c>
    </row>
    <row r="18">
      <c r="A18" s="21" t="inlineStr">
        <is>
          <t xml:space="preserve">     Interest Income</t>
        </is>
      </c>
      <c r="B18" s="18" t="n">
        <v>53</v>
      </c>
      <c r="C18" s="18" t="n">
        <v>490</v>
      </c>
      <c r="D18" s="18" t="n">
        <v>1261</v>
      </c>
      <c r="E18" s="18" t="n">
        <v>1332</v>
      </c>
      <c r="F18" s="18" t="n">
        <v>1056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19178</v>
      </c>
      <c r="C21" s="24" t="n">
        <v>19359</v>
      </c>
      <c r="D21" s="24" t="n">
        <v>15062</v>
      </c>
      <c r="E21" s="24" t="n">
        <v>16687</v>
      </c>
      <c r="F21" s="24" t="n">
        <v>32581</v>
      </c>
    </row>
    <row r="22">
      <c r="A22" s="17" t="inlineStr">
        <is>
          <t>(11) Income Tax Expense</t>
        </is>
      </c>
      <c r="B22" s="18" t="n">
        <v>1377</v>
      </c>
      <c r="C22" s="18" t="n">
        <v>2989</v>
      </c>
      <c r="D22" s="18" t="n">
        <v>1736</v>
      </c>
      <c r="E22" s="18" t="n">
        <v>2621</v>
      </c>
      <c r="F22" s="18" t="n">
        <v>5777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20878</v>
      </c>
      <c r="C24" s="24" t="n">
        <v>17941</v>
      </c>
      <c r="D24" s="24" t="n">
        <v>35153</v>
      </c>
      <c r="E24" s="24" t="n">
        <v>14066</v>
      </c>
      <c r="F24" s="24" t="n">
        <v>26804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78740</v>
      </c>
      <c r="C30" s="16" t="n">
        <v>79990</v>
      </c>
      <c r="D30" s="16" t="n">
        <v>85159</v>
      </c>
      <c r="E30" s="16" t="n">
        <v>88821</v>
      </c>
      <c r="F30" s="16" t="n">
        <v>94193</v>
      </c>
    </row>
    <row r="31">
      <c r="A31" s="17" t="inlineStr">
        <is>
          <t>Cost of Revenue</t>
        </is>
      </c>
      <c r="B31" s="18" t="n">
        <v>23402</v>
      </c>
      <c r="C31" s="18" t="n">
        <v>24596</v>
      </c>
      <c r="D31" s="18" t="n">
        <v>26553</v>
      </c>
      <c r="E31" s="18" t="n">
        <v>27471</v>
      </c>
      <c r="F31" s="18" t="n">
        <v>25635</v>
      </c>
    </row>
    <row r="32">
      <c r="A32" s="26" t="inlineStr">
        <is>
          <t>Gross Profit</t>
        </is>
      </c>
      <c r="B32" s="27" t="n">
        <v>55338</v>
      </c>
      <c r="C32" s="27" t="n">
        <v>55394</v>
      </c>
      <c r="D32" s="27" t="n">
        <v>58606</v>
      </c>
      <c r="E32" s="27" t="n">
        <v>61350</v>
      </c>
      <c r="F32" s="27" t="n">
        <v>68558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14277</v>
      </c>
      <c r="C34" s="18" t="n">
        <v>14135</v>
      </c>
      <c r="D34" s="18" t="n">
        <v>15085</v>
      </c>
      <c r="E34" s="18" t="n">
        <v>17232</v>
      </c>
      <c r="F34" s="18" t="n">
        <v>14665</v>
      </c>
    </row>
    <row r="35">
      <c r="A35" s="17" t="inlineStr">
        <is>
          <t>General &amp; Administrative</t>
        </is>
      </c>
      <c r="B35" s="18" t="n">
        <v>20118</v>
      </c>
      <c r="C35" s="18" t="n">
        <v>20246</v>
      </c>
      <c r="D35" s="18" t="n">
        <v>20112</v>
      </c>
      <c r="E35" s="18" t="n">
        <v>21969</v>
      </c>
      <c r="F35" s="18" t="n">
        <v>23676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20118</v>
      </c>
      <c r="C37" s="18" t="n">
        <v>20246</v>
      </c>
      <c r="D37" s="18" t="n">
        <v>20112</v>
      </c>
      <c r="E37" s="18" t="n">
        <v>21969</v>
      </c>
      <c r="F37" s="18" t="n">
        <v>23676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4621</v>
      </c>
    </row>
    <row r="39">
      <c r="A39" s="26" t="inlineStr">
        <is>
          <t>Total Operating Expenses</t>
        </is>
      </c>
      <c r="B39" s="27" t="n">
        <v>34395</v>
      </c>
      <c r="C39" s="27" t="n">
        <v>34381</v>
      </c>
      <c r="D39" s="27" t="n">
        <v>35197</v>
      </c>
      <c r="E39" s="27" t="n">
        <v>39201</v>
      </c>
      <c r="F39" s="27" t="n">
        <v>42962</v>
      </c>
    </row>
    <row r="40">
      <c r="A40" s="17" t="inlineStr">
        <is>
          <t>Cost &amp; Expenses (COGS + Opex)</t>
        </is>
      </c>
      <c r="B40" s="18" t="n">
        <v>57797</v>
      </c>
      <c r="C40" s="18" t="n">
        <v>58977</v>
      </c>
      <c r="D40" s="18" t="n">
        <v>61750</v>
      </c>
      <c r="E40" s="18" t="n">
        <v>66672</v>
      </c>
      <c r="F40" s="18" t="n">
        <v>68597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20943</v>
      </c>
      <c r="C42" s="16" t="n">
        <v>21013</v>
      </c>
      <c r="D42" s="16" t="n">
        <v>23409</v>
      </c>
      <c r="E42" s="16" t="n">
        <v>22149</v>
      </c>
      <c r="F42" s="16" t="n">
        <v>25596</v>
      </c>
    </row>
    <row r="43">
      <c r="A43" s="17" t="inlineStr">
        <is>
          <t>EBIT (FMP field)</t>
        </is>
      </c>
      <c r="B43" s="18" t="n">
        <v>19361</v>
      </c>
      <c r="C43" s="18" t="n">
        <v>19635</v>
      </c>
      <c r="D43" s="18" t="n">
        <v>15834</v>
      </c>
      <c r="E43" s="18" t="n">
        <v>17442</v>
      </c>
      <c r="F43" s="18" t="n">
        <v>33552</v>
      </c>
    </row>
    <row r="44">
      <c r="A44" s="26" t="inlineStr">
        <is>
          <t>EBITDA</t>
        </is>
      </c>
      <c r="B44" s="27" t="n">
        <v>26751</v>
      </c>
      <c r="C44" s="27" t="n">
        <v>26605</v>
      </c>
      <c r="D44" s="27" t="n">
        <v>23320</v>
      </c>
      <c r="E44" s="27" t="n">
        <v>24781</v>
      </c>
      <c r="F44" s="27" t="n">
        <v>41055</v>
      </c>
    </row>
    <row r="45">
      <c r="A45" s="17" t="inlineStr">
        <is>
          <t>Depreciation &amp; Amortisation</t>
        </is>
      </c>
      <c r="B45" s="18" t="n">
        <v>7390</v>
      </c>
      <c r="C45" s="18" t="n">
        <v>6970</v>
      </c>
      <c r="D45" s="18" t="n">
        <v>7486</v>
      </c>
      <c r="E45" s="18" t="n">
        <v>7339</v>
      </c>
      <c r="F45" s="18" t="n">
        <v>7503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53</v>
      </c>
      <c r="C47" s="18" t="n">
        <v>490</v>
      </c>
      <c r="D47" s="18" t="n">
        <v>1261</v>
      </c>
      <c r="E47" s="18" t="n">
        <v>1332</v>
      </c>
      <c r="F47" s="18" t="n">
        <v>1056</v>
      </c>
    </row>
    <row r="48">
      <c r="A48" s="17" t="inlineStr">
        <is>
          <t>Interest Expense</t>
        </is>
      </c>
      <c r="B48" s="18" t="n">
        <v>183</v>
      </c>
      <c r="C48" s="18" t="n">
        <v>276</v>
      </c>
      <c r="D48" s="18" t="n">
        <v>772</v>
      </c>
      <c r="E48" s="18" t="n">
        <v>755</v>
      </c>
      <c r="F48" s="18" t="n">
        <v>971</v>
      </c>
    </row>
    <row r="49">
      <c r="A49" s="17" t="inlineStr">
        <is>
          <t>Net Interest Income</t>
        </is>
      </c>
      <c r="B49" s="18" t="n">
        <v>-130</v>
      </c>
      <c r="C49" s="18" t="n">
        <v>214</v>
      </c>
      <c r="D49" s="18" t="n">
        <v>489</v>
      </c>
      <c r="E49" s="18" t="n">
        <v>577</v>
      </c>
      <c r="F49" s="18" t="n">
        <v>85</v>
      </c>
    </row>
    <row r="50">
      <c r="A50" s="17" t="inlineStr">
        <is>
          <t>Non-Operating Income (ex-interest)</t>
        </is>
      </c>
      <c r="B50" s="18" t="n">
        <v>1582</v>
      </c>
      <c r="C50" s="18" t="n">
        <v>1378</v>
      </c>
      <c r="D50" s="18" t="n">
        <v>7575</v>
      </c>
      <c r="E50" s="18" t="n">
        <v>4707</v>
      </c>
      <c r="F50" s="18" t="n">
        <v>-7956</v>
      </c>
    </row>
    <row r="51">
      <c r="A51" s="17" t="inlineStr">
        <is>
          <t>Total Other Income / (Expenses)</t>
        </is>
      </c>
      <c r="B51" s="18" t="n">
        <v>-1765</v>
      </c>
      <c r="C51" s="18" t="n">
        <v>-1654</v>
      </c>
      <c r="D51" s="18" t="n">
        <v>-8347</v>
      </c>
      <c r="E51" s="18" t="n">
        <v>-5462</v>
      </c>
      <c r="F51" s="18" t="n">
        <v>6985</v>
      </c>
    </row>
    <row r="52">
      <c r="A52" s="26" t="inlineStr">
        <is>
          <t>EBT / Income Before Tax</t>
        </is>
      </c>
      <c r="B52" s="27" t="n">
        <v>19178</v>
      </c>
      <c r="C52" s="27" t="n">
        <v>19359</v>
      </c>
      <c r="D52" s="27" t="n">
        <v>15062</v>
      </c>
      <c r="E52" s="27" t="n">
        <v>16687</v>
      </c>
      <c r="F52" s="27" t="n">
        <v>32581</v>
      </c>
    </row>
    <row r="53">
      <c r="A53" s="17" t="inlineStr">
        <is>
          <t>Income Tax Expense</t>
        </is>
      </c>
      <c r="B53" s="18" t="n">
        <v>1377</v>
      </c>
      <c r="C53" s="18" t="n">
        <v>2989</v>
      </c>
      <c r="D53" s="18" t="n">
        <v>1736</v>
      </c>
      <c r="E53" s="18" t="n">
        <v>2621</v>
      </c>
      <c r="F53" s="18" t="n">
        <v>5777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17801</v>
      </c>
      <c r="C55" s="18" t="n">
        <v>16370</v>
      </c>
      <c r="D55" s="18" t="n">
        <v>13326</v>
      </c>
      <c r="E55" s="18" t="n">
        <v>14066</v>
      </c>
      <c r="F55" s="18" t="n">
        <v>26804</v>
      </c>
    </row>
    <row r="56">
      <c r="A56" s="17" t="inlineStr">
        <is>
          <t>Net Income from Discontinued Ops</t>
        </is>
      </c>
      <c r="B56" s="18" t="n">
        <v>3077</v>
      </c>
      <c r="C56" s="18" t="n">
        <v>1571</v>
      </c>
      <c r="D56" s="18" t="n">
        <v>21827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20878</v>
      </c>
      <c r="C59" s="27" t="n">
        <v>17941</v>
      </c>
      <c r="D59" s="27" t="n">
        <v>35153</v>
      </c>
      <c r="E59" s="27" t="n">
        <v>14066</v>
      </c>
      <c r="F59" s="27" t="n">
        <v>26804</v>
      </c>
    </row>
    <row r="60">
      <c r="A60" s="15" t="inlineStr">
        <is>
          <t>Bottom Line Net Income</t>
        </is>
      </c>
      <c r="B60" s="16" t="n">
        <v>20878</v>
      </c>
      <c r="C60" s="16" t="n">
        <v>17941</v>
      </c>
      <c r="D60" s="16" t="n">
        <v>35153</v>
      </c>
      <c r="E60" s="16" t="n">
        <v>14066</v>
      </c>
      <c r="F60" s="16" t="n">
        <v>26804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7.93</v>
      </c>
      <c r="C62" s="18" t="n">
        <v>6.83</v>
      </c>
      <c r="D62" s="18" t="n">
        <v>13.88</v>
      </c>
      <c r="E62" s="18" t="n">
        <v>5.84</v>
      </c>
      <c r="F62" s="18" t="n">
        <v>11.03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2628.97</v>
      </c>
      <c r="C64" s="18" t="n">
        <v>2613.6</v>
      </c>
      <c r="D64" s="18" t="n">
        <v>2533.5</v>
      </c>
      <c r="E64" s="18" t="n">
        <v>2407.3</v>
      </c>
      <c r="F64" s="18" t="n">
        <v>2428.6</v>
      </c>
    </row>
    <row r="65">
      <c r="A65" s="17" t="inlineStr">
        <is>
          <t>Shares Outstanding — Diluted (mm)</t>
        </is>
      </c>
      <c r="B65" s="18" t="n">
        <v>2674</v>
      </c>
      <c r="C65" s="18" t="n">
        <v>2663.9</v>
      </c>
      <c r="D65" s="18" t="n">
        <v>2560.4</v>
      </c>
      <c r="E65" s="18" t="n">
        <v>2429.4</v>
      </c>
      <c r="F65" s="18" t="n">
        <v>2429.4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14487</v>
      </c>
      <c r="C5" s="18" t="n">
        <v>12889</v>
      </c>
      <c r="D5" s="18" t="n">
        <v>21859</v>
      </c>
      <c r="E5" s="18" t="n">
        <v>24105</v>
      </c>
      <c r="F5" s="18" t="n">
        <v>19709</v>
      </c>
    </row>
    <row r="6">
      <c r="A6" s="17" t="inlineStr">
        <is>
          <t>(2)  Receivables</t>
        </is>
      </c>
      <c r="B6" s="18" t="n">
        <v>18984</v>
      </c>
      <c r="C6" s="18" t="n">
        <v>16915</v>
      </c>
      <c r="D6" s="18" t="n">
        <v>14873</v>
      </c>
      <c r="E6" s="18" t="n">
        <v>18927</v>
      </c>
      <c r="F6" s="18" t="n">
        <v>17178</v>
      </c>
    </row>
    <row r="7">
      <c r="A7" s="17" t="inlineStr">
        <is>
          <t>(3)  Inventory</t>
        </is>
      </c>
      <c r="B7" s="18" t="n">
        <v>10387</v>
      </c>
      <c r="C7" s="18" t="n">
        <v>10268</v>
      </c>
      <c r="D7" s="18" t="n">
        <v>11181</v>
      </c>
      <c r="E7" s="18" t="n">
        <v>12444</v>
      </c>
      <c r="F7" s="18" t="n">
        <v>14191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60979</v>
      </c>
      <c r="C9" s="24" t="n">
        <v>55294</v>
      </c>
      <c r="D9" s="24" t="n">
        <v>53495</v>
      </c>
      <c r="E9" s="24" t="n">
        <v>55893</v>
      </c>
      <c r="F9" s="24" t="n">
        <v>55624</v>
      </c>
    </row>
    <row r="10">
      <c r="A10" s="17" t="inlineStr">
        <is>
          <t>(6)  PP&amp;E (Net)</t>
        </is>
      </c>
      <c r="B10" s="18" t="n">
        <v>18962</v>
      </c>
      <c r="C10" s="18" t="n">
        <v>17982</v>
      </c>
      <c r="D10" s="18" t="n">
        <v>19898</v>
      </c>
      <c r="E10" s="18" t="n">
        <v>20518</v>
      </c>
      <c r="F10" s="18" t="n">
        <v>23169</v>
      </c>
    </row>
    <row r="11">
      <c r="A11" s="17" t="inlineStr">
        <is>
          <t>(7)  Goodwill</t>
        </is>
      </c>
      <c r="B11" s="18" t="n">
        <v>35246</v>
      </c>
      <c r="C11" s="18" t="n">
        <v>36047</v>
      </c>
      <c r="D11" s="18" t="n">
        <v>36558</v>
      </c>
      <c r="E11" s="18" t="n">
        <v>44200</v>
      </c>
      <c r="F11" s="18" t="n">
        <v>48772</v>
      </c>
    </row>
    <row r="12">
      <c r="A12" s="17" t="inlineStr">
        <is>
          <t>(8)  Deferred Tax Assets</t>
        </is>
      </c>
      <c r="B12" s="18" t="n">
        <v>10223</v>
      </c>
      <c r="C12" s="18" t="n">
        <v>8947</v>
      </c>
      <c r="D12" s="18" t="n">
        <v>9279</v>
      </c>
      <c r="E12" s="18" t="n">
        <v>10461</v>
      </c>
      <c r="F12" s="18" t="n">
        <v>6874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121039</v>
      </c>
      <c r="C14" s="24" t="n">
        <v>132084</v>
      </c>
      <c r="D14" s="24" t="n">
        <v>114063</v>
      </c>
      <c r="E14" s="24" t="n">
        <v>124211</v>
      </c>
      <c r="F14" s="24" t="n">
        <v>143586</v>
      </c>
    </row>
    <row r="15">
      <c r="A15" s="19" t="inlineStr">
        <is>
          <t>(11) Total Assets</t>
        </is>
      </c>
      <c r="B15" s="24" t="n">
        <v>182018</v>
      </c>
      <c r="C15" s="24" t="n">
        <v>187378</v>
      </c>
      <c r="D15" s="24" t="n">
        <v>167558</v>
      </c>
      <c r="E15" s="24" t="n">
        <v>180104</v>
      </c>
      <c r="F15" s="24" t="n">
        <v>199210</v>
      </c>
    </row>
    <row r="16" ht="6" customHeight="1"/>
    <row r="17">
      <c r="A17" s="17" t="inlineStr">
        <is>
          <t>(12) Accounts Payable</t>
        </is>
      </c>
      <c r="B17" s="18" t="n">
        <v>11055</v>
      </c>
      <c r="C17" s="18" t="n">
        <v>9889</v>
      </c>
      <c r="D17" s="18" t="n">
        <v>9632</v>
      </c>
      <c r="E17" s="18" t="n">
        <v>10311</v>
      </c>
      <c r="F17" s="18" t="n">
        <v>11991</v>
      </c>
    </row>
    <row r="18">
      <c r="A18" s="17" t="inlineStr">
        <is>
          <t>(13) Short-Term Borrowings</t>
        </is>
      </c>
      <c r="B18" s="18" t="n">
        <v>3766</v>
      </c>
      <c r="C18" s="18" t="n">
        <v>12756</v>
      </c>
      <c r="D18" s="18" t="n">
        <v>3451</v>
      </c>
      <c r="E18" s="18" t="n">
        <v>5983</v>
      </c>
      <c r="F18" s="18" t="n">
        <v>8495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45226</v>
      </c>
      <c r="C21" s="24" t="n">
        <v>55802</v>
      </c>
      <c r="D21" s="24" t="n">
        <v>46282</v>
      </c>
      <c r="E21" s="24" t="n">
        <v>50321</v>
      </c>
      <c r="F21" s="24" t="n">
        <v>54126</v>
      </c>
    </row>
    <row r="22">
      <c r="A22" s="17" t="inlineStr">
        <is>
          <t>(17) Long-Term Debt</t>
        </is>
      </c>
      <c r="B22" s="18" t="n">
        <v>29985</v>
      </c>
      <c r="C22" s="18" t="n">
        <v>26886</v>
      </c>
      <c r="D22" s="18" t="n">
        <v>25881</v>
      </c>
      <c r="E22" s="18" t="n">
        <v>30651</v>
      </c>
      <c r="F22" s="18" t="n">
        <v>39438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107995</v>
      </c>
      <c r="C25" s="24" t="n">
        <v>110574</v>
      </c>
      <c r="D25" s="24" t="n">
        <v>98784</v>
      </c>
      <c r="E25" s="24" t="n">
        <v>108614</v>
      </c>
      <c r="F25" s="24" t="n">
        <v>117666</v>
      </c>
    </row>
    <row r="26" ht="6" customHeight="1"/>
    <row r="27">
      <c r="A27" s="17" t="inlineStr">
        <is>
          <t>(21) Common Stock &amp; APIC</t>
        </is>
      </c>
      <c r="B27" s="18" t="n">
        <v>3120</v>
      </c>
      <c r="C27" s="18" t="n">
        <v>3120</v>
      </c>
      <c r="D27" s="18" t="n">
        <v>3120</v>
      </c>
      <c r="E27" s="18" t="n">
        <v>3120</v>
      </c>
      <c r="F27" s="18" t="n">
        <v>3120</v>
      </c>
    </row>
    <row r="28">
      <c r="A28" s="17" t="inlineStr">
        <is>
          <t>(22) Retained Earnings</t>
        </is>
      </c>
      <c r="B28" s="18" t="n">
        <v>123060</v>
      </c>
      <c r="C28" s="18" t="n">
        <v>128345</v>
      </c>
      <c r="D28" s="18" t="n">
        <v>153843</v>
      </c>
      <c r="E28" s="18" t="n">
        <v>155791</v>
      </c>
      <c r="F28" s="18" t="n">
        <v>168978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74023</v>
      </c>
      <c r="C30" s="24" t="n">
        <v>76804</v>
      </c>
      <c r="D30" s="24" t="n">
        <v>68774</v>
      </c>
      <c r="E30" s="24" t="n">
        <v>71490</v>
      </c>
      <c r="F30" s="24" t="n">
        <v>81544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14487</v>
      </c>
      <c r="C36" s="18" t="n">
        <v>12889</v>
      </c>
      <c r="D36" s="18" t="n">
        <v>21859</v>
      </c>
      <c r="E36" s="18" t="n">
        <v>24105</v>
      </c>
      <c r="F36" s="18" t="n">
        <v>19709</v>
      </c>
    </row>
    <row r="37">
      <c r="A37" s="17" t="inlineStr">
        <is>
          <t>Short-Term Investments</t>
        </is>
      </c>
      <c r="B37" s="18" t="n">
        <v>17121</v>
      </c>
      <c r="C37" s="18" t="n">
        <v>9392</v>
      </c>
      <c r="D37" s="18" t="n">
        <v>1068</v>
      </c>
      <c r="E37" s="18" t="n">
        <v>417</v>
      </c>
      <c r="F37" s="18" t="n">
        <v>393</v>
      </c>
    </row>
    <row r="38">
      <c r="A38" s="28" t="inlineStr">
        <is>
          <t>Cash &amp; Short-Term Investments</t>
        </is>
      </c>
      <c r="B38" s="29" t="n">
        <v>31608</v>
      </c>
      <c r="C38" s="29" t="n">
        <v>22281</v>
      </c>
      <c r="D38" s="29" t="n">
        <v>22927</v>
      </c>
      <c r="E38" s="29" t="n">
        <v>24522</v>
      </c>
      <c r="F38" s="29" t="n">
        <v>20102</v>
      </c>
    </row>
    <row r="39">
      <c r="A39" s="17" t="inlineStr">
        <is>
          <t>Accounts Receivable (Trade)</t>
        </is>
      </c>
      <c r="B39" s="18" t="n">
        <v>15283</v>
      </c>
      <c r="C39" s="18" t="n">
        <v>14039</v>
      </c>
      <c r="D39" s="18" t="n">
        <v>14873</v>
      </c>
      <c r="E39" s="18" t="n">
        <v>14842</v>
      </c>
      <c r="F39" s="18" t="n">
        <v>17178</v>
      </c>
    </row>
    <row r="40">
      <c r="A40" s="17" t="inlineStr">
        <is>
          <t>Other Receivables</t>
        </is>
      </c>
      <c r="B40" s="18" t="n">
        <v>3701</v>
      </c>
      <c r="C40" s="18" t="n">
        <v>2876</v>
      </c>
      <c r="D40" s="18" t="n">
        <v>0</v>
      </c>
      <c r="E40" s="18" t="n">
        <v>4085</v>
      </c>
      <c r="F40" s="18" t="n">
        <v>0</v>
      </c>
    </row>
    <row r="41">
      <c r="A41" s="28" t="inlineStr">
        <is>
          <t>Net Receivables (Total)</t>
        </is>
      </c>
      <c r="B41" s="29" t="n">
        <v>18984</v>
      </c>
      <c r="C41" s="29" t="n">
        <v>16915</v>
      </c>
      <c r="D41" s="29" t="n">
        <v>14873</v>
      </c>
      <c r="E41" s="29" t="n">
        <v>18927</v>
      </c>
      <c r="F41" s="29" t="n">
        <v>17178</v>
      </c>
    </row>
    <row r="42">
      <c r="A42" s="17" t="inlineStr">
        <is>
          <t>Inventory</t>
        </is>
      </c>
      <c r="B42" s="18" t="n">
        <v>10387</v>
      </c>
      <c r="C42" s="18" t="n">
        <v>10268</v>
      </c>
      <c r="D42" s="18" t="n">
        <v>11181</v>
      </c>
      <c r="E42" s="18" t="n">
        <v>12444</v>
      </c>
      <c r="F42" s="18" t="n">
        <v>14191</v>
      </c>
    </row>
    <row r="43">
      <c r="A43" s="17" t="inlineStr">
        <is>
          <t>Prepaids</t>
        </is>
      </c>
      <c r="B43" s="18" t="n">
        <v>3701</v>
      </c>
      <c r="C43" s="18" t="n">
        <v>0</v>
      </c>
      <c r="D43" s="18" t="n">
        <v>4514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-3701</v>
      </c>
      <c r="C44" s="18" t="n">
        <v>5830</v>
      </c>
      <c r="D44" s="18" t="n">
        <v>0</v>
      </c>
      <c r="E44" s="18" t="n">
        <v>0</v>
      </c>
      <c r="F44" s="18" t="n">
        <v>4153</v>
      </c>
    </row>
    <row r="45">
      <c r="A45" s="26" t="inlineStr">
        <is>
          <t>Total Current Assets</t>
        </is>
      </c>
      <c r="B45" s="27" t="n">
        <v>60979</v>
      </c>
      <c r="C45" s="27" t="n">
        <v>55294</v>
      </c>
      <c r="D45" s="27" t="n">
        <v>53495</v>
      </c>
      <c r="E45" s="27" t="n">
        <v>55893</v>
      </c>
      <c r="F45" s="27" t="n">
        <v>55624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18962</v>
      </c>
      <c r="C47" s="18" t="n">
        <v>17982</v>
      </c>
      <c r="D47" s="18" t="n">
        <v>19898</v>
      </c>
      <c r="E47" s="18" t="n">
        <v>20518</v>
      </c>
      <c r="F47" s="18" t="n">
        <v>23169</v>
      </c>
    </row>
    <row r="48">
      <c r="A48" s="17" t="inlineStr">
        <is>
          <t>Goodwill</t>
        </is>
      </c>
      <c r="B48" s="18" t="n">
        <v>35246</v>
      </c>
      <c r="C48" s="18" t="n">
        <v>36047</v>
      </c>
      <c r="D48" s="18" t="n">
        <v>36558</v>
      </c>
      <c r="E48" s="18" t="n">
        <v>44200</v>
      </c>
      <c r="F48" s="18" t="n">
        <v>48772</v>
      </c>
    </row>
    <row r="49">
      <c r="A49" s="17" t="inlineStr">
        <is>
          <t>Intangible Assets</t>
        </is>
      </c>
      <c r="B49" s="18" t="n">
        <v>46392</v>
      </c>
      <c r="C49" s="18" t="n">
        <v>38489</v>
      </c>
      <c r="D49" s="18" t="n">
        <v>34175</v>
      </c>
      <c r="E49" s="18" t="n">
        <v>37618</v>
      </c>
      <c r="F49" s="18" t="n">
        <v>50403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10223</v>
      </c>
      <c r="C51" s="18" t="n">
        <v>8947</v>
      </c>
      <c r="D51" s="18" t="n">
        <v>9279</v>
      </c>
      <c r="E51" s="18" t="n">
        <v>10461</v>
      </c>
      <c r="F51" s="18" t="n">
        <v>6874</v>
      </c>
    </row>
    <row r="52">
      <c r="A52" s="17" t="inlineStr">
        <is>
          <t>Total Investments</t>
        </is>
      </c>
      <c r="B52" s="18" t="n">
        <v>17121</v>
      </c>
      <c r="C52" s="18" t="n">
        <v>9392</v>
      </c>
      <c r="D52" s="18" t="n">
        <v>1068</v>
      </c>
      <c r="E52" s="18" t="n">
        <v>417</v>
      </c>
      <c r="F52" s="18" t="n">
        <v>393</v>
      </c>
    </row>
    <row r="53">
      <c r="A53" s="17" t="inlineStr">
        <is>
          <t>Other Non-Current Assets</t>
        </is>
      </c>
      <c r="B53" s="18" t="n">
        <v>10216</v>
      </c>
      <c r="C53" s="18" t="n">
        <v>30619</v>
      </c>
      <c r="D53" s="18" t="n">
        <v>14153</v>
      </c>
      <c r="E53" s="18" t="n">
        <v>11414</v>
      </c>
      <c r="F53" s="18" t="n">
        <v>14368</v>
      </c>
    </row>
    <row r="54">
      <c r="A54" s="26" t="inlineStr">
        <is>
          <t>Total Non-Current Assets</t>
        </is>
      </c>
      <c r="B54" s="27" t="n">
        <v>121039</v>
      </c>
      <c r="C54" s="27" t="n">
        <v>132084</v>
      </c>
      <c r="D54" s="27" t="n">
        <v>114063</v>
      </c>
      <c r="E54" s="27" t="n">
        <v>124211</v>
      </c>
      <c r="F54" s="27" t="n">
        <v>143586</v>
      </c>
    </row>
    <row r="55">
      <c r="A55" s="13" t="inlineStr">
        <is>
          <t>TOTAL ASSETS</t>
        </is>
      </c>
      <c r="B55" s="30" t="n">
        <v>182018</v>
      </c>
      <c r="C55" s="30" t="n">
        <v>187378</v>
      </c>
      <c r="D55" s="30" t="n">
        <v>167558</v>
      </c>
      <c r="E55" s="30" t="n">
        <v>180104</v>
      </c>
      <c r="F55" s="30" t="n">
        <v>199210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11055</v>
      </c>
      <c r="C57" s="18" t="n">
        <v>9889</v>
      </c>
      <c r="D57" s="18" t="n">
        <v>9632</v>
      </c>
      <c r="E57" s="18" t="n">
        <v>10311</v>
      </c>
      <c r="F57" s="18" t="n">
        <v>11991</v>
      </c>
    </row>
    <row r="58">
      <c r="A58" s="17" t="inlineStr">
        <is>
          <t>Short-Term Debt</t>
        </is>
      </c>
      <c r="B58" s="18" t="n">
        <v>3766</v>
      </c>
      <c r="C58" s="18" t="n">
        <v>12756</v>
      </c>
      <c r="D58" s="18" t="n">
        <v>3451</v>
      </c>
      <c r="E58" s="18" t="n">
        <v>5983</v>
      </c>
      <c r="F58" s="18" t="n">
        <v>8495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3586</v>
      </c>
      <c r="C61" s="18" t="n">
        <v>6639</v>
      </c>
      <c r="D61" s="18" t="n">
        <v>3993</v>
      </c>
      <c r="E61" s="18" t="n">
        <v>4126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45226</v>
      </c>
      <c r="C63" s="27" t="n">
        <v>55802</v>
      </c>
      <c r="D63" s="27" t="n">
        <v>46282</v>
      </c>
      <c r="E63" s="27" t="n">
        <v>50321</v>
      </c>
      <c r="F63" s="27" t="n">
        <v>54126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29985</v>
      </c>
      <c r="C65" s="18" t="n">
        <v>26886</v>
      </c>
      <c r="D65" s="18" t="n">
        <v>25881</v>
      </c>
      <c r="E65" s="18" t="n">
        <v>30651</v>
      </c>
      <c r="F65" s="18" t="n">
        <v>39438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7487</v>
      </c>
      <c r="C68" s="18" t="n">
        <v>3991</v>
      </c>
      <c r="D68" s="18" t="n">
        <v>3193</v>
      </c>
      <c r="E68" s="18" t="n">
        <v>2448</v>
      </c>
      <c r="F68" s="18" t="n">
        <v>6791</v>
      </c>
    </row>
    <row r="69">
      <c r="A69" s="17" t="inlineStr">
        <is>
          <t>Other Non-Current Liabilities</t>
        </is>
      </c>
      <c r="B69" s="18" t="n">
        <v>25297</v>
      </c>
      <c r="C69" s="18" t="n">
        <v>23895</v>
      </c>
      <c r="D69" s="18" t="n">
        <v>23428</v>
      </c>
      <c r="E69" s="18" t="n">
        <v>25194</v>
      </c>
      <c r="F69" s="18" t="n">
        <v>17311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107995</v>
      </c>
      <c r="C71" s="30" t="n">
        <v>110574</v>
      </c>
      <c r="D71" s="30" t="n">
        <v>98784</v>
      </c>
      <c r="E71" s="30" t="n">
        <v>108614</v>
      </c>
      <c r="F71" s="30" t="n">
        <v>117666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3120</v>
      </c>
      <c r="C73" s="18" t="n">
        <v>3120</v>
      </c>
      <c r="D73" s="18" t="n">
        <v>3120</v>
      </c>
      <c r="E73" s="18" t="n">
        <v>3120</v>
      </c>
      <c r="F73" s="18" t="n">
        <v>3120</v>
      </c>
    </row>
    <row r="74">
      <c r="A74" s="17" t="inlineStr">
        <is>
          <t>Retained Earnings</t>
        </is>
      </c>
      <c r="B74" s="18" t="n">
        <v>123060</v>
      </c>
      <c r="C74" s="18" t="n">
        <v>128345</v>
      </c>
      <c r="D74" s="18" t="n">
        <v>153843</v>
      </c>
      <c r="E74" s="18" t="n">
        <v>155791</v>
      </c>
      <c r="F74" s="18" t="n">
        <v>168978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74023</v>
      </c>
      <c r="C78" s="27" t="n">
        <v>76804</v>
      </c>
      <c r="D78" s="27" t="n">
        <v>68774</v>
      </c>
      <c r="E78" s="27" t="n">
        <v>71490</v>
      </c>
      <c r="F78" s="27" t="n">
        <v>81544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23410</v>
      </c>
      <c r="C5" s="24" t="n">
        <v>21194</v>
      </c>
      <c r="D5" s="24" t="n">
        <v>22791</v>
      </c>
      <c r="E5" s="24" t="n">
        <v>24266</v>
      </c>
      <c r="F5" s="24" t="n">
        <v>24530</v>
      </c>
    </row>
    <row r="6">
      <c r="A6" s="17" t="inlineStr">
        <is>
          <t>(2)  Capital Expenditures</t>
        </is>
      </c>
      <c r="B6" s="18" t="n">
        <v>-3652</v>
      </c>
      <c r="C6" s="18" t="n">
        <v>-4009</v>
      </c>
      <c r="D6" s="18" t="n">
        <v>-4543</v>
      </c>
      <c r="E6" s="18" t="n">
        <v>-4424</v>
      </c>
      <c r="F6" s="18" t="n">
        <v>-4832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-990</v>
      </c>
      <c r="C9" s="18" t="n">
        <v>7452</v>
      </c>
      <c r="D9" s="18" t="n">
        <v>-2734</v>
      </c>
      <c r="E9" s="18" t="n">
        <v>10051</v>
      </c>
      <c r="F9" s="18" t="n">
        <v>9637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4241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-11032</v>
      </c>
      <c r="C12" s="18" t="n">
        <v>-11682</v>
      </c>
      <c r="D12" s="18" t="n">
        <v>-11770</v>
      </c>
      <c r="E12" s="18" t="n">
        <v>-11823</v>
      </c>
      <c r="F12" s="18" t="n">
        <v>-12381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19758</v>
      </c>
      <c r="C15" s="24" t="n">
        <v>17185</v>
      </c>
      <c r="D15" s="24" t="n">
        <v>18248</v>
      </c>
      <c r="E15" s="24" t="n">
        <v>19842</v>
      </c>
      <c r="F15" s="24" t="n">
        <v>19698</v>
      </c>
    </row>
    <row r="16">
      <c r="A16" s="15" t="inlineStr">
        <is>
          <t xml:space="preserve">     Net Change in Cash</t>
        </is>
      </c>
      <c r="B16" s="16" t="n">
        <v>502</v>
      </c>
      <c r="C16" s="16" t="n">
        <v>-360</v>
      </c>
      <c r="D16" s="16" t="n">
        <v>7732</v>
      </c>
      <c r="E16" s="16" t="n">
        <v>2246</v>
      </c>
      <c r="F16" s="16" t="n">
        <v>-4396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20878</v>
      </c>
      <c r="C21" s="18" t="n">
        <v>17941</v>
      </c>
      <c r="D21" s="18" t="n">
        <v>13326</v>
      </c>
      <c r="E21" s="18" t="n">
        <v>14066</v>
      </c>
      <c r="F21" s="18" t="n">
        <v>26804</v>
      </c>
    </row>
    <row r="22">
      <c r="A22" s="17" t="inlineStr">
        <is>
          <t>Depreciation &amp; Amortisation</t>
        </is>
      </c>
      <c r="B22" s="18" t="n">
        <v>7390</v>
      </c>
      <c r="C22" s="18" t="n">
        <v>6970</v>
      </c>
      <c r="D22" s="18" t="n">
        <v>7486</v>
      </c>
      <c r="E22" s="18" t="n">
        <v>7339</v>
      </c>
      <c r="F22" s="18" t="n">
        <v>7503</v>
      </c>
    </row>
    <row r="23">
      <c r="A23" s="17" t="inlineStr">
        <is>
          <t>Deferred Income Tax</t>
        </is>
      </c>
      <c r="B23" s="18" t="n">
        <v>-2079</v>
      </c>
      <c r="C23" s="18" t="n">
        <v>-1663</v>
      </c>
      <c r="D23" s="18" t="n">
        <v>-4194</v>
      </c>
      <c r="E23" s="18" t="n">
        <v>-2183</v>
      </c>
      <c r="F23" s="18" t="n">
        <v>1538</v>
      </c>
    </row>
    <row r="24">
      <c r="A24" s="17" t="inlineStr">
        <is>
          <t>Stock-Based Compensation</t>
        </is>
      </c>
      <c r="B24" s="18" t="n">
        <v>1135</v>
      </c>
      <c r="C24" s="18" t="n">
        <v>1138</v>
      </c>
      <c r="D24" s="18" t="n">
        <v>1162</v>
      </c>
      <c r="E24" s="18" t="n">
        <v>1176</v>
      </c>
      <c r="F24" s="18" t="n">
        <v>1354</v>
      </c>
    </row>
    <row r="25">
      <c r="A25" s="17" t="inlineStr">
        <is>
          <t>Change in Working Capital</t>
        </is>
      </c>
      <c r="B25" s="18" t="n">
        <v>-4238</v>
      </c>
      <c r="C25" s="18" t="n">
        <v>-4011</v>
      </c>
      <c r="D25" s="18" t="n">
        <v>2507</v>
      </c>
      <c r="E25" s="18" t="n">
        <v>1837</v>
      </c>
      <c r="F25" s="18" t="n">
        <v>-12718</v>
      </c>
    </row>
    <row r="26">
      <c r="A26" s="21" t="inlineStr">
        <is>
          <t xml:space="preserve">  — Accounts Receivable</t>
        </is>
      </c>
      <c r="B26" s="18" t="n">
        <v>-2402</v>
      </c>
      <c r="C26" s="18" t="n">
        <v>-1290</v>
      </c>
      <c r="D26" s="18" t="n">
        <v>-624</v>
      </c>
      <c r="E26" s="18" t="n">
        <v>-406</v>
      </c>
      <c r="F26" s="18" t="n">
        <v>-1781</v>
      </c>
    </row>
    <row r="27">
      <c r="A27" s="21" t="inlineStr">
        <is>
          <t xml:space="preserve">  — Inventory</t>
        </is>
      </c>
      <c r="B27" s="18" t="n">
        <v>-1248</v>
      </c>
      <c r="C27" s="18" t="n">
        <v>-2527</v>
      </c>
      <c r="D27" s="18" t="n">
        <v>-1323</v>
      </c>
      <c r="E27" s="18" t="n">
        <v>-1128</v>
      </c>
      <c r="F27" s="18" t="n">
        <v>-1450</v>
      </c>
    </row>
    <row r="28">
      <c r="A28" s="21" t="inlineStr">
        <is>
          <t xml:space="preserve">  — Accounts Payable</t>
        </is>
      </c>
      <c r="B28" s="18" t="n">
        <v>2437</v>
      </c>
      <c r="C28" s="18" t="n">
        <v>1098</v>
      </c>
      <c r="D28" s="18" t="n">
        <v>2346</v>
      </c>
      <c r="E28" s="18" t="n">
        <v>1621</v>
      </c>
      <c r="F28" s="18" t="n">
        <v>2377</v>
      </c>
    </row>
    <row r="29">
      <c r="A29" s="21" t="inlineStr">
        <is>
          <t xml:space="preserve">  — Other Working Capital</t>
        </is>
      </c>
      <c r="B29" s="18" t="n">
        <v>-3025</v>
      </c>
      <c r="C29" s="18" t="n">
        <v>-1292</v>
      </c>
      <c r="D29" s="18" t="n">
        <v>2108</v>
      </c>
      <c r="E29" s="18" t="n">
        <v>1750</v>
      </c>
      <c r="F29" s="18" t="n">
        <v>-11864</v>
      </c>
    </row>
    <row r="30">
      <c r="A30" s="17" t="inlineStr">
        <is>
          <t>Other Non-Cash Items</t>
        </is>
      </c>
      <c r="B30" s="18" t="n">
        <v>324</v>
      </c>
      <c r="C30" s="18" t="n">
        <v>819</v>
      </c>
      <c r="D30" s="18" t="n">
        <v>2504</v>
      </c>
      <c r="E30" s="18" t="n">
        <v>2031</v>
      </c>
      <c r="F30" s="18" t="n">
        <v>49</v>
      </c>
    </row>
    <row r="31">
      <c r="A31" s="26" t="inlineStr">
        <is>
          <t>Net Cash from Operations (CFO)</t>
        </is>
      </c>
      <c r="B31" s="27" t="n">
        <v>23410</v>
      </c>
      <c r="C31" s="27" t="n">
        <v>21194</v>
      </c>
      <c r="D31" s="27" t="n">
        <v>22791</v>
      </c>
      <c r="E31" s="27" t="n">
        <v>24266</v>
      </c>
      <c r="F31" s="27" t="n">
        <v>24530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-3652</v>
      </c>
      <c r="C33" s="18" t="n">
        <v>-4009</v>
      </c>
      <c r="D33" s="18" t="n">
        <v>-4543</v>
      </c>
      <c r="E33" s="18" t="n">
        <v>-4424</v>
      </c>
      <c r="F33" s="18" t="n">
        <v>-4832</v>
      </c>
    </row>
    <row r="34">
      <c r="A34" s="21" t="inlineStr">
        <is>
          <t xml:space="preserve">  (Alt: Invest. in PP&amp;E)</t>
        </is>
      </c>
      <c r="B34" s="18" t="n">
        <v>-3652</v>
      </c>
      <c r="C34" s="18" t="n">
        <v>-4009</v>
      </c>
      <c r="D34" s="18" t="n">
        <v>-4543</v>
      </c>
      <c r="E34" s="18" t="n">
        <v>-4424</v>
      </c>
      <c r="F34" s="18" t="n">
        <v>-4832</v>
      </c>
    </row>
    <row r="35">
      <c r="A35" s="17" t="inlineStr">
        <is>
          <t>Acquisitions (Net)</t>
        </is>
      </c>
      <c r="B35" s="18" t="n">
        <v>-60</v>
      </c>
      <c r="C35" s="18" t="n">
        <v>-17652</v>
      </c>
      <c r="D35" s="18" t="n">
        <v>0</v>
      </c>
      <c r="E35" s="18" t="n">
        <v>-15146</v>
      </c>
      <c r="F35" s="18" t="n">
        <v>-17541</v>
      </c>
    </row>
    <row r="36">
      <c r="A36" s="17" t="inlineStr">
        <is>
          <t>Purchases of Investments</t>
        </is>
      </c>
      <c r="B36" s="18" t="n">
        <v>-30394</v>
      </c>
      <c r="C36" s="18" t="n">
        <v>-32384</v>
      </c>
      <c r="D36" s="18" t="n">
        <v>-10906</v>
      </c>
      <c r="E36" s="18" t="n">
        <v>-1726</v>
      </c>
      <c r="F36" s="18" t="n">
        <v>-920</v>
      </c>
    </row>
    <row r="37">
      <c r="A37" s="17" t="inlineStr">
        <is>
          <t>Sales / Maturities of Investments</t>
        </is>
      </c>
      <c r="B37" s="18" t="n">
        <v>25006</v>
      </c>
      <c r="C37" s="18" t="n">
        <v>41609</v>
      </c>
      <c r="D37" s="18" t="n">
        <v>19390</v>
      </c>
      <c r="E37" s="18" t="n">
        <v>2462</v>
      </c>
      <c r="F37" s="18" t="n">
        <v>1661</v>
      </c>
    </row>
    <row r="38">
      <c r="A38" s="17" t="inlineStr">
        <is>
          <t>Other Investing Activities</t>
        </is>
      </c>
      <c r="B38" s="18" t="n">
        <v>417</v>
      </c>
      <c r="C38" s="18" t="n">
        <v>65</v>
      </c>
      <c r="D38" s="18" t="n">
        <v>-3063</v>
      </c>
      <c r="E38" s="18" t="n">
        <v>235</v>
      </c>
      <c r="F38" s="18" t="n">
        <v>-1956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-990</v>
      </c>
      <c r="C41" s="18" t="n">
        <v>7452</v>
      </c>
      <c r="D41" s="18" t="n">
        <v>-2734</v>
      </c>
      <c r="E41" s="18" t="n">
        <v>10051</v>
      </c>
      <c r="F41" s="18" t="n">
        <v>9637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4241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-3456</v>
      </c>
      <c r="C44" s="18" t="n">
        <v>-6035</v>
      </c>
      <c r="D44" s="18" t="n">
        <v>-5054</v>
      </c>
      <c r="E44" s="18" t="n">
        <v>-2432</v>
      </c>
      <c r="F44" s="18" t="n">
        <v>-5953</v>
      </c>
    </row>
    <row r="45">
      <c r="A45" s="17" t="inlineStr">
        <is>
          <t>Dividends Paid</t>
        </is>
      </c>
      <c r="B45" s="18" t="n">
        <v>-11032</v>
      </c>
      <c r="C45" s="18" t="n">
        <v>-11682</v>
      </c>
      <c r="D45" s="18" t="n">
        <v>-11770</v>
      </c>
      <c r="E45" s="18" t="n">
        <v>-11823</v>
      </c>
      <c r="F45" s="18" t="n">
        <v>-12381</v>
      </c>
    </row>
    <row r="46">
      <c r="A46" s="17" t="inlineStr">
        <is>
          <t>Other Financing Activities</t>
        </is>
      </c>
      <c r="B46" s="18" t="n">
        <v>1431</v>
      </c>
      <c r="C46" s="18" t="n">
        <v>1394</v>
      </c>
      <c r="D46" s="18" t="n">
        <v>-508</v>
      </c>
      <c r="E46" s="18" t="n">
        <v>1072</v>
      </c>
      <c r="F46" s="18" t="n">
        <v>3158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-178</v>
      </c>
      <c r="C49" s="18" t="n">
        <v>-312</v>
      </c>
      <c r="D49" s="18" t="n">
        <v>-112</v>
      </c>
      <c r="E49" s="18" t="n">
        <v>-289</v>
      </c>
      <c r="F49" s="18" t="n">
        <v>201</v>
      </c>
    </row>
    <row r="50">
      <c r="A50" s="15" t="inlineStr">
        <is>
          <t>Net Change in Cash</t>
        </is>
      </c>
      <c r="B50" s="16" t="n">
        <v>502</v>
      </c>
      <c r="C50" s="16" t="n">
        <v>-360</v>
      </c>
      <c r="D50" s="16" t="n">
        <v>7732</v>
      </c>
      <c r="E50" s="16" t="n">
        <v>2246</v>
      </c>
      <c r="F50" s="16" t="n">
        <v>-4396</v>
      </c>
    </row>
    <row r="51">
      <c r="A51" s="17" t="inlineStr">
        <is>
          <t>Cash at Beginning of Period</t>
        </is>
      </c>
      <c r="B51" s="18" t="n">
        <v>13985</v>
      </c>
      <c r="C51" s="18" t="n">
        <v>14487</v>
      </c>
      <c r="D51" s="18" t="n">
        <v>14127</v>
      </c>
      <c r="E51" s="18" t="n">
        <v>21859</v>
      </c>
      <c r="F51" s="18" t="n">
        <v>24105</v>
      </c>
    </row>
    <row r="52">
      <c r="A52" s="26" t="inlineStr">
        <is>
          <t>Cash at End of Period</t>
        </is>
      </c>
      <c r="B52" s="27" t="n">
        <v>14487</v>
      </c>
      <c r="C52" s="27" t="n">
        <v>14127</v>
      </c>
      <c r="D52" s="27" t="n">
        <v>21859</v>
      </c>
      <c r="E52" s="27" t="n">
        <v>24105</v>
      </c>
      <c r="F52" s="27" t="n">
        <v>19709</v>
      </c>
    </row>
    <row r="53">
      <c r="A53" s="26" t="inlineStr">
        <is>
          <t>Free Cash Flow</t>
        </is>
      </c>
      <c r="B53" s="27" t="n">
        <v>19758</v>
      </c>
      <c r="C53" s="27" t="n">
        <v>17185</v>
      </c>
      <c r="D53" s="27" t="n">
        <v>18248</v>
      </c>
      <c r="E53" s="27" t="n">
        <v>19842</v>
      </c>
      <c r="F53" s="27" t="n">
        <v>19698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2674</v>
      </c>
      <c r="C61" s="18" t="n">
        <v>2663.9</v>
      </c>
      <c r="D61" s="18" t="n">
        <v>2560.4</v>
      </c>
      <c r="E61" s="18" t="n">
        <v>2429.4</v>
      </c>
      <c r="F61" s="18" t="n">
        <v>2429.4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60401</v>
      </c>
      <c r="C5" s="18" t="n">
        <v>56964</v>
      </c>
      <c r="D5" s="18" t="n">
        <v>54759</v>
      </c>
      <c r="E5" s="18" t="n">
        <v>52563</v>
      </c>
      <c r="F5" s="18" t="n">
        <v>14635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JNJ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545740.8462</v>
      </c>
      <c r="C5" s="44" t="inlineStr">
        <is>
          <t>FMP marketCap  |  price $226.71</t>
        </is>
      </c>
    </row>
    <row r="6">
      <c r="A6" s="17" t="inlineStr">
        <is>
          <t>Debt  (gross book value, $mm)</t>
        </is>
      </c>
      <c r="B6" s="43" t="n">
        <v>47933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0.0447</v>
      </c>
      <c r="C12" s="44" t="inlineStr">
        <is>
          <t>FRED series DGS10  |  latest: 2026-05-14</t>
        </is>
      </c>
    </row>
    <row r="13">
      <c r="A13" s="47" t="inlineStr">
        <is>
          <t>► Selected Rf  (override if needed)</t>
        </is>
      </c>
      <c r="B13" s="48" t="n">
        <v>0.0447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0.263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0.506</v>
      </c>
      <c r="C17" s="44" t="inlineStr">
        <is>
          <t>Mean-reversion toward market beta of 1.0</t>
        </is>
      </c>
    </row>
    <row r="18">
      <c r="A18" s="17" t="inlineStr">
        <is>
          <t>Damodaran industry unlevered  (Drug Manufacturers - General)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0.09x,  t = 17.7%)</t>
        </is>
      </c>
      <c r="B19" s="50" t="n">
        <v>1.072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0.614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26.4</v>
      </c>
      <c r="C33" s="44" t="inlineStr">
        <is>
          <t>EBIT $25596mm  /  Int Exp $971mm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26.4x  →  AAA</t>
        </is>
      </c>
    </row>
    <row r="35">
      <c r="A35" s="17" t="inlineStr">
        <is>
          <t>Synthetic Rd  (Rf + Damodaran default spread)</t>
        </is>
      </c>
      <c r="B35" s="46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6" t="n">
        <v>0.02296404034670734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$85mm  (int inc $1056mm &gt; int exp $971mm)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0.0365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0.1773</v>
      </c>
      <c r="C41" s="44" t="inlineStr">
        <is>
          <t>FMP: $5777mm  /  $32581mm</t>
        </is>
      </c>
    </row>
    <row r="42">
      <c r="A42" s="47" t="inlineStr">
        <is>
          <t>► Selected tax rate  (user override)</t>
        </is>
      </c>
      <c r="B42" s="48" t="n">
        <v>0.1773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JNJ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0.0711</v>
      </c>
      <c r="H7" s="71" t="n">
        <v>0.067</v>
      </c>
      <c r="I7" s="71" t="n">
        <v>0.067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0.3322</v>
      </c>
      <c r="H8" s="71" t="n">
        <v>0.3322</v>
      </c>
      <c r="I8" s="71" t="n">
        <v>0.3322</v>
      </c>
      <c r="J8" s="72">
        <f>I8</f>
        <v/>
      </c>
      <c r="K8" s="72">
        <f>I8</f>
        <v/>
      </c>
      <c r="L8" s="73" t="n">
        <v>0.4359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100887.3</v>
      </c>
      <c r="H15" s="77" t="n">
        <v>107647.5</v>
      </c>
      <c r="I15" s="77" t="n">
        <v>114855.1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100,697 — 101,147</t>
        </is>
      </c>
      <c r="H16" s="82" t="inlineStr">
        <is>
          <t>104,529 — 109,267</t>
        </is>
      </c>
      <c r="I16" s="82" t="inlineStr">
        <is>
          <t>114,778 — 114,932</t>
        </is>
      </c>
      <c r="J16" s="82" t="inlineStr">
        <is>
          <t>118,057 — 123,331</t>
        </is>
      </c>
      <c r="K16" s="82" t="inlineStr">
        <is>
          <t>127,666 — 133,369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17</v>
      </c>
      <c r="H17" s="84" t="n">
        <v>18</v>
      </c>
      <c r="I17" s="84" t="n">
        <v>17</v>
      </c>
      <c r="J17" s="84" t="n">
        <v>11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33515.6</v>
      </c>
      <c r="H20" s="77" t="n">
        <v>35761.4</v>
      </c>
      <c r="I20" s="77" t="n">
        <v>38155.9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33,452 — 33,602</t>
        </is>
      </c>
      <c r="H21" s="82" t="inlineStr">
        <is>
          <t>34,725 — 36,300</t>
        </is>
      </c>
      <c r="I21" s="82" t="inlineStr">
        <is>
          <t>38,130 — 38,181</t>
        </is>
      </c>
      <c r="J21" s="82" t="inlineStr">
        <is>
          <t>39,220 — 40,972</t>
        </is>
      </c>
      <c r="K21" s="82" t="inlineStr">
        <is>
          <t>42,412 — 44,306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2429.4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226.71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JNJ  |  Master Prompt v2  |  16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72.8% ✓ (&gt;40%)  |  GM trend +3.5% ✓ (&gt;+1pp)  |  ROIC-WACC +17.3% ✓ (&gt;+5pp)  |  Rev consistency σ=1.9%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72.8% ✓ (&gt;40%)  |  GM trend +3.5% ✓ (&gt;+1pp)  |  ROIC-WACC +17.3% ✓ (&gt;+5pp)  |  Rev consistency σ=1.9%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  <c r="E11" s="134" t="inlineStr">
        <is>
          <t>MOD-HIGH</t>
        </is>
      </c>
      <c r="F11" s="131" t="n">
        <v>6.67</v>
      </c>
      <c r="G11" s="132">
        <f>IF(F11="",0,C11*F11*10)</f>
        <v/>
      </c>
      <c r="H11" s="133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5.6%</t>
        </is>
      </c>
      <c r="E13" s="134" t="inlineStr">
        <is>
          <t>MOD-HIGH</t>
        </is>
      </c>
      <c r="F13" s="131" t="n">
        <v>7.6</v>
      </c>
      <c r="G13" s="132">
        <f>IF(F13="",0,C13*F13*10)</f>
        <v/>
      </c>
      <c r="H13" s="133" t="inlineStr">
        <is>
          <t>5.6%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80%  [trend penalty: declined &gt;15pp vs 3yr ago]  [through-cycle: 70/30 latest+5yr median, latest 73.5% → smoothed 79.8%]</t>
        </is>
      </c>
      <c r="E14" s="135" t="inlineStr">
        <is>
          <t>MOD-LOW</t>
        </is>
      </c>
      <c r="F14" s="131" t="n">
        <v>4.97</v>
      </c>
      <c r="G14" s="132">
        <f>IF(F14="",0,C14*F14*10)</f>
        <v/>
      </c>
      <c r="H14" s="133" t="inlineStr">
        <is>
          <t>80%  [trend penalty: declined &gt;15pp vs 3yr ago]  [through-cycle: 70/30 latest+5yr median, latest 73.5% → smoothed 79.8%]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$5,953mm latest FY — debt-funded  [payout 30%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$5,953mm latest FY — debt-funded  [payout 30%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19.7%</t>
        </is>
      </c>
      <c r="E16" s="134" t="inlineStr">
        <is>
          <t>MOD-HIGH</t>
        </is>
      </c>
      <c r="F16" s="131" t="n">
        <v>9.880000000000001</v>
      </c>
      <c r="G16" s="132">
        <f>IF(F16="",0,C16*F16*10)</f>
        <v/>
      </c>
      <c r="H16" s="133" t="inlineStr">
        <is>
          <t>19.7%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1.2x</t>
        </is>
      </c>
      <c r="E18" s="130" t="inlineStr">
        <is>
          <t>HIGH</t>
        </is>
      </c>
      <c r="F18" s="131" t="n">
        <v>10.61</v>
      </c>
      <c r="G18" s="132">
        <f>IF(F18="",0,C18*F18*10)</f>
        <v/>
      </c>
      <c r="H18" s="133" t="inlineStr">
        <is>
          <t>1.2x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26.4x</t>
        </is>
      </c>
      <c r="E19" s="130" t="inlineStr">
        <is>
          <t>HIGH</t>
        </is>
      </c>
      <c r="F19" s="131" t="n">
        <v>12</v>
      </c>
      <c r="G19" s="132">
        <f>IF(F19="",0,C19*F19*10)</f>
        <v/>
      </c>
      <c r="H19" s="133" t="inlineStr">
        <is>
          <t>26.4x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σ=1.9%  |  Op margin σ=0.9%  [proxy — lower σ = lower risk = higher score]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σ=1.9%  |  Op margin σ=0.9%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18.8x  |  5yr avg 20.4x  |  DCF-implied 35.2x  [-8% vs benchmark]</t>
        </is>
      </c>
      <c r="E22" s="134" t="inlineStr">
        <is>
          <t>MOD-HIGH</t>
        </is>
      </c>
      <c r="F22" s="131" t="n">
        <v>8.18</v>
      </c>
      <c r="G22" s="132">
        <f>IF(F22="",0,C22*F22*10)</f>
        <v/>
      </c>
      <c r="H22" s="133" t="inlineStr">
        <is>
          <t>Current 18.8x  |  5yr avg 20.4x  |  DCF-implied 35.2x  [-8%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25.6x  |  5yr avg 22.9x  |  DCF-implied 47.9x  [+12% vs benchmark]</t>
        </is>
      </c>
      <c r="E23" s="135" t="inlineStr">
        <is>
          <t>MOD-LOW</t>
        </is>
      </c>
      <c r="F23" s="131" t="n">
        <v>5.11</v>
      </c>
      <c r="G23" s="132">
        <f>IF(F23="",0,C23*F23*10)</f>
        <v/>
      </c>
      <c r="H23" s="133" t="inlineStr">
        <is>
          <t>Current 25.6x  |  5yr avg 22.9x  |  DCF-implied 47.9x  [+12%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2026-05-16T03:56:38Z</dcterms:created>
  <dcterms:modified xsi:type="dcterms:W3CDTF">2026-05-16T03:56:50Z</dcterms:modified>
</cp:coreProperties>
</file>