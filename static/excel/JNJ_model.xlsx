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999999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D4E6F1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170" fontId="7" fillId="5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left" vertical="center" indent="1"/>
    </xf>
    <xf numFmtId="49" fontId="16" fillId="14" borderId="1" applyAlignment="1" pivotButton="0" quotePrefix="0" xfId="0">
      <alignment horizontal="right" vertical="center"/>
    </xf>
    <xf numFmtId="165" fontId="16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3" borderId="1" applyAlignment="1" pivotButton="0" quotePrefix="0" xfId="0">
      <alignment horizontal="right" vertical="center"/>
    </xf>
    <xf numFmtId="0" fontId="17" fillId="13" borderId="1" applyAlignment="1" pivotButton="0" quotePrefix="0" xfId="0">
      <alignment horizontal="left" wrapText="1" indent="1"/>
    </xf>
    <xf numFmtId="0" fontId="3" fillId="15" borderId="1" applyAlignment="1" pivotButton="0" quotePrefix="0" xfId="0">
      <alignment horizontal="left" vertical="center" indent="1"/>
    </xf>
    <xf numFmtId="164" fontId="7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wrapText="1" indent="1"/>
    </xf>
    <xf numFmtId="0" fontId="18" fillId="5" borderId="1" applyAlignment="1" pivotButton="0" quotePrefix="0" xfId="0">
      <alignment horizontal="left" vertical="center" indent="2"/>
    </xf>
    <xf numFmtId="0" fontId="19" fillId="5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right" vertical="center"/>
    </xf>
    <xf numFmtId="165" fontId="18" fillId="14" borderId="1" applyAlignment="1" pivotButton="0" quotePrefix="0" xfId="0">
      <alignment horizontal="right" vertical="center"/>
    </xf>
    <xf numFmtId="165" fontId="18" fillId="9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3" fillId="14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171" fontId="20" fillId="13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1" fontId="5" fillId="13" borderId="1" applyAlignment="1" pivotButton="0" quotePrefix="0" xfId="0">
      <alignment horizontal="right" vertical="center"/>
    </xf>
    <xf numFmtId="173" fontId="5" fillId="13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1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3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5" borderId="1" applyAlignment="1" pivotButton="0" quotePrefix="0" xfId="0">
      <alignment horizontal="right" vertical="center"/>
    </xf>
    <xf numFmtId="167" fontId="21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3" fillId="16" borderId="0" applyAlignment="1" pivotButton="0" quotePrefix="0" xfId="0">
      <alignment horizontal="left" vertical="center" wrapText="1" indent="1"/>
    </xf>
    <xf numFmtId="0" fontId="24" fillId="7" borderId="1" applyAlignment="1" pivotButton="0" quotePrefix="0" xfId="0">
      <alignment horizontal="left" vertical="center" indent="1"/>
    </xf>
    <xf numFmtId="0" fontId="24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5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left" vertical="center"/>
    </xf>
    <xf numFmtId="0" fontId="25" fillId="13" borderId="1" applyAlignment="1" pivotButton="0" quotePrefix="0" xfId="0">
      <alignment horizontal="center" vertical="center"/>
    </xf>
    <xf numFmtId="168" fontId="6" fillId="13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left" vertical="center"/>
    </xf>
    <xf numFmtId="0" fontId="27" fillId="16" borderId="1" applyAlignment="1" pivotButton="0" quotePrefix="0" xfId="0">
      <alignment horizontal="center" vertical="center"/>
    </xf>
    <xf numFmtId="176" fontId="3" fillId="13" borderId="1" applyAlignment="1" pivotButton="0" quotePrefix="0" xfId="0">
      <alignment horizontal="center" vertical="center"/>
    </xf>
    <xf numFmtId="176" fontId="6" fillId="13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left" vertical="center" wrapText="1"/>
    </xf>
    <xf numFmtId="0" fontId="28" fillId="18" borderId="1" applyAlignment="1" pivotButton="0" quotePrefix="0" xfId="0">
      <alignment horizontal="center" vertical="center"/>
    </xf>
    <xf numFmtId="0" fontId="29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22" fillId="4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JNJ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94193</v>
      </c>
    </row>
    <row r="8">
      <c r="A8" s="3" t="inlineStr">
        <is>
          <t>Gross Profit ($mm)</t>
        </is>
      </c>
      <c r="B8" s="7" t="n">
        <v>68558</v>
      </c>
    </row>
    <row r="9">
      <c r="A9" s="3" t="inlineStr">
        <is>
          <t>EBITDA ($mm)</t>
        </is>
      </c>
      <c r="B9" s="7" t="n">
        <v>41055</v>
      </c>
    </row>
    <row r="10">
      <c r="A10" s="3" t="inlineStr">
        <is>
          <t>EBIT ($mm)</t>
        </is>
      </c>
      <c r="B10" s="7" t="n">
        <v>25596</v>
      </c>
    </row>
    <row r="11">
      <c r="A11" s="3" t="inlineStr">
        <is>
          <t>Net Income ($mm)</t>
        </is>
      </c>
      <c r="B11" s="7" t="n">
        <v>26804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78740</v>
      </c>
      <c r="C5" s="16" t="n">
        <v>79990</v>
      </c>
      <c r="D5" s="16" t="n">
        <v>85159</v>
      </c>
      <c r="E5" s="16" t="n">
        <v>88821</v>
      </c>
      <c r="F5" s="16" t="n">
        <v>94193</v>
      </c>
    </row>
    <row r="6">
      <c r="A6" s="17" t="inlineStr">
        <is>
          <t>(2)  Cost of Revenue (COGS)</t>
        </is>
      </c>
      <c r="B6" s="18" t="n">
        <v>23402</v>
      </c>
      <c r="C6" s="18" t="n">
        <v>24596</v>
      </c>
      <c r="D6" s="18" t="n">
        <v>26553</v>
      </c>
      <c r="E6" s="18" t="n">
        <v>27471</v>
      </c>
      <c r="F6" s="18" t="n">
        <v>25635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20118</v>
      </c>
      <c r="C9" s="18" t="n">
        <v>20246</v>
      </c>
      <c r="D9" s="18" t="n">
        <v>20112</v>
      </c>
      <c r="E9" s="18" t="n">
        <v>21969</v>
      </c>
      <c r="F9" s="18" t="n">
        <v>23676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34395</v>
      </c>
      <c r="C11" s="18" t="n">
        <v>34381</v>
      </c>
      <c r="D11" s="18" t="n">
        <v>35197</v>
      </c>
      <c r="E11" s="18" t="n">
        <v>39201</v>
      </c>
      <c r="F11" s="18" t="n">
        <v>42962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7390</v>
      </c>
      <c r="C14" s="18" t="n">
        <v>6970</v>
      </c>
      <c r="D14" s="18" t="n">
        <v>7486</v>
      </c>
      <c r="E14" s="18" t="n">
        <v>7339</v>
      </c>
      <c r="F14" s="18" t="n">
        <v>7503</v>
      </c>
    </row>
    <row r="15">
      <c r="A15" s="19" t="inlineStr">
        <is>
          <t>(8)  EBIT (Operating Income)</t>
        </is>
      </c>
      <c r="B15" s="24" t="n">
        <v>20943</v>
      </c>
      <c r="C15" s="24" t="n">
        <v>21013</v>
      </c>
      <c r="D15" s="24" t="n">
        <v>23409</v>
      </c>
      <c r="E15" s="24" t="n">
        <v>22149</v>
      </c>
      <c r="F15" s="24" t="n">
        <v>25596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183</v>
      </c>
      <c r="C17" s="18" t="n">
        <v>276</v>
      </c>
      <c r="D17" s="18" t="n">
        <v>772</v>
      </c>
      <c r="E17" s="18" t="n">
        <v>755</v>
      </c>
      <c r="F17" s="18" t="n">
        <v>971</v>
      </c>
    </row>
    <row r="18">
      <c r="A18" s="21" t="inlineStr">
        <is>
          <t xml:space="preserve">     Interest Income</t>
        </is>
      </c>
      <c r="B18" s="18" t="n">
        <v>53</v>
      </c>
      <c r="C18" s="18" t="n">
        <v>490</v>
      </c>
      <c r="D18" s="18" t="n">
        <v>1261</v>
      </c>
      <c r="E18" s="18" t="n">
        <v>1332</v>
      </c>
      <c r="F18" s="18" t="n">
        <v>1056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19178</v>
      </c>
      <c r="C21" s="24" t="n">
        <v>19359</v>
      </c>
      <c r="D21" s="24" t="n">
        <v>15062</v>
      </c>
      <c r="E21" s="24" t="n">
        <v>16687</v>
      </c>
      <c r="F21" s="24" t="n">
        <v>32581</v>
      </c>
    </row>
    <row r="22">
      <c r="A22" s="17" t="inlineStr">
        <is>
          <t>(11) Income Tax Expense</t>
        </is>
      </c>
      <c r="B22" s="18" t="n">
        <v>1377</v>
      </c>
      <c r="C22" s="18" t="n">
        <v>2989</v>
      </c>
      <c r="D22" s="18" t="n">
        <v>1736</v>
      </c>
      <c r="E22" s="18" t="n">
        <v>2621</v>
      </c>
      <c r="F22" s="18" t="n">
        <v>5777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20878</v>
      </c>
      <c r="C24" s="24" t="n">
        <v>17941</v>
      </c>
      <c r="D24" s="24" t="n">
        <v>35153</v>
      </c>
      <c r="E24" s="24" t="n">
        <v>14066</v>
      </c>
      <c r="F24" s="24" t="n">
        <v>26804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78740</v>
      </c>
      <c r="C30" s="16" t="n">
        <v>79990</v>
      </c>
      <c r="D30" s="16" t="n">
        <v>85159</v>
      </c>
      <c r="E30" s="16" t="n">
        <v>88821</v>
      </c>
      <c r="F30" s="16" t="n">
        <v>94193</v>
      </c>
    </row>
    <row r="31">
      <c r="A31" s="17" t="inlineStr">
        <is>
          <t>Cost of Revenue</t>
        </is>
      </c>
      <c r="B31" s="18" t="n">
        <v>23402</v>
      </c>
      <c r="C31" s="18" t="n">
        <v>24596</v>
      </c>
      <c r="D31" s="18" t="n">
        <v>26553</v>
      </c>
      <c r="E31" s="18" t="n">
        <v>27471</v>
      </c>
      <c r="F31" s="18" t="n">
        <v>25635</v>
      </c>
    </row>
    <row r="32">
      <c r="A32" s="26" t="inlineStr">
        <is>
          <t>Gross Profit</t>
        </is>
      </c>
      <c r="B32" s="27" t="n">
        <v>55338</v>
      </c>
      <c r="C32" s="27" t="n">
        <v>55394</v>
      </c>
      <c r="D32" s="27" t="n">
        <v>58606</v>
      </c>
      <c r="E32" s="27" t="n">
        <v>61350</v>
      </c>
      <c r="F32" s="27" t="n">
        <v>68558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14277</v>
      </c>
      <c r="C34" s="18" t="n">
        <v>14135</v>
      </c>
      <c r="D34" s="18" t="n">
        <v>15085</v>
      </c>
      <c r="E34" s="18" t="n">
        <v>17232</v>
      </c>
      <c r="F34" s="18" t="n">
        <v>14665</v>
      </c>
    </row>
    <row r="35">
      <c r="A35" s="17" t="inlineStr">
        <is>
          <t>General &amp; Administrative</t>
        </is>
      </c>
      <c r="B35" s="18" t="n">
        <v>20118</v>
      </c>
      <c r="C35" s="18" t="n">
        <v>20246</v>
      </c>
      <c r="D35" s="18" t="n">
        <v>20112</v>
      </c>
      <c r="E35" s="18" t="n">
        <v>21969</v>
      </c>
      <c r="F35" s="18" t="n">
        <v>23676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20118</v>
      </c>
      <c r="C37" s="18" t="n">
        <v>20246</v>
      </c>
      <c r="D37" s="18" t="n">
        <v>20112</v>
      </c>
      <c r="E37" s="18" t="n">
        <v>21969</v>
      </c>
      <c r="F37" s="18" t="n">
        <v>23676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4621</v>
      </c>
    </row>
    <row r="39">
      <c r="A39" s="26" t="inlineStr">
        <is>
          <t>Total Operating Expenses</t>
        </is>
      </c>
      <c r="B39" s="27" t="n">
        <v>34395</v>
      </c>
      <c r="C39" s="27" t="n">
        <v>34381</v>
      </c>
      <c r="D39" s="27" t="n">
        <v>35197</v>
      </c>
      <c r="E39" s="27" t="n">
        <v>39201</v>
      </c>
      <c r="F39" s="27" t="n">
        <v>42962</v>
      </c>
    </row>
    <row r="40">
      <c r="A40" s="17" t="inlineStr">
        <is>
          <t>Cost &amp; Expenses (COGS + Opex)</t>
        </is>
      </c>
      <c r="B40" s="18" t="n">
        <v>57797</v>
      </c>
      <c r="C40" s="18" t="n">
        <v>58977</v>
      </c>
      <c r="D40" s="18" t="n">
        <v>61750</v>
      </c>
      <c r="E40" s="18" t="n">
        <v>66672</v>
      </c>
      <c r="F40" s="18" t="n">
        <v>68597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20943</v>
      </c>
      <c r="C42" s="16" t="n">
        <v>21013</v>
      </c>
      <c r="D42" s="16" t="n">
        <v>23409</v>
      </c>
      <c r="E42" s="16" t="n">
        <v>22149</v>
      </c>
      <c r="F42" s="16" t="n">
        <v>25596</v>
      </c>
    </row>
    <row r="43">
      <c r="A43" s="17" t="inlineStr">
        <is>
          <t>EBIT (FMP field)</t>
        </is>
      </c>
      <c r="B43" s="18" t="n">
        <v>19361</v>
      </c>
      <c r="C43" s="18" t="n">
        <v>19635</v>
      </c>
      <c r="D43" s="18" t="n">
        <v>15834</v>
      </c>
      <c r="E43" s="18" t="n">
        <v>17442</v>
      </c>
      <c r="F43" s="18" t="n">
        <v>33552</v>
      </c>
    </row>
    <row r="44">
      <c r="A44" s="26" t="inlineStr">
        <is>
          <t>EBITDA</t>
        </is>
      </c>
      <c r="B44" s="27" t="n">
        <v>26751</v>
      </c>
      <c r="C44" s="27" t="n">
        <v>26605</v>
      </c>
      <c r="D44" s="27" t="n">
        <v>23320</v>
      </c>
      <c r="E44" s="27" t="n">
        <v>24781</v>
      </c>
      <c r="F44" s="27" t="n">
        <v>41055</v>
      </c>
    </row>
    <row r="45">
      <c r="A45" s="17" t="inlineStr">
        <is>
          <t>Depreciation &amp; Amortisation</t>
        </is>
      </c>
      <c r="B45" s="18" t="n">
        <v>7390</v>
      </c>
      <c r="C45" s="18" t="n">
        <v>6970</v>
      </c>
      <c r="D45" s="18" t="n">
        <v>7486</v>
      </c>
      <c r="E45" s="18" t="n">
        <v>7339</v>
      </c>
      <c r="F45" s="18" t="n">
        <v>7503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53</v>
      </c>
      <c r="C47" s="18" t="n">
        <v>490</v>
      </c>
      <c r="D47" s="18" t="n">
        <v>1261</v>
      </c>
      <c r="E47" s="18" t="n">
        <v>1332</v>
      </c>
      <c r="F47" s="18" t="n">
        <v>1056</v>
      </c>
    </row>
    <row r="48">
      <c r="A48" s="17" t="inlineStr">
        <is>
          <t>Interest Expense</t>
        </is>
      </c>
      <c r="B48" s="18" t="n">
        <v>183</v>
      </c>
      <c r="C48" s="18" t="n">
        <v>276</v>
      </c>
      <c r="D48" s="18" t="n">
        <v>772</v>
      </c>
      <c r="E48" s="18" t="n">
        <v>755</v>
      </c>
      <c r="F48" s="18" t="n">
        <v>971</v>
      </c>
    </row>
    <row r="49">
      <c r="A49" s="17" t="inlineStr">
        <is>
          <t>Net Interest Income</t>
        </is>
      </c>
      <c r="B49" s="18" t="n">
        <v>-130</v>
      </c>
      <c r="C49" s="18" t="n">
        <v>214</v>
      </c>
      <c r="D49" s="18" t="n">
        <v>489</v>
      </c>
      <c r="E49" s="18" t="n">
        <v>577</v>
      </c>
      <c r="F49" s="18" t="n">
        <v>85</v>
      </c>
    </row>
    <row r="50">
      <c r="A50" s="17" t="inlineStr">
        <is>
          <t>Non-Operating Income (ex-interest)</t>
        </is>
      </c>
      <c r="B50" s="18" t="n">
        <v>1582</v>
      </c>
      <c r="C50" s="18" t="n">
        <v>1378</v>
      </c>
      <c r="D50" s="18" t="n">
        <v>7575</v>
      </c>
      <c r="E50" s="18" t="n">
        <v>4707</v>
      </c>
      <c r="F50" s="18" t="n">
        <v>-7956</v>
      </c>
    </row>
    <row r="51">
      <c r="A51" s="17" t="inlineStr">
        <is>
          <t>Total Other Income / (Expenses)</t>
        </is>
      </c>
      <c r="B51" s="18" t="n">
        <v>-1765</v>
      </c>
      <c r="C51" s="18" t="n">
        <v>-1654</v>
      </c>
      <c r="D51" s="18" t="n">
        <v>-8347</v>
      </c>
      <c r="E51" s="18" t="n">
        <v>-5462</v>
      </c>
      <c r="F51" s="18" t="n">
        <v>6985</v>
      </c>
    </row>
    <row r="52">
      <c r="A52" s="26" t="inlineStr">
        <is>
          <t>EBT / Income Before Tax</t>
        </is>
      </c>
      <c r="B52" s="27" t="n">
        <v>19178</v>
      </c>
      <c r="C52" s="27" t="n">
        <v>19359</v>
      </c>
      <c r="D52" s="27" t="n">
        <v>15062</v>
      </c>
      <c r="E52" s="27" t="n">
        <v>16687</v>
      </c>
      <c r="F52" s="27" t="n">
        <v>32581</v>
      </c>
    </row>
    <row r="53">
      <c r="A53" s="17" t="inlineStr">
        <is>
          <t>Income Tax Expense</t>
        </is>
      </c>
      <c r="B53" s="18" t="n">
        <v>1377</v>
      </c>
      <c r="C53" s="18" t="n">
        <v>2989</v>
      </c>
      <c r="D53" s="18" t="n">
        <v>1736</v>
      </c>
      <c r="E53" s="18" t="n">
        <v>2621</v>
      </c>
      <c r="F53" s="18" t="n">
        <v>5777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17801</v>
      </c>
      <c r="C55" s="18" t="n">
        <v>16370</v>
      </c>
      <c r="D55" s="18" t="n">
        <v>13326</v>
      </c>
      <c r="E55" s="18" t="n">
        <v>14066</v>
      </c>
      <c r="F55" s="18" t="n">
        <v>26804</v>
      </c>
    </row>
    <row r="56">
      <c r="A56" s="17" t="inlineStr">
        <is>
          <t>Net Income from Discontinued Ops</t>
        </is>
      </c>
      <c r="B56" s="18" t="n">
        <v>3077</v>
      </c>
      <c r="C56" s="18" t="n">
        <v>1571</v>
      </c>
      <c r="D56" s="18" t="n">
        <v>21827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20878</v>
      </c>
      <c r="C59" s="27" t="n">
        <v>17941</v>
      </c>
      <c r="D59" s="27" t="n">
        <v>35153</v>
      </c>
      <c r="E59" s="27" t="n">
        <v>14066</v>
      </c>
      <c r="F59" s="27" t="n">
        <v>26804</v>
      </c>
    </row>
    <row r="60">
      <c r="A60" s="15" t="inlineStr">
        <is>
          <t>Bottom Line Net Income</t>
        </is>
      </c>
      <c r="B60" s="16" t="n">
        <v>20878</v>
      </c>
      <c r="C60" s="16" t="n">
        <v>17941</v>
      </c>
      <c r="D60" s="16" t="n">
        <v>35153</v>
      </c>
      <c r="E60" s="16" t="n">
        <v>14066</v>
      </c>
      <c r="F60" s="16" t="n">
        <v>26804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7.93</v>
      </c>
      <c r="C62" s="18" t="n">
        <v>6.83</v>
      </c>
      <c r="D62" s="18" t="n">
        <v>13.88</v>
      </c>
      <c r="E62" s="18" t="n">
        <v>5.84</v>
      </c>
      <c r="F62" s="18" t="n">
        <v>11.03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2628.97</v>
      </c>
      <c r="C64" s="18" t="n">
        <v>2613.6</v>
      </c>
      <c r="D64" s="18" t="n">
        <v>2533.5</v>
      </c>
      <c r="E64" s="18" t="n">
        <v>2407.3</v>
      </c>
      <c r="F64" s="18" t="n">
        <v>2428.6</v>
      </c>
    </row>
    <row r="65">
      <c r="A65" s="17" t="inlineStr">
        <is>
          <t>Shares Outstanding — Diluted (mm)</t>
        </is>
      </c>
      <c r="B65" s="18" t="n">
        <v>2674</v>
      </c>
      <c r="C65" s="18" t="n">
        <v>2663.9</v>
      </c>
      <c r="D65" s="18" t="n">
        <v>2560.4</v>
      </c>
      <c r="E65" s="18" t="n">
        <v>2429.4</v>
      </c>
      <c r="F65" s="18" t="n">
        <v>2429.4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14487</v>
      </c>
      <c r="C5" s="18" t="n">
        <v>12889</v>
      </c>
      <c r="D5" s="18" t="n">
        <v>21859</v>
      </c>
      <c r="E5" s="18" t="n">
        <v>24105</v>
      </c>
      <c r="F5" s="18" t="n">
        <v>19709</v>
      </c>
    </row>
    <row r="6">
      <c r="A6" s="17" t="inlineStr">
        <is>
          <t>(2)  Receivables</t>
        </is>
      </c>
      <c r="B6" s="18" t="n">
        <v>18984</v>
      </c>
      <c r="C6" s="18" t="n">
        <v>16915</v>
      </c>
      <c r="D6" s="18" t="n">
        <v>14873</v>
      </c>
      <c r="E6" s="18" t="n">
        <v>18927</v>
      </c>
      <c r="F6" s="18" t="n">
        <v>17178</v>
      </c>
    </row>
    <row r="7">
      <c r="A7" s="17" t="inlineStr">
        <is>
          <t>(3)  Inventory</t>
        </is>
      </c>
      <c r="B7" s="18" t="n">
        <v>10387</v>
      </c>
      <c r="C7" s="18" t="n">
        <v>10268</v>
      </c>
      <c r="D7" s="18" t="n">
        <v>11181</v>
      </c>
      <c r="E7" s="18" t="n">
        <v>12444</v>
      </c>
      <c r="F7" s="18" t="n">
        <v>14191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60979</v>
      </c>
      <c r="C9" s="24" t="n">
        <v>55294</v>
      </c>
      <c r="D9" s="24" t="n">
        <v>53495</v>
      </c>
      <c r="E9" s="24" t="n">
        <v>55893</v>
      </c>
      <c r="F9" s="24" t="n">
        <v>55624</v>
      </c>
    </row>
    <row r="10">
      <c r="A10" s="17" t="inlineStr">
        <is>
          <t>(6)  PP&amp;E (Net)</t>
        </is>
      </c>
      <c r="B10" s="18" t="n">
        <v>18962</v>
      </c>
      <c r="C10" s="18" t="n">
        <v>17982</v>
      </c>
      <c r="D10" s="18" t="n">
        <v>19898</v>
      </c>
      <c r="E10" s="18" t="n">
        <v>20518</v>
      </c>
      <c r="F10" s="18" t="n">
        <v>23169</v>
      </c>
    </row>
    <row r="11">
      <c r="A11" s="17" t="inlineStr">
        <is>
          <t>(7)  Goodwill</t>
        </is>
      </c>
      <c r="B11" s="18" t="n">
        <v>35246</v>
      </c>
      <c r="C11" s="18" t="n">
        <v>36047</v>
      </c>
      <c r="D11" s="18" t="n">
        <v>36558</v>
      </c>
      <c r="E11" s="18" t="n">
        <v>44200</v>
      </c>
      <c r="F11" s="18" t="n">
        <v>48772</v>
      </c>
    </row>
    <row r="12">
      <c r="A12" s="17" t="inlineStr">
        <is>
          <t>(8)  Deferred Tax Assets</t>
        </is>
      </c>
      <c r="B12" s="18" t="n">
        <v>10223</v>
      </c>
      <c r="C12" s="18" t="n">
        <v>8947</v>
      </c>
      <c r="D12" s="18" t="n">
        <v>9279</v>
      </c>
      <c r="E12" s="18" t="n">
        <v>10461</v>
      </c>
      <c r="F12" s="18" t="n">
        <v>6874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121039</v>
      </c>
      <c r="C14" s="24" t="n">
        <v>132084</v>
      </c>
      <c r="D14" s="24" t="n">
        <v>114063</v>
      </c>
      <c r="E14" s="24" t="n">
        <v>124211</v>
      </c>
      <c r="F14" s="24" t="n">
        <v>143586</v>
      </c>
    </row>
    <row r="15">
      <c r="A15" s="19" t="inlineStr">
        <is>
          <t>(11) Total Assets</t>
        </is>
      </c>
      <c r="B15" s="24" t="n">
        <v>182018</v>
      </c>
      <c r="C15" s="24" t="n">
        <v>187378</v>
      </c>
      <c r="D15" s="24" t="n">
        <v>167558</v>
      </c>
      <c r="E15" s="24" t="n">
        <v>180104</v>
      </c>
      <c r="F15" s="24" t="n">
        <v>199210</v>
      </c>
    </row>
    <row r="16" ht="6" customHeight="1"/>
    <row r="17">
      <c r="A17" s="17" t="inlineStr">
        <is>
          <t>(12) Accounts Payable</t>
        </is>
      </c>
      <c r="B17" s="18" t="n">
        <v>11055</v>
      </c>
      <c r="C17" s="18" t="n">
        <v>9889</v>
      </c>
      <c r="D17" s="18" t="n">
        <v>9632</v>
      </c>
      <c r="E17" s="18" t="n">
        <v>10311</v>
      </c>
      <c r="F17" s="18" t="n">
        <v>11991</v>
      </c>
    </row>
    <row r="18">
      <c r="A18" s="17" t="inlineStr">
        <is>
          <t>(13) Short-Term Borrowings</t>
        </is>
      </c>
      <c r="B18" s="18" t="n">
        <v>3766</v>
      </c>
      <c r="C18" s="18" t="n">
        <v>12756</v>
      </c>
      <c r="D18" s="18" t="n">
        <v>3451</v>
      </c>
      <c r="E18" s="18" t="n">
        <v>5983</v>
      </c>
      <c r="F18" s="18" t="n">
        <v>8495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45226</v>
      </c>
      <c r="C21" s="24" t="n">
        <v>55802</v>
      </c>
      <c r="D21" s="24" t="n">
        <v>46282</v>
      </c>
      <c r="E21" s="24" t="n">
        <v>50321</v>
      </c>
      <c r="F21" s="24" t="n">
        <v>54126</v>
      </c>
    </row>
    <row r="22">
      <c r="A22" s="17" t="inlineStr">
        <is>
          <t>(17) Long-Term Debt</t>
        </is>
      </c>
      <c r="B22" s="18" t="n">
        <v>29985</v>
      </c>
      <c r="C22" s="18" t="n">
        <v>26886</v>
      </c>
      <c r="D22" s="18" t="n">
        <v>25881</v>
      </c>
      <c r="E22" s="18" t="n">
        <v>30651</v>
      </c>
      <c r="F22" s="18" t="n">
        <v>39438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107995</v>
      </c>
      <c r="C25" s="24" t="n">
        <v>110574</v>
      </c>
      <c r="D25" s="24" t="n">
        <v>98784</v>
      </c>
      <c r="E25" s="24" t="n">
        <v>108614</v>
      </c>
      <c r="F25" s="24" t="n">
        <v>117666</v>
      </c>
    </row>
    <row r="26" ht="6" customHeight="1"/>
    <row r="27">
      <c r="A27" s="17" t="inlineStr">
        <is>
          <t>(21) Common Stock &amp; APIC</t>
        </is>
      </c>
      <c r="B27" s="18" t="n">
        <v>3120</v>
      </c>
      <c r="C27" s="18" t="n">
        <v>3120</v>
      </c>
      <c r="D27" s="18" t="n">
        <v>3120</v>
      </c>
      <c r="E27" s="18" t="n">
        <v>3120</v>
      </c>
      <c r="F27" s="18" t="n">
        <v>3120</v>
      </c>
    </row>
    <row r="28">
      <c r="A28" s="17" t="inlineStr">
        <is>
          <t>(22) Retained Earnings</t>
        </is>
      </c>
      <c r="B28" s="18" t="n">
        <v>123060</v>
      </c>
      <c r="C28" s="18" t="n">
        <v>128345</v>
      </c>
      <c r="D28" s="18" t="n">
        <v>153843</v>
      </c>
      <c r="E28" s="18" t="n">
        <v>155791</v>
      </c>
      <c r="F28" s="18" t="n">
        <v>168978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74023</v>
      </c>
      <c r="C30" s="24" t="n">
        <v>76804</v>
      </c>
      <c r="D30" s="24" t="n">
        <v>68774</v>
      </c>
      <c r="E30" s="24" t="n">
        <v>71490</v>
      </c>
      <c r="F30" s="24" t="n">
        <v>81544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14487</v>
      </c>
      <c r="C36" s="18" t="n">
        <v>12889</v>
      </c>
      <c r="D36" s="18" t="n">
        <v>21859</v>
      </c>
      <c r="E36" s="18" t="n">
        <v>24105</v>
      </c>
      <c r="F36" s="18" t="n">
        <v>19709</v>
      </c>
    </row>
    <row r="37">
      <c r="A37" s="17" t="inlineStr">
        <is>
          <t>Short-Term Investments</t>
        </is>
      </c>
      <c r="B37" s="18" t="n">
        <v>17121</v>
      </c>
      <c r="C37" s="18" t="n">
        <v>9392</v>
      </c>
      <c r="D37" s="18" t="n">
        <v>1068</v>
      </c>
      <c r="E37" s="18" t="n">
        <v>417</v>
      </c>
      <c r="F37" s="18" t="n">
        <v>393</v>
      </c>
    </row>
    <row r="38">
      <c r="A38" s="28" t="inlineStr">
        <is>
          <t>Cash &amp; Short-Term Investments</t>
        </is>
      </c>
      <c r="B38" s="29" t="n">
        <v>31608</v>
      </c>
      <c r="C38" s="29" t="n">
        <v>22281</v>
      </c>
      <c r="D38" s="29" t="n">
        <v>22927</v>
      </c>
      <c r="E38" s="29" t="n">
        <v>24522</v>
      </c>
      <c r="F38" s="29" t="n">
        <v>20102</v>
      </c>
    </row>
    <row r="39">
      <c r="A39" s="17" t="inlineStr">
        <is>
          <t>Accounts Receivable (Trade)</t>
        </is>
      </c>
      <c r="B39" s="18" t="n">
        <v>15283</v>
      </c>
      <c r="C39" s="18" t="n">
        <v>14039</v>
      </c>
      <c r="D39" s="18" t="n">
        <v>14873</v>
      </c>
      <c r="E39" s="18" t="n">
        <v>14842</v>
      </c>
      <c r="F39" s="18" t="n">
        <v>17178</v>
      </c>
    </row>
    <row r="40">
      <c r="A40" s="17" t="inlineStr">
        <is>
          <t>Other Receivables</t>
        </is>
      </c>
      <c r="B40" s="18" t="n">
        <v>3701</v>
      </c>
      <c r="C40" s="18" t="n">
        <v>2876</v>
      </c>
      <c r="D40" s="18" t="n">
        <v>0</v>
      </c>
      <c r="E40" s="18" t="n">
        <v>4085</v>
      </c>
      <c r="F40" s="18" t="n">
        <v>0</v>
      </c>
    </row>
    <row r="41">
      <c r="A41" s="28" t="inlineStr">
        <is>
          <t>Net Receivables (Total)</t>
        </is>
      </c>
      <c r="B41" s="29" t="n">
        <v>18984</v>
      </c>
      <c r="C41" s="29" t="n">
        <v>16915</v>
      </c>
      <c r="D41" s="29" t="n">
        <v>14873</v>
      </c>
      <c r="E41" s="29" t="n">
        <v>18927</v>
      </c>
      <c r="F41" s="29" t="n">
        <v>17178</v>
      </c>
    </row>
    <row r="42">
      <c r="A42" s="17" t="inlineStr">
        <is>
          <t>Inventory</t>
        </is>
      </c>
      <c r="B42" s="18" t="n">
        <v>10387</v>
      </c>
      <c r="C42" s="18" t="n">
        <v>10268</v>
      </c>
      <c r="D42" s="18" t="n">
        <v>11181</v>
      </c>
      <c r="E42" s="18" t="n">
        <v>12444</v>
      </c>
      <c r="F42" s="18" t="n">
        <v>14191</v>
      </c>
    </row>
    <row r="43">
      <c r="A43" s="17" t="inlineStr">
        <is>
          <t>Prepaids</t>
        </is>
      </c>
      <c r="B43" s="18" t="n">
        <v>3701</v>
      </c>
      <c r="C43" s="18" t="n">
        <v>0</v>
      </c>
      <c r="D43" s="18" t="n">
        <v>4514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-3701</v>
      </c>
      <c r="C44" s="18" t="n">
        <v>5830</v>
      </c>
      <c r="D44" s="18" t="n">
        <v>0</v>
      </c>
      <c r="E44" s="18" t="n">
        <v>0</v>
      </c>
      <c r="F44" s="18" t="n">
        <v>4153</v>
      </c>
    </row>
    <row r="45">
      <c r="A45" s="26" t="inlineStr">
        <is>
          <t>Total Current Assets</t>
        </is>
      </c>
      <c r="B45" s="27" t="n">
        <v>60979</v>
      </c>
      <c r="C45" s="27" t="n">
        <v>55294</v>
      </c>
      <c r="D45" s="27" t="n">
        <v>53495</v>
      </c>
      <c r="E45" s="27" t="n">
        <v>55893</v>
      </c>
      <c r="F45" s="27" t="n">
        <v>55624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18962</v>
      </c>
      <c r="C47" s="18" t="n">
        <v>17982</v>
      </c>
      <c r="D47" s="18" t="n">
        <v>19898</v>
      </c>
      <c r="E47" s="18" t="n">
        <v>20518</v>
      </c>
      <c r="F47" s="18" t="n">
        <v>23169</v>
      </c>
    </row>
    <row r="48">
      <c r="A48" s="17" t="inlineStr">
        <is>
          <t>Goodwill</t>
        </is>
      </c>
      <c r="B48" s="18" t="n">
        <v>35246</v>
      </c>
      <c r="C48" s="18" t="n">
        <v>36047</v>
      </c>
      <c r="D48" s="18" t="n">
        <v>36558</v>
      </c>
      <c r="E48" s="18" t="n">
        <v>44200</v>
      </c>
      <c r="F48" s="18" t="n">
        <v>48772</v>
      </c>
    </row>
    <row r="49">
      <c r="A49" s="17" t="inlineStr">
        <is>
          <t>Intangible Assets</t>
        </is>
      </c>
      <c r="B49" s="18" t="n">
        <v>46392</v>
      </c>
      <c r="C49" s="18" t="n">
        <v>38489</v>
      </c>
      <c r="D49" s="18" t="n">
        <v>34175</v>
      </c>
      <c r="E49" s="18" t="n">
        <v>37618</v>
      </c>
      <c r="F49" s="18" t="n">
        <v>50403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10223</v>
      </c>
      <c r="C51" s="18" t="n">
        <v>8947</v>
      </c>
      <c r="D51" s="18" t="n">
        <v>9279</v>
      </c>
      <c r="E51" s="18" t="n">
        <v>10461</v>
      </c>
      <c r="F51" s="18" t="n">
        <v>6874</v>
      </c>
    </row>
    <row r="52">
      <c r="A52" s="17" t="inlineStr">
        <is>
          <t>Total Investments</t>
        </is>
      </c>
      <c r="B52" s="18" t="n">
        <v>17121</v>
      </c>
      <c r="C52" s="18" t="n">
        <v>9392</v>
      </c>
      <c r="D52" s="18" t="n">
        <v>1068</v>
      </c>
      <c r="E52" s="18" t="n">
        <v>417</v>
      </c>
      <c r="F52" s="18" t="n">
        <v>393</v>
      </c>
    </row>
    <row r="53">
      <c r="A53" s="17" t="inlineStr">
        <is>
          <t>Other Non-Current Assets</t>
        </is>
      </c>
      <c r="B53" s="18" t="n">
        <v>10216</v>
      </c>
      <c r="C53" s="18" t="n">
        <v>30619</v>
      </c>
      <c r="D53" s="18" t="n">
        <v>14153</v>
      </c>
      <c r="E53" s="18" t="n">
        <v>11414</v>
      </c>
      <c r="F53" s="18" t="n">
        <v>14368</v>
      </c>
    </row>
    <row r="54">
      <c r="A54" s="26" t="inlineStr">
        <is>
          <t>Total Non-Current Assets</t>
        </is>
      </c>
      <c r="B54" s="27" t="n">
        <v>121039</v>
      </c>
      <c r="C54" s="27" t="n">
        <v>132084</v>
      </c>
      <c r="D54" s="27" t="n">
        <v>114063</v>
      </c>
      <c r="E54" s="27" t="n">
        <v>124211</v>
      </c>
      <c r="F54" s="27" t="n">
        <v>143586</v>
      </c>
    </row>
    <row r="55">
      <c r="A55" s="13" t="inlineStr">
        <is>
          <t>TOTAL ASSETS</t>
        </is>
      </c>
      <c r="B55" s="30" t="n">
        <v>182018</v>
      </c>
      <c r="C55" s="30" t="n">
        <v>187378</v>
      </c>
      <c r="D55" s="30" t="n">
        <v>167558</v>
      </c>
      <c r="E55" s="30" t="n">
        <v>180104</v>
      </c>
      <c r="F55" s="30" t="n">
        <v>199210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11055</v>
      </c>
      <c r="C57" s="18" t="n">
        <v>9889</v>
      </c>
      <c r="D57" s="18" t="n">
        <v>9632</v>
      </c>
      <c r="E57" s="18" t="n">
        <v>10311</v>
      </c>
      <c r="F57" s="18" t="n">
        <v>11991</v>
      </c>
    </row>
    <row r="58">
      <c r="A58" s="17" t="inlineStr">
        <is>
          <t>Short-Term Debt</t>
        </is>
      </c>
      <c r="B58" s="18" t="n">
        <v>3766</v>
      </c>
      <c r="C58" s="18" t="n">
        <v>12756</v>
      </c>
      <c r="D58" s="18" t="n">
        <v>3451</v>
      </c>
      <c r="E58" s="18" t="n">
        <v>5983</v>
      </c>
      <c r="F58" s="18" t="n">
        <v>8495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3586</v>
      </c>
      <c r="C61" s="18" t="n">
        <v>6639</v>
      </c>
      <c r="D61" s="18" t="n">
        <v>3993</v>
      </c>
      <c r="E61" s="18" t="n">
        <v>4126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45226</v>
      </c>
      <c r="C63" s="27" t="n">
        <v>55802</v>
      </c>
      <c r="D63" s="27" t="n">
        <v>46282</v>
      </c>
      <c r="E63" s="27" t="n">
        <v>50321</v>
      </c>
      <c r="F63" s="27" t="n">
        <v>54126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29985</v>
      </c>
      <c r="C65" s="18" t="n">
        <v>26886</v>
      </c>
      <c r="D65" s="18" t="n">
        <v>25881</v>
      </c>
      <c r="E65" s="18" t="n">
        <v>30651</v>
      </c>
      <c r="F65" s="18" t="n">
        <v>39438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7487</v>
      </c>
      <c r="C68" s="18" t="n">
        <v>3991</v>
      </c>
      <c r="D68" s="18" t="n">
        <v>3193</v>
      </c>
      <c r="E68" s="18" t="n">
        <v>2448</v>
      </c>
      <c r="F68" s="18" t="n">
        <v>6791</v>
      </c>
    </row>
    <row r="69">
      <c r="A69" s="17" t="inlineStr">
        <is>
          <t>Other Non-Current Liabilities</t>
        </is>
      </c>
      <c r="B69" s="18" t="n">
        <v>25297</v>
      </c>
      <c r="C69" s="18" t="n">
        <v>23895</v>
      </c>
      <c r="D69" s="18" t="n">
        <v>23428</v>
      </c>
      <c r="E69" s="18" t="n">
        <v>25194</v>
      </c>
      <c r="F69" s="18" t="n">
        <v>17311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107995</v>
      </c>
      <c r="C71" s="30" t="n">
        <v>110574</v>
      </c>
      <c r="D71" s="30" t="n">
        <v>98784</v>
      </c>
      <c r="E71" s="30" t="n">
        <v>108614</v>
      </c>
      <c r="F71" s="30" t="n">
        <v>117666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3120</v>
      </c>
      <c r="C73" s="18" t="n">
        <v>3120</v>
      </c>
      <c r="D73" s="18" t="n">
        <v>3120</v>
      </c>
      <c r="E73" s="18" t="n">
        <v>3120</v>
      </c>
      <c r="F73" s="18" t="n">
        <v>3120</v>
      </c>
    </row>
    <row r="74">
      <c r="A74" s="17" t="inlineStr">
        <is>
          <t>Retained Earnings</t>
        </is>
      </c>
      <c r="B74" s="18" t="n">
        <v>123060</v>
      </c>
      <c r="C74" s="18" t="n">
        <v>128345</v>
      </c>
      <c r="D74" s="18" t="n">
        <v>153843</v>
      </c>
      <c r="E74" s="18" t="n">
        <v>155791</v>
      </c>
      <c r="F74" s="18" t="n">
        <v>168978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74023</v>
      </c>
      <c r="C78" s="27" t="n">
        <v>76804</v>
      </c>
      <c r="D78" s="27" t="n">
        <v>68774</v>
      </c>
      <c r="E78" s="27" t="n">
        <v>71490</v>
      </c>
      <c r="F78" s="27" t="n">
        <v>81544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23410</v>
      </c>
      <c r="C5" s="24" t="n">
        <v>21194</v>
      </c>
      <c r="D5" s="24" t="n">
        <v>22791</v>
      </c>
      <c r="E5" s="24" t="n">
        <v>24266</v>
      </c>
      <c r="F5" s="24" t="n">
        <v>24530</v>
      </c>
    </row>
    <row r="6">
      <c r="A6" s="17" t="inlineStr">
        <is>
          <t>(2)  Capital Expenditures</t>
        </is>
      </c>
      <c r="B6" s="18" t="n">
        <v>-3652</v>
      </c>
      <c r="C6" s="18" t="n">
        <v>-4009</v>
      </c>
      <c r="D6" s="18" t="n">
        <v>-4543</v>
      </c>
      <c r="E6" s="18" t="n">
        <v>-4424</v>
      </c>
      <c r="F6" s="18" t="n">
        <v>-4832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-990</v>
      </c>
      <c r="C9" s="18" t="n">
        <v>7452</v>
      </c>
      <c r="D9" s="18" t="n">
        <v>-2734</v>
      </c>
      <c r="E9" s="18" t="n">
        <v>10051</v>
      </c>
      <c r="F9" s="18" t="n">
        <v>9637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4241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-11032</v>
      </c>
      <c r="C12" s="18" t="n">
        <v>-11682</v>
      </c>
      <c r="D12" s="18" t="n">
        <v>-11770</v>
      </c>
      <c r="E12" s="18" t="n">
        <v>-11823</v>
      </c>
      <c r="F12" s="18" t="n">
        <v>-12381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19758</v>
      </c>
      <c r="C15" s="24" t="n">
        <v>17185</v>
      </c>
      <c r="D15" s="24" t="n">
        <v>18248</v>
      </c>
      <c r="E15" s="24" t="n">
        <v>19842</v>
      </c>
      <c r="F15" s="24" t="n">
        <v>19698</v>
      </c>
    </row>
    <row r="16">
      <c r="A16" s="15" t="inlineStr">
        <is>
          <t xml:space="preserve">     Net Change in Cash</t>
        </is>
      </c>
      <c r="B16" s="16" t="n">
        <v>502</v>
      </c>
      <c r="C16" s="16" t="n">
        <v>-360</v>
      </c>
      <c r="D16" s="16" t="n">
        <v>7732</v>
      </c>
      <c r="E16" s="16" t="n">
        <v>2246</v>
      </c>
      <c r="F16" s="16" t="n">
        <v>-4396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20878</v>
      </c>
      <c r="C21" s="18" t="n">
        <v>17941</v>
      </c>
      <c r="D21" s="18" t="n">
        <v>13326</v>
      </c>
      <c r="E21" s="18" t="n">
        <v>14066</v>
      </c>
      <c r="F21" s="18" t="n">
        <v>26804</v>
      </c>
    </row>
    <row r="22">
      <c r="A22" s="17" t="inlineStr">
        <is>
          <t>Depreciation &amp; Amortisation</t>
        </is>
      </c>
      <c r="B22" s="18" t="n">
        <v>7390</v>
      </c>
      <c r="C22" s="18" t="n">
        <v>6970</v>
      </c>
      <c r="D22" s="18" t="n">
        <v>7486</v>
      </c>
      <c r="E22" s="18" t="n">
        <v>7339</v>
      </c>
      <c r="F22" s="18" t="n">
        <v>7503</v>
      </c>
    </row>
    <row r="23">
      <c r="A23" s="17" t="inlineStr">
        <is>
          <t>Deferred Income Tax</t>
        </is>
      </c>
      <c r="B23" s="18" t="n">
        <v>-2079</v>
      </c>
      <c r="C23" s="18" t="n">
        <v>-1663</v>
      </c>
      <c r="D23" s="18" t="n">
        <v>-4194</v>
      </c>
      <c r="E23" s="18" t="n">
        <v>-2183</v>
      </c>
      <c r="F23" s="18" t="n">
        <v>1538</v>
      </c>
    </row>
    <row r="24">
      <c r="A24" s="17" t="inlineStr">
        <is>
          <t>Stock-Based Compensation</t>
        </is>
      </c>
      <c r="B24" s="18" t="n">
        <v>1135</v>
      </c>
      <c r="C24" s="18" t="n">
        <v>1138</v>
      </c>
      <c r="D24" s="18" t="n">
        <v>1162</v>
      </c>
      <c r="E24" s="18" t="n">
        <v>1176</v>
      </c>
      <c r="F24" s="18" t="n">
        <v>1354</v>
      </c>
    </row>
    <row r="25">
      <c r="A25" s="17" t="inlineStr">
        <is>
          <t>Change in Working Capital</t>
        </is>
      </c>
      <c r="B25" s="18" t="n">
        <v>-4238</v>
      </c>
      <c r="C25" s="18" t="n">
        <v>-4011</v>
      </c>
      <c r="D25" s="18" t="n">
        <v>2507</v>
      </c>
      <c r="E25" s="18" t="n">
        <v>1837</v>
      </c>
      <c r="F25" s="18" t="n">
        <v>-12718</v>
      </c>
    </row>
    <row r="26">
      <c r="A26" s="21" t="inlineStr">
        <is>
          <t xml:space="preserve">  — Accounts Receivable</t>
        </is>
      </c>
      <c r="B26" s="18" t="n">
        <v>-2402</v>
      </c>
      <c r="C26" s="18" t="n">
        <v>-1290</v>
      </c>
      <c r="D26" s="18" t="n">
        <v>-624</v>
      </c>
      <c r="E26" s="18" t="n">
        <v>-406</v>
      </c>
      <c r="F26" s="18" t="n">
        <v>-1781</v>
      </c>
    </row>
    <row r="27">
      <c r="A27" s="21" t="inlineStr">
        <is>
          <t xml:space="preserve">  — Inventory</t>
        </is>
      </c>
      <c r="B27" s="18" t="n">
        <v>-1248</v>
      </c>
      <c r="C27" s="18" t="n">
        <v>-2527</v>
      </c>
      <c r="D27" s="18" t="n">
        <v>-1323</v>
      </c>
      <c r="E27" s="18" t="n">
        <v>-1128</v>
      </c>
      <c r="F27" s="18" t="n">
        <v>-1450</v>
      </c>
    </row>
    <row r="28">
      <c r="A28" s="21" t="inlineStr">
        <is>
          <t xml:space="preserve">  — Accounts Payable</t>
        </is>
      </c>
      <c r="B28" s="18" t="n">
        <v>2437</v>
      </c>
      <c r="C28" s="18" t="n">
        <v>1098</v>
      </c>
      <c r="D28" s="18" t="n">
        <v>2346</v>
      </c>
      <c r="E28" s="18" t="n">
        <v>1621</v>
      </c>
      <c r="F28" s="18" t="n">
        <v>2377</v>
      </c>
    </row>
    <row r="29">
      <c r="A29" s="21" t="inlineStr">
        <is>
          <t xml:space="preserve">  — Other Working Capital</t>
        </is>
      </c>
      <c r="B29" s="18" t="n">
        <v>-3025</v>
      </c>
      <c r="C29" s="18" t="n">
        <v>-1292</v>
      </c>
      <c r="D29" s="18" t="n">
        <v>2108</v>
      </c>
      <c r="E29" s="18" t="n">
        <v>1750</v>
      </c>
      <c r="F29" s="18" t="n">
        <v>-11864</v>
      </c>
    </row>
    <row r="30">
      <c r="A30" s="17" t="inlineStr">
        <is>
          <t>Other Non-Cash Items</t>
        </is>
      </c>
      <c r="B30" s="18" t="n">
        <v>324</v>
      </c>
      <c r="C30" s="18" t="n">
        <v>819</v>
      </c>
      <c r="D30" s="18" t="n">
        <v>2504</v>
      </c>
      <c r="E30" s="18" t="n">
        <v>2031</v>
      </c>
      <c r="F30" s="18" t="n">
        <v>49</v>
      </c>
    </row>
    <row r="31">
      <c r="A31" s="26" t="inlineStr">
        <is>
          <t>Net Cash from Operations (CFO)</t>
        </is>
      </c>
      <c r="B31" s="27" t="n">
        <v>23410</v>
      </c>
      <c r="C31" s="27" t="n">
        <v>21194</v>
      </c>
      <c r="D31" s="27" t="n">
        <v>22791</v>
      </c>
      <c r="E31" s="27" t="n">
        <v>24266</v>
      </c>
      <c r="F31" s="27" t="n">
        <v>24530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-3652</v>
      </c>
      <c r="C33" s="18" t="n">
        <v>-4009</v>
      </c>
      <c r="D33" s="18" t="n">
        <v>-4543</v>
      </c>
      <c r="E33" s="18" t="n">
        <v>-4424</v>
      </c>
      <c r="F33" s="18" t="n">
        <v>-4832</v>
      </c>
    </row>
    <row r="34">
      <c r="A34" s="21" t="inlineStr">
        <is>
          <t xml:space="preserve">  (Alt: Invest. in PP&amp;E)</t>
        </is>
      </c>
      <c r="B34" s="18" t="n">
        <v>-3652</v>
      </c>
      <c r="C34" s="18" t="n">
        <v>-4009</v>
      </c>
      <c r="D34" s="18" t="n">
        <v>-4543</v>
      </c>
      <c r="E34" s="18" t="n">
        <v>-4424</v>
      </c>
      <c r="F34" s="18" t="n">
        <v>-4832</v>
      </c>
    </row>
    <row r="35">
      <c r="A35" s="17" t="inlineStr">
        <is>
          <t>Acquisitions (Net)</t>
        </is>
      </c>
      <c r="B35" s="18" t="n">
        <v>-60</v>
      </c>
      <c r="C35" s="18" t="n">
        <v>-17652</v>
      </c>
      <c r="D35" s="18" t="n">
        <v>0</v>
      </c>
      <c r="E35" s="18" t="n">
        <v>-15146</v>
      </c>
      <c r="F35" s="18" t="n">
        <v>-17541</v>
      </c>
    </row>
    <row r="36">
      <c r="A36" s="17" t="inlineStr">
        <is>
          <t>Purchases of Investments</t>
        </is>
      </c>
      <c r="B36" s="18" t="n">
        <v>-30394</v>
      </c>
      <c r="C36" s="18" t="n">
        <v>-32384</v>
      </c>
      <c r="D36" s="18" t="n">
        <v>-10906</v>
      </c>
      <c r="E36" s="18" t="n">
        <v>-1726</v>
      </c>
      <c r="F36" s="18" t="n">
        <v>-920</v>
      </c>
    </row>
    <row r="37">
      <c r="A37" s="17" t="inlineStr">
        <is>
          <t>Sales / Maturities of Investments</t>
        </is>
      </c>
      <c r="B37" s="18" t="n">
        <v>25006</v>
      </c>
      <c r="C37" s="18" t="n">
        <v>41609</v>
      </c>
      <c r="D37" s="18" t="n">
        <v>19390</v>
      </c>
      <c r="E37" s="18" t="n">
        <v>2462</v>
      </c>
      <c r="F37" s="18" t="n">
        <v>1661</v>
      </c>
    </row>
    <row r="38">
      <c r="A38" s="17" t="inlineStr">
        <is>
          <t>Other Investing Activities</t>
        </is>
      </c>
      <c r="B38" s="18" t="n">
        <v>417</v>
      </c>
      <c r="C38" s="18" t="n">
        <v>65</v>
      </c>
      <c r="D38" s="18" t="n">
        <v>-3063</v>
      </c>
      <c r="E38" s="18" t="n">
        <v>235</v>
      </c>
      <c r="F38" s="18" t="n">
        <v>-1956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-990</v>
      </c>
      <c r="C41" s="18" t="n">
        <v>7452</v>
      </c>
      <c r="D41" s="18" t="n">
        <v>-2734</v>
      </c>
      <c r="E41" s="18" t="n">
        <v>10051</v>
      </c>
      <c r="F41" s="18" t="n">
        <v>9637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4241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-3456</v>
      </c>
      <c r="C44" s="18" t="n">
        <v>-6035</v>
      </c>
      <c r="D44" s="18" t="n">
        <v>-5054</v>
      </c>
      <c r="E44" s="18" t="n">
        <v>-2432</v>
      </c>
      <c r="F44" s="18" t="n">
        <v>-5953</v>
      </c>
    </row>
    <row r="45">
      <c r="A45" s="17" t="inlineStr">
        <is>
          <t>Dividends Paid</t>
        </is>
      </c>
      <c r="B45" s="18" t="n">
        <v>-11032</v>
      </c>
      <c r="C45" s="18" t="n">
        <v>-11682</v>
      </c>
      <c r="D45" s="18" t="n">
        <v>-11770</v>
      </c>
      <c r="E45" s="18" t="n">
        <v>-11823</v>
      </c>
      <c r="F45" s="18" t="n">
        <v>-12381</v>
      </c>
    </row>
    <row r="46">
      <c r="A46" s="17" t="inlineStr">
        <is>
          <t>Other Financing Activities</t>
        </is>
      </c>
      <c r="B46" s="18" t="n">
        <v>1431</v>
      </c>
      <c r="C46" s="18" t="n">
        <v>1394</v>
      </c>
      <c r="D46" s="18" t="n">
        <v>-508</v>
      </c>
      <c r="E46" s="18" t="n">
        <v>1072</v>
      </c>
      <c r="F46" s="18" t="n">
        <v>3158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-178</v>
      </c>
      <c r="C49" s="18" t="n">
        <v>-312</v>
      </c>
      <c r="D49" s="18" t="n">
        <v>-112</v>
      </c>
      <c r="E49" s="18" t="n">
        <v>-289</v>
      </c>
      <c r="F49" s="18" t="n">
        <v>201</v>
      </c>
    </row>
    <row r="50">
      <c r="A50" s="15" t="inlineStr">
        <is>
          <t>Net Change in Cash</t>
        </is>
      </c>
      <c r="B50" s="16" t="n">
        <v>502</v>
      </c>
      <c r="C50" s="16" t="n">
        <v>-360</v>
      </c>
      <c r="D50" s="16" t="n">
        <v>7732</v>
      </c>
      <c r="E50" s="16" t="n">
        <v>2246</v>
      </c>
      <c r="F50" s="16" t="n">
        <v>-4396</v>
      </c>
    </row>
    <row r="51">
      <c r="A51" s="17" t="inlineStr">
        <is>
          <t>Cash at Beginning of Period</t>
        </is>
      </c>
      <c r="B51" s="18" t="n">
        <v>13985</v>
      </c>
      <c r="C51" s="18" t="n">
        <v>14487</v>
      </c>
      <c r="D51" s="18" t="n">
        <v>14127</v>
      </c>
      <c r="E51" s="18" t="n">
        <v>21859</v>
      </c>
      <c r="F51" s="18" t="n">
        <v>24105</v>
      </c>
    </row>
    <row r="52">
      <c r="A52" s="26" t="inlineStr">
        <is>
          <t>Cash at End of Period</t>
        </is>
      </c>
      <c r="B52" s="27" t="n">
        <v>14487</v>
      </c>
      <c r="C52" s="27" t="n">
        <v>14127</v>
      </c>
      <c r="D52" s="27" t="n">
        <v>21859</v>
      </c>
      <c r="E52" s="27" t="n">
        <v>24105</v>
      </c>
      <c r="F52" s="27" t="n">
        <v>19709</v>
      </c>
    </row>
    <row r="53">
      <c r="A53" s="26" t="inlineStr">
        <is>
          <t>Free Cash Flow</t>
        </is>
      </c>
      <c r="B53" s="27" t="n">
        <v>19758</v>
      </c>
      <c r="C53" s="27" t="n">
        <v>17185</v>
      </c>
      <c r="D53" s="27" t="n">
        <v>18248</v>
      </c>
      <c r="E53" s="27" t="n">
        <v>19842</v>
      </c>
      <c r="F53" s="27" t="n">
        <v>19698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2674</v>
      </c>
      <c r="C61" s="18" t="n">
        <v>2663.9</v>
      </c>
      <c r="D61" s="18" t="n">
        <v>2560.4</v>
      </c>
      <c r="E61" s="18" t="n">
        <v>2429.4</v>
      </c>
      <c r="F61" s="18" t="n">
        <v>2429.4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24" customHeight="1">
      <c r="A4" s="41" t="inlineStr">
        <is>
          <t>Data not available on your current FMP plan (requires Starter or above). Upgrade at financialmodelingprep.com to unlock segment data.</t>
        </is>
      </c>
    </row>
    <row r="6" ht="6" customHeight="1"/>
    <row r="7" ht="18" customHeight="1">
      <c r="A7" s="5" t="inlineStr">
        <is>
          <t>GEOGRAPHIC SEGMENT REVENUE ($mm)</t>
        </is>
      </c>
    </row>
    <row r="8" ht="24" customHeight="1">
      <c r="A8" s="41" t="inlineStr">
        <is>
          <t>Data not available on your current FMP plan (requires Starter or above). Upgrade at financialmodelingprep.com to unlock segment data.</t>
        </is>
      </c>
    </row>
  </sheetData>
  <mergeCells count="6">
    <mergeCell ref="A2:F2"/>
    <mergeCell ref="A1:F1"/>
    <mergeCell ref="A8:F8"/>
    <mergeCell ref="A4:F4"/>
    <mergeCell ref="A3:F3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JNJ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/>
      <c r="C5" s="44" t="inlineStr">
        <is>
          <t>FMP marketCap  |  price $</t>
        </is>
      </c>
    </row>
    <row r="6">
      <c r="A6" s="17" t="inlineStr">
        <is>
          <t>Debt  (gross book value, $mm)</t>
        </is>
      </c>
      <c r="B6" s="45" t="n">
        <v>47933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6" t="inlineStr"/>
    </row>
    <row r="8">
      <c r="A8" s="17" t="inlineStr">
        <is>
          <t>Equity weight  (E / V)</t>
        </is>
      </c>
      <c r="B8" s="47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7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7" t="n">
        <v>0.0447</v>
      </c>
      <c r="C12" s="44" t="inlineStr">
        <is>
          <t>FRED series DGS10  |  latest: 2026-05-14</t>
        </is>
      </c>
    </row>
    <row r="13">
      <c r="A13" s="48" t="inlineStr">
        <is>
          <t>► Selected Rf  (override if needed)</t>
        </is>
      </c>
      <c r="B13" s="49" t="n">
        <v>0.0447</v>
      </c>
      <c r="C13" s="50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1" t="n"/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1" t="n"/>
      <c r="C17" s="44" t="inlineStr">
        <is>
          <t>Mean-reversion toward market beta of 1.0</t>
        </is>
      </c>
    </row>
    <row r="18">
      <c r="A18" s="17" t="inlineStr">
        <is>
          <t>Damodaran industry unlevered  (sector)</t>
        </is>
      </c>
      <c r="B18" s="52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17.7%)</t>
        </is>
      </c>
      <c r="B19" s="52" t="n">
        <v>1.15</v>
      </c>
      <c r="C19" s="44">
        <f> unlevered × (1 + (1 − t) × D/E)</f>
        <v/>
      </c>
    </row>
    <row r="20">
      <c r="A20" s="48" t="inlineStr">
        <is>
          <t>► Selected beta  (user override)</t>
        </is>
      </c>
      <c r="B20" s="53" t="n">
        <v>1.15</v>
      </c>
      <c r="C20" s="50" t="inlineStr">
        <is>
          <t>Default = average of 1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7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7" t="n">
        <v>0.042</v>
      </c>
      <c r="C24" s="44" t="inlineStr">
        <is>
          <t>Arithmetic average excess return over T-bill</t>
        </is>
      </c>
    </row>
    <row r="25">
      <c r="A25" s="48" t="inlineStr">
        <is>
          <t>► Selected ERP  (user override)</t>
        </is>
      </c>
      <c r="B25" s="49" t="n">
        <v>0.0446</v>
      </c>
      <c r="C25" s="50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6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1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1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2" t="n">
        <v>26.4</v>
      </c>
      <c r="C33" s="44" t="inlineStr">
        <is>
          <t>EBIT $25596mm  /  Int Exp $971mm</t>
        </is>
      </c>
    </row>
    <row r="34">
      <c r="A34" s="17" t="inlineStr">
        <is>
          <t>Synthetic rating  (Damodaran ICR table)</t>
        </is>
      </c>
      <c r="B34" s="51" t="inlineStr">
        <is>
          <t>AAA</t>
        </is>
      </c>
      <c r="C34" s="44" t="inlineStr">
        <is>
          <t>ICR 26.4x  →  AAA</t>
        </is>
      </c>
    </row>
    <row r="35">
      <c r="A35" s="17" t="inlineStr">
        <is>
          <t>Synthetic Rd  (Rf + Damodaran default spread)</t>
        </is>
      </c>
      <c r="B35" s="47" t="n">
        <v>0.0501</v>
      </c>
      <c r="C35" s="44" t="inlineStr">
        <is>
          <t>Rf 4.47% + spread 0.54%</t>
        </is>
      </c>
    </row>
    <row r="36">
      <c r="A36" s="17" t="inlineStr">
        <is>
          <t>Accounting Rd  (Gross int exp / Avg gross debt)</t>
        </is>
      </c>
      <c r="B36" s="47" t="n">
        <v>0.02296404034670734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$85mm  (int inc $1056mm &gt; int exp $971mm)</t>
        </is>
      </c>
      <c r="B37" s="51" t="n"/>
      <c r="C37" s="44" t="inlineStr">
        <is>
          <t>Gross Rd is the correct basis here — net figure is distorted</t>
        </is>
      </c>
    </row>
    <row r="38">
      <c r="A38" s="48" t="inlineStr">
        <is>
          <t>► Selected pre-tax Rd  (user override)</t>
        </is>
      </c>
      <c r="B38" s="49" t="n">
        <v>0.0365</v>
      </c>
      <c r="C38" s="50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7" t="n">
        <v>0.1773</v>
      </c>
      <c r="C41" s="44" t="inlineStr">
        <is>
          <t>FMP: $5777mm  /  $32581mm</t>
        </is>
      </c>
    </row>
    <row r="42">
      <c r="A42" s="48" t="inlineStr">
        <is>
          <t>► Selected tax rate  (user override)</t>
        </is>
      </c>
      <c r="B42" s="49" t="n">
        <v>0.1773</v>
      </c>
      <c r="C42" s="50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5" t="inlineStr">
        <is>
          <t>WACC  =  (E/V × Re)  +  (D/V × Rd × (1 − t))</t>
        </is>
      </c>
      <c r="B45" s="56">
        <f>B8*B28+B9*B38*(1-B42)</f>
        <v/>
      </c>
      <c r="C45" s="57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8" t="inlineStr">
        <is>
          <t>Beta offset  \  ERP offset →</t>
        </is>
      </c>
      <c r="B48" s="58" t="inlineStr">
        <is>
          <t>-1.0%</t>
        </is>
      </c>
      <c r="C48" s="58" t="inlineStr">
        <is>
          <t>-0.5%</t>
        </is>
      </c>
      <c r="D48" s="58" t="inlineStr">
        <is>
          <t>Base ERP</t>
        </is>
      </c>
      <c r="E48" s="58" t="inlineStr">
        <is>
          <t>+0.5%</t>
        </is>
      </c>
      <c r="F48" s="58" t="inlineStr">
        <is>
          <t>+1.0%</t>
        </is>
      </c>
    </row>
    <row r="49">
      <c r="A49" s="59" t="inlineStr">
        <is>
          <t>-1.0</t>
        </is>
      </c>
      <c r="B49" s="60">
        <f>B8*(B13+(B20+(-1.0))*(B25+(-0.01)))+B9*B38*(1-B42)</f>
        <v/>
      </c>
      <c r="C49" s="60">
        <f>B8*(B13+(B20+(-1.0))*(B25+(-0.005)))+B9*B38*(1-B42)</f>
        <v/>
      </c>
      <c r="D49" s="60">
        <f>B8*(B13+(B20+(-1.0))*(B25+(0.0)))+B9*B38*(1-B42)</f>
        <v/>
      </c>
      <c r="E49" s="60">
        <f>B8*(B13+(B20+(-1.0))*(B25+(0.005)))+B9*B38*(1-B42)</f>
        <v/>
      </c>
      <c r="F49" s="60">
        <f>B8*(B13+(B20+(-1.0))*(B25+(0.01)))+B9*B38*(1-B42)</f>
        <v/>
      </c>
    </row>
    <row r="50">
      <c r="A50" s="59" t="inlineStr">
        <is>
          <t>-0.5</t>
        </is>
      </c>
      <c r="B50" s="60">
        <f>B8*(B13+(B20+(-0.5))*(B25+(-0.01)))+B9*B38*(1-B42)</f>
        <v/>
      </c>
      <c r="C50" s="60">
        <f>B8*(B13+(B20+(-0.5))*(B25+(-0.005)))+B9*B38*(1-B42)</f>
        <v/>
      </c>
      <c r="D50" s="60">
        <f>B8*(B13+(B20+(-0.5))*(B25+(0.0)))+B9*B38*(1-B42)</f>
        <v/>
      </c>
      <c r="E50" s="60">
        <f>B8*(B13+(B20+(-0.5))*(B25+(0.005)))+B9*B38*(1-B42)</f>
        <v/>
      </c>
      <c r="F50" s="60">
        <f>B8*(B13+(B20+(-0.5))*(B25+(0.01)))+B9*B38*(1-B42)</f>
        <v/>
      </c>
    </row>
    <row r="51">
      <c r="A51" s="61" t="inlineStr">
        <is>
          <t>Base β</t>
        </is>
      </c>
      <c r="B51" s="62">
        <f>B8*(B13+(B20+(0.0))*(B25+(-0.01)))+B9*B38*(1-B42)</f>
        <v/>
      </c>
      <c r="C51" s="62">
        <f>B8*(B13+(B20+(0.0))*(B25+(-0.005)))+B9*B38*(1-B42)</f>
        <v/>
      </c>
      <c r="D51" s="63">
        <f>B8*(B13+(B20+(0.0))*(B25+(0.0)))+B9*B38*(1-B42)</f>
        <v/>
      </c>
      <c r="E51" s="62">
        <f>B8*(B13+(B20+(0.0))*(B25+(0.005)))+B9*B38*(1-B42)</f>
        <v/>
      </c>
      <c r="F51" s="62">
        <f>B8*(B13+(B20+(0.0))*(B25+(0.01)))+B9*B38*(1-B42)</f>
        <v/>
      </c>
    </row>
    <row r="52">
      <c r="A52" s="59" t="inlineStr">
        <is>
          <t>+0.5</t>
        </is>
      </c>
      <c r="B52" s="60">
        <f>B8*(B13+(B20+(0.5))*(B25+(-0.01)))+B9*B38*(1-B42)</f>
        <v/>
      </c>
      <c r="C52" s="60">
        <f>B8*(B13+(B20+(0.5))*(B25+(-0.005)))+B9*B38*(1-B42)</f>
        <v/>
      </c>
      <c r="D52" s="60">
        <f>B8*(B13+(B20+(0.5))*(B25+(0.0)))+B9*B38*(1-B42)</f>
        <v/>
      </c>
      <c r="E52" s="60">
        <f>B8*(B13+(B20+(0.5))*(B25+(0.005)))+B9*B38*(1-B42)</f>
        <v/>
      </c>
      <c r="F52" s="60">
        <f>B8*(B13+(B20+(0.5))*(B25+(0.01)))+B9*B38*(1-B42)</f>
        <v/>
      </c>
    </row>
    <row r="53">
      <c r="A53" s="59" t="inlineStr">
        <is>
          <t>+1.0</t>
        </is>
      </c>
      <c r="B53" s="60">
        <f>B8*(B13+(B20+(1.0))*(B25+(-0.01)))+B9*B38*(1-B42)</f>
        <v/>
      </c>
      <c r="C53" s="60">
        <f>B8*(B13+(B20+(1.0))*(B25+(-0.005)))+B9*B38*(1-B42)</f>
        <v/>
      </c>
      <c r="D53" s="60">
        <f>B8*(B13+(B20+(1.0))*(B25+(0.0)))+B9*B38*(1-B42)</f>
        <v/>
      </c>
      <c r="E53" s="60">
        <f>B8*(B13+(B20+(1.0))*(B25+(0.005)))+B9*B38*(1-B42)</f>
        <v/>
      </c>
      <c r="F53" s="60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JNJ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4" t="inlineStr">
        <is>
          <t>Source / Notes</t>
        </is>
      </c>
    </row>
    <row r="4" ht="6" customHeight="1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</row>
    <row r="5" ht="18" customHeight="1">
      <c r="A5" s="5" t="inlineStr">
        <is>
          <t>SECTION 1 — PROJECTION ASSUMPTIONS  (darker blue = FMP consensus-derived  |  lighter blue = user input)</t>
        </is>
      </c>
    </row>
    <row r="6" ht="20" customHeight="1">
      <c r="A6" s="68" t="inlineStr">
        <is>
          <t>Revenue Growth %</t>
        </is>
      </c>
      <c r="B6" s="69" t="inlineStr">
        <is>
          <t>—</t>
        </is>
      </c>
      <c r="C6" s="70">
        <f>'P&amp;L'!C5/'P&amp;L'!B5-1</f>
        <v/>
      </c>
      <c r="D6" s="70">
        <f>'P&amp;L'!D5/'P&amp;L'!C5-1</f>
        <v/>
      </c>
      <c r="E6" s="70">
        <f>'P&amp;L'!E5/'P&amp;L'!D5-1</f>
        <v/>
      </c>
      <c r="F6" s="70">
        <f>'P&amp;L'!F5/'P&amp;L'!E5-1</f>
        <v/>
      </c>
      <c r="G6" s="71" t="n">
        <v>0.08</v>
      </c>
      <c r="H6" s="71" t="n">
        <v>0.08</v>
      </c>
      <c r="I6" s="71" t="n">
        <v>0.08</v>
      </c>
      <c r="J6" s="71">
        <f>I6</f>
        <v/>
      </c>
      <c r="K6" s="71">
        <f>I6</f>
        <v/>
      </c>
      <c r="L6" s="72" t="n">
        <v>0.03</v>
      </c>
      <c r="M6" s="73" t="inlineStr">
        <is>
          <t>Yrs 1-3: FMP analyst consensus implied growth (back-calc from rev estimates).  Yrs 4-5: formula = Yr 3 growth.  Terminal = long-run growth (2-4%).</t>
        </is>
      </c>
    </row>
    <row r="7" ht="20" customHeight="1">
      <c r="A7" s="68" t="inlineStr">
        <is>
          <t>EBITDA Margin %</t>
        </is>
      </c>
      <c r="B7" s="70">
        <f>'P&amp;L'!B12/'P&amp;L'!B5</f>
        <v/>
      </c>
      <c r="C7" s="70">
        <f>'P&amp;L'!C12/'P&amp;L'!C5</f>
        <v/>
      </c>
      <c r="D7" s="70">
        <f>'P&amp;L'!D12/'P&amp;L'!D5</f>
        <v/>
      </c>
      <c r="E7" s="70">
        <f>'P&amp;L'!E12/'P&amp;L'!E5</f>
        <v/>
      </c>
      <c r="F7" s="70">
        <f>'P&amp;L'!F12/'P&amp;L'!F5</f>
        <v/>
      </c>
      <c r="G7" s="71" t="n">
        <v>0.4359</v>
      </c>
      <c r="H7" s="71" t="n">
        <v>0.4359</v>
      </c>
      <c r="I7" s="71" t="n">
        <v>0.4359</v>
      </c>
      <c r="J7" s="71">
        <f>I7</f>
        <v/>
      </c>
      <c r="K7" s="71">
        <f>I7</f>
        <v/>
      </c>
      <c r="L7" s="72" t="n">
        <v>0.4359</v>
      </c>
      <c r="M7" s="73" t="inlineStr">
        <is>
          <t>Yrs 1-3: FMP analyst consensus margin.  Yrs 4-5: = Yr 3 margin.  Terminal: long-run normalised EBITDA margin (user input).</t>
        </is>
      </c>
    </row>
    <row r="8" ht="20" customHeight="1">
      <c r="A8" s="68" t="inlineStr">
        <is>
          <t>D&amp;A as % of Revenue</t>
        </is>
      </c>
      <c r="B8" s="70">
        <f>'P&amp;L'!B14/'P&amp;L'!B5</f>
        <v/>
      </c>
      <c r="C8" s="70">
        <f>'P&amp;L'!C14/'P&amp;L'!C5</f>
        <v/>
      </c>
      <c r="D8" s="70">
        <f>'P&amp;L'!D14/'P&amp;L'!D5</f>
        <v/>
      </c>
      <c r="E8" s="70">
        <f>'P&amp;L'!E14/'P&amp;L'!E5</f>
        <v/>
      </c>
      <c r="F8" s="70">
        <f>'P&amp;L'!F14/'P&amp;L'!F5</f>
        <v/>
      </c>
      <c r="G8" s="71">
        <f>AVERAGE(B8:F8)</f>
        <v/>
      </c>
      <c r="H8" s="71">
        <f>G8</f>
        <v/>
      </c>
      <c r="I8" s="71">
        <f>G8</f>
        <v/>
      </c>
      <c r="J8" s="71">
        <f>G8</f>
        <v/>
      </c>
      <c r="K8" s="71">
        <f>G8</f>
        <v/>
      </c>
      <c r="L8" s="72">
        <f>G8</f>
        <v/>
      </c>
      <c r="M8" s="73" t="inlineStr">
        <is>
          <t>Historical linked from P&amp;L.  Yr 1 = avg of historicals; Yrs 2-5 &amp; terminal = Yr 1.</t>
        </is>
      </c>
    </row>
    <row r="9" ht="20" customHeight="1">
      <c r="A9" s="68" t="inlineStr">
        <is>
          <t>CapEx as % of Revenue</t>
        </is>
      </c>
      <c r="B9" s="70">
        <f>-'Cash Flow'!B6/'P&amp;L'!B5</f>
        <v/>
      </c>
      <c r="C9" s="70">
        <f>-'Cash Flow'!C6/'P&amp;L'!C5</f>
        <v/>
      </c>
      <c r="D9" s="70">
        <f>-'Cash Flow'!D6/'P&amp;L'!D5</f>
        <v/>
      </c>
      <c r="E9" s="70">
        <f>-'Cash Flow'!E6/'P&amp;L'!E5</f>
        <v/>
      </c>
      <c r="F9" s="70">
        <f>-'Cash Flow'!F6/'P&amp;L'!F5</f>
        <v/>
      </c>
      <c r="G9" s="71">
        <f>AVERAGE(B9:F9)</f>
        <v/>
      </c>
      <c r="H9" s="71">
        <f>G9</f>
        <v/>
      </c>
      <c r="I9" s="71">
        <f>G9</f>
        <v/>
      </c>
      <c r="J9" s="71">
        <f>G9</f>
        <v/>
      </c>
      <c r="K9" s="71">
        <f>G9</f>
        <v/>
      </c>
      <c r="L9" s="72">
        <f>G9</f>
        <v/>
      </c>
      <c r="M9" s="73" t="inlineStr">
        <is>
          <t>Historical linked from Cash Flow.  Yr 1 = avg of historicals; Yrs 2-5 &amp; terminal = Yr 1.</t>
        </is>
      </c>
    </row>
    <row r="10" ht="20" customHeight="1">
      <c r="A10" s="68" t="inlineStr">
        <is>
          <t>Change in NWC as % of Revenue</t>
        </is>
      </c>
      <c r="B10" s="69" t="inlineStr">
        <is>
          <t>—</t>
        </is>
      </c>
      <c r="C10" s="70">
        <f>(('Balance Sheet'!C9-'Balance Sheet'!C21)-('Balance Sheet'!B9-'Balance Sheet'!B21))/'P&amp;L'!C5</f>
        <v/>
      </c>
      <c r="D10" s="70">
        <f>(('Balance Sheet'!D9-'Balance Sheet'!D21)-('Balance Sheet'!C9-'Balance Sheet'!C21))/'P&amp;L'!D5</f>
        <v/>
      </c>
      <c r="E10" s="70">
        <f>(('Balance Sheet'!E9-'Balance Sheet'!E21)-('Balance Sheet'!D9-'Balance Sheet'!D21))/'P&amp;L'!E5</f>
        <v/>
      </c>
      <c r="F10" s="70">
        <f>(('Balance Sheet'!F9-'Balance Sheet'!F21)-('Balance Sheet'!E9-'Balance Sheet'!E21))/'P&amp;L'!F5</f>
        <v/>
      </c>
      <c r="G10" s="71">
        <f>MAX(-0.02,MIN(0.05,AVERAGE(C10:F10)))</f>
        <v/>
      </c>
      <c r="H10" s="71">
        <f>G10*4/5</f>
        <v/>
      </c>
      <c r="I10" s="71">
        <f>G10*3/5</f>
        <v/>
      </c>
      <c r="J10" s="71">
        <f>G10*2/5</f>
        <v/>
      </c>
      <c r="K10" s="71">
        <f>G10*1/5</f>
        <v/>
      </c>
      <c r="L10" s="72" t="n">
        <v>0</v>
      </c>
      <c r="M10" s="73" t="inlineStr">
        <is>
          <t>Yr 1 = clamped avg of historicals [-2%, +5%]. Yrs 2-5 fade linearly to 0. Terminal = 0 (steady-state: NWC tracks revenue).</t>
        </is>
      </c>
    </row>
    <row r="11" ht="20" customHeight="1">
      <c r="A11" s="68" t="inlineStr">
        <is>
          <t>Effective Tax Rate</t>
        </is>
      </c>
      <c r="B11" s="70">
        <f>IFERROR(MAX(0,MIN(0.5,'P&amp;L'!B22/'P&amp;L'!B21)),0)</f>
        <v/>
      </c>
      <c r="C11" s="70">
        <f>IFERROR(MAX(0,MIN(0.5,'P&amp;L'!C22/'P&amp;L'!C21)),0)</f>
        <v/>
      </c>
      <c r="D11" s="70">
        <f>IFERROR(MAX(0,MIN(0.5,'P&amp;L'!D22/'P&amp;L'!D21)),0)</f>
        <v/>
      </c>
      <c r="E11" s="70">
        <f>IFERROR(MAX(0,MIN(0.5,'P&amp;L'!E22/'P&amp;L'!E21)),0)</f>
        <v/>
      </c>
      <c r="F11" s="70">
        <f>IFERROR(MAX(0,MIN(0.5,'P&amp;L'!F22/'P&amp;L'!F21)),0)</f>
        <v/>
      </c>
      <c r="G11" s="71">
        <f>AVERAGE(B11:F11)</f>
        <v/>
      </c>
      <c r="H11" s="71">
        <f>G11</f>
        <v/>
      </c>
      <c r="I11" s="71">
        <f>G11</f>
        <v/>
      </c>
      <c r="J11" s="71">
        <f>G11</f>
        <v/>
      </c>
      <c r="K11" s="71">
        <f>G11</f>
        <v/>
      </c>
      <c r="L11" s="72">
        <f>G11</f>
        <v/>
      </c>
      <c r="M11" s="73" t="inlineStr">
        <is>
          <t>Historical linked from P&amp;L (tax / pretax income).  Forecast: avg of historicals, constant thereafter.</t>
        </is>
      </c>
    </row>
    <row r="12" ht="6" customHeight="1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</row>
    <row r="13" ht="18" customHeight="1">
      <c r="A13" s="25" t="inlineStr">
        <is>
          <t>SECTION 2 — REVENUE &amp; EBITDA  ($mm)</t>
        </is>
      </c>
    </row>
    <row r="14" ht="20" customHeight="1">
      <c r="A14" s="74" t="inlineStr">
        <is>
          <t>Revenue</t>
        </is>
      </c>
      <c r="B14" s="75">
        <f>'P&amp;L'!B5</f>
        <v/>
      </c>
      <c r="C14" s="75">
        <f>'P&amp;L'!C5</f>
        <v/>
      </c>
      <c r="D14" s="75">
        <f>'P&amp;L'!D5</f>
        <v/>
      </c>
      <c r="E14" s="75">
        <f>'P&amp;L'!E5</f>
        <v/>
      </c>
      <c r="F14" s="75">
        <f>'P&amp;L'!F5</f>
        <v/>
      </c>
      <c r="G14" s="76">
        <f>F14*(1+G6)</f>
        <v/>
      </c>
      <c r="H14" s="76">
        <f>G14*(1+H6)</f>
        <v/>
      </c>
      <c r="I14" s="76">
        <f>H14*(1+I6)</f>
        <v/>
      </c>
      <c r="J14" s="76">
        <f>I14*(1+J6)</f>
        <v/>
      </c>
      <c r="K14" s="76">
        <f>J14*(1+K6)</f>
        <v/>
      </c>
      <c r="L14" s="77">
        <f>K14*(1+L6)</f>
        <v/>
      </c>
      <c r="M14" s="78" t="inlineStr">
        <is>
          <t>FMP consensus years: analyst revenue average ($mm).  Range: Low–High shown below.  User years: prior × (1+growth).</t>
        </is>
      </c>
    </row>
    <row r="15" ht="20" customHeight="1">
      <c r="A15" s="79" t="inlineStr">
        <is>
          <t xml:space="preserve">  Analyst Range:  Low — High  ($mm)</t>
        </is>
      </c>
      <c r="G15" s="80" t="inlineStr">
        <is>
          <t>—</t>
        </is>
      </c>
      <c r="H15" s="80" t="inlineStr">
        <is>
          <t>—</t>
        </is>
      </c>
      <c r="I15" s="80" t="inlineStr">
        <is>
          <t>—</t>
        </is>
      </c>
      <c r="J15" s="80" t="inlineStr">
        <is>
          <t>—</t>
        </is>
      </c>
      <c r="K15" s="80" t="inlineStr">
        <is>
          <t>—</t>
        </is>
      </c>
      <c r="L15" s="81" t="inlineStr">
        <is>
          <t>—</t>
        </is>
      </c>
      <c r="M15" s="78" t="inlineStr">
        <is>
          <t>Sell-side analyst low / high revenue estimates for consensus years</t>
        </is>
      </c>
    </row>
    <row r="16" ht="20" customHeight="1">
      <c r="A16" s="79" t="inlineStr">
        <is>
          <t xml:space="preserve">  Number of Analysts</t>
        </is>
      </c>
      <c r="G16" s="80" t="inlineStr">
        <is>
          <t>—</t>
        </is>
      </c>
      <c r="H16" s="80" t="inlineStr">
        <is>
          <t>—</t>
        </is>
      </c>
      <c r="I16" s="80" t="inlineStr">
        <is>
          <t>—</t>
        </is>
      </c>
      <c r="J16" s="80" t="inlineStr">
        <is>
          <t>—</t>
        </is>
      </c>
      <c r="K16" s="80" t="inlineStr">
        <is>
          <t>—</t>
        </is>
      </c>
      <c r="L16" s="81" t="inlineStr">
        <is>
          <t>—</t>
        </is>
      </c>
      <c r="M16" s="78" t="inlineStr">
        <is>
          <t>Red &lt; 5 analysts — treat estimate with caution.  Orange &lt; 10.</t>
        </is>
      </c>
    </row>
    <row r="17" ht="20" customHeight="1">
      <c r="A17" s="79" t="inlineStr">
        <is>
          <t xml:space="preserve">  YoY Revenue Growth %</t>
        </is>
      </c>
      <c r="B17" s="82" t="inlineStr">
        <is>
          <t>—</t>
        </is>
      </c>
      <c r="C17" s="83">
        <f>IFERROR(C14/B14-1,"")</f>
        <v/>
      </c>
      <c r="D17" s="83">
        <f>IFERROR(D14/C14-1,"")</f>
        <v/>
      </c>
      <c r="E17" s="83">
        <f>IFERROR(E14/D14-1,"")</f>
        <v/>
      </c>
      <c r="F17" s="83">
        <f>IFERROR(F14/E14-1,"")</f>
        <v/>
      </c>
      <c r="G17" s="84">
        <f>IFERROR(G14/F14-1,"")</f>
        <v/>
      </c>
      <c r="H17" s="84">
        <f>IFERROR(H14/G14-1,"")</f>
        <v/>
      </c>
      <c r="I17" s="84">
        <f>IFERROR(I14/H14-1,"")</f>
        <v/>
      </c>
      <c r="J17" s="84">
        <f>IFERROR(J14/I14-1,"")</f>
        <v/>
      </c>
      <c r="K17" s="84">
        <f>IFERROR(K14/J14-1,"")</f>
        <v/>
      </c>
      <c r="L17" s="85">
        <f>L6</f>
        <v/>
      </c>
      <c r="M17" s="78">
        <f> this year / prior year − 1  (formula cross-check on assumptions)</f>
        <v/>
      </c>
    </row>
    <row r="18" ht="6" customHeight="1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</row>
    <row r="19" ht="20" customHeight="1">
      <c r="A19" s="74" t="inlineStr">
        <is>
          <t>EBITDA</t>
        </is>
      </c>
      <c r="B19" s="75">
        <f>'P&amp;L'!B12</f>
        <v/>
      </c>
      <c r="C19" s="75">
        <f>'P&amp;L'!C12</f>
        <v/>
      </c>
      <c r="D19" s="75">
        <f>'P&amp;L'!D12</f>
        <v/>
      </c>
      <c r="E19" s="75">
        <f>'P&amp;L'!E12</f>
        <v/>
      </c>
      <c r="F19" s="75">
        <f>'P&amp;L'!F12</f>
        <v/>
      </c>
      <c r="G19" s="76">
        <f>G14*G7</f>
        <v/>
      </c>
      <c r="H19" s="76">
        <f>H14*H7</f>
        <v/>
      </c>
      <c r="I19" s="76">
        <f>I14*I7</f>
        <v/>
      </c>
      <c r="J19" s="76">
        <f>J14*J7</f>
        <v/>
      </c>
      <c r="K19" s="76">
        <f>K14*K7</f>
        <v/>
      </c>
      <c r="L19" s="77">
        <f>L14*L7</f>
        <v/>
      </c>
      <c r="M19" s="78" t="inlineStr">
        <is>
          <t>FMP consensus years: analyst EBITDA average.  User years: Revenue × EBITDA margin assumption.</t>
        </is>
      </c>
    </row>
    <row r="20" ht="20" customHeight="1">
      <c r="A20" s="79" t="inlineStr">
        <is>
          <t xml:space="preserve">  Analyst Range:  Low — High  ($mm)</t>
        </is>
      </c>
      <c r="G20" s="80" t="inlineStr">
        <is>
          <t>—</t>
        </is>
      </c>
      <c r="H20" s="80" t="inlineStr">
        <is>
          <t>—</t>
        </is>
      </c>
      <c r="I20" s="80" t="inlineStr">
        <is>
          <t>—</t>
        </is>
      </c>
      <c r="J20" s="80" t="inlineStr">
        <is>
          <t>—</t>
        </is>
      </c>
      <c r="K20" s="80" t="inlineStr">
        <is>
          <t>—</t>
        </is>
      </c>
      <c r="L20" s="81" t="inlineStr">
        <is>
          <t>—</t>
        </is>
      </c>
      <c r="M20" s="78" t="inlineStr">
        <is>
          <t>Sell-side analyst low / high EBITDA estimates for consensus years</t>
        </is>
      </c>
    </row>
    <row r="21" ht="20" customHeight="1">
      <c r="A21" s="79" t="inlineStr">
        <is>
          <t xml:space="preserve">  EBITDA Margin %</t>
        </is>
      </c>
      <c r="B21" s="83">
        <f>IFERROR(B19/B14,"")</f>
        <v/>
      </c>
      <c r="C21" s="83">
        <f>IFERROR(C19/C14,"")</f>
        <v/>
      </c>
      <c r="D21" s="83">
        <f>IFERROR(D19/D14,"")</f>
        <v/>
      </c>
      <c r="E21" s="83">
        <f>IFERROR(E19/E14,"")</f>
        <v/>
      </c>
      <c r="F21" s="83">
        <f>IFERROR(F19/F14,"")</f>
        <v/>
      </c>
      <c r="G21" s="84">
        <f>IFERROR(G19/G14,"")</f>
        <v/>
      </c>
      <c r="H21" s="84">
        <f>IFERROR(H19/H14,"")</f>
        <v/>
      </c>
      <c r="I21" s="84">
        <f>IFERROR(I19/I14,"")</f>
        <v/>
      </c>
      <c r="J21" s="84">
        <f>IFERROR(J19/J14,"")</f>
        <v/>
      </c>
      <c r="K21" s="84">
        <f>IFERROR(K19/K14,"")</f>
        <v/>
      </c>
      <c r="L21" s="85">
        <f>IFERROR(L19/L14,"")</f>
        <v/>
      </c>
      <c r="M21" s="78">
        <f> EBITDA / Revenue  (formula — cross-check on margin assumption)</f>
        <v/>
      </c>
    </row>
    <row r="22" ht="6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</row>
    <row r="23" ht="18" customHeight="1">
      <c r="A23" s="25" t="inlineStr">
        <is>
          <t>SECTION 3 — UNLEVERED FREE CASH FLOW BUILD  ($mm)</t>
        </is>
      </c>
    </row>
    <row r="24" ht="20" customHeight="1">
      <c r="A24" s="86" t="inlineStr">
        <is>
          <t xml:space="preserve">  Less: D&amp;A</t>
        </is>
      </c>
      <c r="B24" s="75">
        <f>-'P&amp;L'!B14</f>
        <v/>
      </c>
      <c r="C24" s="75">
        <f>-'P&amp;L'!C14</f>
        <v/>
      </c>
      <c r="D24" s="75">
        <f>-'P&amp;L'!D14</f>
        <v/>
      </c>
      <c r="E24" s="75">
        <f>-'P&amp;L'!E14</f>
        <v/>
      </c>
      <c r="F24" s="75">
        <f>-'P&amp;L'!F14</f>
        <v/>
      </c>
      <c r="G24" s="76">
        <f>-G14*G8</f>
        <v/>
      </c>
      <c r="H24" s="76">
        <f>-H14*H8</f>
        <v/>
      </c>
      <c r="I24" s="76">
        <f>-I14*I8</f>
        <v/>
      </c>
      <c r="J24" s="76">
        <f>-J14*J8</f>
        <v/>
      </c>
      <c r="K24" s="76">
        <f>-K14*K8</f>
        <v/>
      </c>
      <c r="L24" s="77">
        <f>-L14*L8</f>
        <v/>
      </c>
      <c r="M24" s="78">
        <f> Revenue × D&amp;A % assumption  (negative = P&amp;L charge)</f>
        <v/>
      </c>
    </row>
    <row r="25" ht="20" customHeight="1">
      <c r="A25" s="64" t="inlineStr">
        <is>
          <t>EBIT  (Operating Profit)</t>
        </is>
      </c>
      <c r="B25" s="87">
        <f>B19+B24</f>
        <v/>
      </c>
      <c r="C25" s="87">
        <f>C19+C24</f>
        <v/>
      </c>
      <c r="D25" s="87">
        <f>D19+D24</f>
        <v/>
      </c>
      <c r="E25" s="87">
        <f>E19+E24</f>
        <v/>
      </c>
      <c r="F25" s="87">
        <f>F19+F24</f>
        <v/>
      </c>
      <c r="G25" s="88">
        <f>G19+G24</f>
        <v/>
      </c>
      <c r="H25" s="88">
        <f>H19+H24</f>
        <v/>
      </c>
      <c r="I25" s="88">
        <f>I19+I24</f>
        <v/>
      </c>
      <c r="J25" s="88">
        <f>J19+J24</f>
        <v/>
      </c>
      <c r="K25" s="88">
        <f>K19+K24</f>
        <v/>
      </c>
      <c r="L25" s="88">
        <f>L19+L24</f>
        <v/>
      </c>
      <c r="M25" s="78">
        <f> EBITDA + D&amp;A  (GAAP operating income, EBIT)</f>
        <v/>
      </c>
    </row>
    <row r="26" ht="20" customHeight="1">
      <c r="A26" s="86" t="inlineStr">
        <is>
          <t xml:space="preserve">  Less: Tax on EBIT  (unlevered)</t>
        </is>
      </c>
      <c r="B26" s="89">
        <f>-B25*B11</f>
        <v/>
      </c>
      <c r="C26" s="89">
        <f>-C25*C11</f>
        <v/>
      </c>
      <c r="D26" s="89">
        <f>-D25*D11</f>
        <v/>
      </c>
      <c r="E26" s="89">
        <f>-E25*E11</f>
        <v/>
      </c>
      <c r="F26" s="89">
        <f>-F25*F11</f>
        <v/>
      </c>
      <c r="G26" s="90">
        <f>-G25*G11</f>
        <v/>
      </c>
      <c r="H26" s="90">
        <f>-H25*H11</f>
        <v/>
      </c>
      <c r="I26" s="90">
        <f>-I25*I11</f>
        <v/>
      </c>
      <c r="J26" s="90">
        <f>-J25*J11</f>
        <v/>
      </c>
      <c r="K26" s="90">
        <f>-K25*K11</f>
        <v/>
      </c>
      <c r="L26" s="90">
        <f>-L25*L11</f>
        <v/>
      </c>
      <c r="M26" s="78">
        <f> EBIT × tax rate  (no interest tax shield — UFCF is pre-debt)</f>
        <v/>
      </c>
    </row>
    <row r="27" ht="20" customHeight="1">
      <c r="A27" s="74" t="inlineStr">
        <is>
          <t>NOPAT</t>
        </is>
      </c>
      <c r="B27" s="87">
        <f>B25+B26</f>
        <v/>
      </c>
      <c r="C27" s="87">
        <f>C25+C26</f>
        <v/>
      </c>
      <c r="D27" s="87">
        <f>D25+D26</f>
        <v/>
      </c>
      <c r="E27" s="87">
        <f>E25+E26</f>
        <v/>
      </c>
      <c r="F27" s="87">
        <f>F25+F26</f>
        <v/>
      </c>
      <c r="G27" s="91">
        <f>G25+G26</f>
        <v/>
      </c>
      <c r="H27" s="91">
        <f>H25+H26</f>
        <v/>
      </c>
      <c r="I27" s="91">
        <f>I25+I26</f>
        <v/>
      </c>
      <c r="J27" s="91">
        <f>J25+J26</f>
        <v/>
      </c>
      <c r="K27" s="91">
        <f>K25+K26</f>
        <v/>
      </c>
      <c r="L27" s="91">
        <f>L25+L26</f>
        <v/>
      </c>
      <c r="M27" s="78">
        <f> EBIT × (1 − tax rate)</f>
        <v/>
      </c>
    </row>
    <row r="28" ht="20" customHeight="1">
      <c r="A28" s="86" t="inlineStr">
        <is>
          <t xml:space="preserve">  (+) D&amp;A add-back  (non-cash)</t>
        </is>
      </c>
      <c r="B28" s="89">
        <f>-B24</f>
        <v/>
      </c>
      <c r="C28" s="89">
        <f>-C24</f>
        <v/>
      </c>
      <c r="D28" s="89">
        <f>-D24</f>
        <v/>
      </c>
      <c r="E28" s="89">
        <f>-E24</f>
        <v/>
      </c>
      <c r="F28" s="89">
        <f>-F24</f>
        <v/>
      </c>
      <c r="G28" s="90">
        <f>-G24</f>
        <v/>
      </c>
      <c r="H28" s="90">
        <f>-H24</f>
        <v/>
      </c>
      <c r="I28" s="90">
        <f>-I24</f>
        <v/>
      </c>
      <c r="J28" s="90">
        <f>-J24</f>
        <v/>
      </c>
      <c r="K28" s="90">
        <f>-K24</f>
        <v/>
      </c>
      <c r="L28" s="90">
        <f>-L24</f>
        <v/>
      </c>
      <c r="M28" s="78">
        <f> D&amp;A added back (non-cash charge — converts NOPAT to cash basis)</f>
        <v/>
      </c>
    </row>
    <row r="29" ht="20" customHeight="1">
      <c r="A29" s="86" t="inlineStr">
        <is>
          <t xml:space="preserve">  (−) Capital Expenditures</t>
        </is>
      </c>
      <c r="B29" s="75">
        <f>'Cash Flow'!B6</f>
        <v/>
      </c>
      <c r="C29" s="75">
        <f>'Cash Flow'!C6</f>
        <v/>
      </c>
      <c r="D29" s="75">
        <f>'Cash Flow'!D6</f>
        <v/>
      </c>
      <c r="E29" s="75">
        <f>'Cash Flow'!E6</f>
        <v/>
      </c>
      <c r="F29" s="75">
        <f>'Cash Flow'!F6</f>
        <v/>
      </c>
      <c r="G29" s="90">
        <f>-G14*G9</f>
        <v/>
      </c>
      <c r="H29" s="90">
        <f>-H14*H9</f>
        <v/>
      </c>
      <c r="I29" s="90">
        <f>-I14*I9</f>
        <v/>
      </c>
      <c r="J29" s="90">
        <f>-J14*J9</f>
        <v/>
      </c>
      <c r="K29" s="90">
        <f>-K14*K9</f>
        <v/>
      </c>
      <c r="L29" s="90">
        <f>-L14*L9</f>
        <v/>
      </c>
      <c r="M29" s="78">
        <f> Revenue × CapEx % assumption  (negative = cash outflow)</f>
        <v/>
      </c>
    </row>
    <row r="30" ht="20" customHeight="1">
      <c r="A30" s="86" t="inlineStr">
        <is>
          <t xml:space="preserve">  (−) Increase in Net Working Capital</t>
        </is>
      </c>
      <c r="B30" s="89" t="n"/>
      <c r="C30" s="89">
        <f>-(('Balance Sheet'!C9-'Balance Sheet'!C21)-('Balance Sheet'!B9-'Balance Sheet'!B21))</f>
        <v/>
      </c>
      <c r="D30" s="89">
        <f>-(('Balance Sheet'!D9-'Balance Sheet'!D21)-('Balance Sheet'!C9-'Balance Sheet'!C21))</f>
        <v/>
      </c>
      <c r="E30" s="89">
        <f>-(('Balance Sheet'!E9-'Balance Sheet'!E21)-('Balance Sheet'!D9-'Balance Sheet'!D21))</f>
        <v/>
      </c>
      <c r="F30" s="89">
        <f>-(('Balance Sheet'!F9-'Balance Sheet'!F21)-('Balance Sheet'!E9-'Balance Sheet'!E21))</f>
        <v/>
      </c>
      <c r="G30" s="90">
        <f>-G14*G10</f>
        <v/>
      </c>
      <c r="H30" s="90">
        <f>-H14*H10</f>
        <v/>
      </c>
      <c r="I30" s="90">
        <f>-I14*I10</f>
        <v/>
      </c>
      <c r="J30" s="90">
        <f>-J14*J10</f>
        <v/>
      </c>
      <c r="K30" s="90">
        <f>-K14*K10</f>
        <v/>
      </c>
      <c r="L30" s="90">
        <f>-L14*L10</f>
        <v/>
      </c>
      <c r="M30" s="78">
        <f> −Revenue × NWC%  (positive NWC% → cash outflow, reduces UFCF)</f>
        <v/>
      </c>
    </row>
    <row r="31" ht="20" customHeight="1">
      <c r="A31" s="74" t="inlineStr">
        <is>
          <t>UNLEVERED FREE CASH FLOW  (UFCF)</t>
        </is>
      </c>
      <c r="B31" s="87">
        <f>B27+B28+B29+B30</f>
        <v/>
      </c>
      <c r="C31" s="87">
        <f>C27+C28+C29+C30</f>
        <v/>
      </c>
      <c r="D31" s="87">
        <f>D27+D28+D29+D30</f>
        <v/>
      </c>
      <c r="E31" s="87">
        <f>E27+E28+E29+E30</f>
        <v/>
      </c>
      <c r="F31" s="87">
        <f>F27+F28+F29+F30</f>
        <v/>
      </c>
      <c r="G31" s="91">
        <f>G27+G28+G29+G30</f>
        <v/>
      </c>
      <c r="H31" s="91">
        <f>H27+H28+H29+H30</f>
        <v/>
      </c>
      <c r="I31" s="91">
        <f>I27+I28+I29+I30</f>
        <v/>
      </c>
      <c r="J31" s="91">
        <f>J27+J28+J29+J30</f>
        <v/>
      </c>
      <c r="K31" s="91">
        <f>K27+K28+K29+K30</f>
        <v/>
      </c>
      <c r="L31" s="91">
        <f>L27+L28+L29+L30</f>
        <v/>
      </c>
      <c r="M31" s="78">
        <f> NOPAT + D&amp;A − CapEx − ΔNWC  (pre-debt, pre-interest free cash flow)</f>
        <v/>
      </c>
    </row>
    <row r="32" ht="20" customHeight="1">
      <c r="A32" s="79" t="inlineStr">
        <is>
          <t xml:space="preserve">  UFCF Margin %</t>
        </is>
      </c>
      <c r="B32" s="83">
        <f>B31/B14</f>
        <v/>
      </c>
      <c r="C32" s="83">
        <f>C31/C14</f>
        <v/>
      </c>
      <c r="D32" s="83">
        <f>D31/D14</f>
        <v/>
      </c>
      <c r="E32" s="83">
        <f>E31/E14</f>
        <v/>
      </c>
      <c r="F32" s="83">
        <f>F31/F14</f>
        <v/>
      </c>
      <c r="G32" s="92">
        <f>IFERROR(G31/G14,"")</f>
        <v/>
      </c>
      <c r="H32" s="92">
        <f>IFERROR(H31/H14,"")</f>
        <v/>
      </c>
      <c r="I32" s="92">
        <f>IFERROR(I31/I14,"")</f>
        <v/>
      </c>
      <c r="J32" s="92">
        <f>IFERROR(J31/J14,"")</f>
        <v/>
      </c>
      <c r="K32" s="92">
        <f>IFERROR(K31/K14,"")</f>
        <v/>
      </c>
      <c r="L32" s="92">
        <f>IFERROR(L31/L14,"")</f>
        <v/>
      </c>
      <c r="M32" s="78" t="inlineStr">
        <is>
          <t>Sense check — should approximate EBITDA margin less capex intensity</t>
        </is>
      </c>
    </row>
    <row r="33" ht="6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>
      <c r="A34" s="5" t="inlineStr">
        <is>
          <t>SECTION 4 — TERMINAL VALUE  ($mm)</t>
        </is>
      </c>
    </row>
    <row r="35" ht="20" customHeight="1">
      <c r="A35" s="68" t="inlineStr">
        <is>
          <t>WACC  (from WACC tab)</t>
        </is>
      </c>
      <c r="B35" s="93">
        <f>WACC!B45</f>
        <v/>
      </c>
      <c r="C35" s="94" t="n"/>
      <c r="D35" s="94" t="n"/>
      <c r="E35" s="94" t="n"/>
      <c r="F35" s="94" t="n"/>
      <c r="G35" s="94" t="n"/>
      <c r="H35" s="94" t="n"/>
      <c r="I35" s="94" t="n"/>
      <c r="J35" s="94" t="n"/>
      <c r="K35" s="94" t="n"/>
      <c r="L35" s="94" t="n"/>
      <c r="M35" s="73" t="inlineStr">
        <is>
          <t>Auto-linked from WACC tab selected output.  Override manually if needed.</t>
        </is>
      </c>
    </row>
    <row r="36" ht="20" customHeight="1">
      <c r="A36" s="68" t="inlineStr">
        <is>
          <t>Terminal Growth Rate  (g)</t>
        </is>
      </c>
      <c r="B36" s="95" t="n">
        <v>0.03</v>
      </c>
      <c r="C36" s="94" t="n"/>
      <c r="D36" s="94" t="n"/>
      <c r="E36" s="94" t="n"/>
      <c r="F36" s="94" t="n"/>
      <c r="G36" s="94" t="n"/>
      <c r="H36" s="94" t="n"/>
      <c r="I36" s="94" t="n"/>
      <c r="J36" s="94" t="n"/>
      <c r="K36" s="94" t="n"/>
      <c r="L36" s="94" t="n"/>
      <c r="M36" s="73" t="inlineStr">
        <is>
          <t>Growth tier: MEDIUM (5.6% 3yr avg rev growth).  Bear 2.25% / Base 3.0% / Bull 3.75%.  Keep below WACC.</t>
        </is>
      </c>
    </row>
    <row r="37" ht="20" customHeight="1">
      <c r="A37" s="68" t="inlineStr">
        <is>
          <t>Terminal EV/EBITDA Multiple  (exit multiple method)</t>
        </is>
      </c>
      <c r="B37" s="96" t="n">
        <v>15</v>
      </c>
      <c r="C37" s="94" t="n"/>
      <c r="D37" s="94" t="n"/>
      <c r="E37" s="94" t="n"/>
      <c r="F37" s="94" t="n"/>
      <c r="G37" s="94" t="n"/>
      <c r="H37" s="94" t="n"/>
      <c r="I37" s="94" t="n"/>
      <c r="J37" s="94" t="n"/>
      <c r="K37" s="94" t="n"/>
      <c r="L37" s="94" t="n"/>
      <c r="M37" s="73" t="inlineStr">
        <is>
          <t>Growth tier: MEDIUM (5.6% 3yr avg rev growth).  Bear 11x / Base 15x / Bull 19x.  Override manually if needed.</t>
        </is>
      </c>
    </row>
    <row r="38" ht="6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20" customHeight="1">
      <c r="A39" s="97" t="inlineStr">
        <is>
          <t>Terminal Year UFCF  (grown by g)</t>
        </is>
      </c>
      <c r="B39" s="98">
        <f>L31</f>
        <v/>
      </c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78" t="inlineStr">
        <is>
          <t>Cross-ref from Section 3 — terminal year UFCF (already grown by g in assumptions)</t>
        </is>
      </c>
    </row>
    <row r="40" ht="20" customHeight="1">
      <c r="A40" s="74" t="inlineStr">
        <is>
          <t>Terminal Value  [Gordon Growth:  UFCF / (WACC − g)]</t>
        </is>
      </c>
      <c r="B40" s="91">
        <f>B39/(B35-B36)</f>
        <v/>
      </c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78" t="inlineStr">
        <is>
          <t>Sensitive to g — always cross-check vs Exit Multiple below</t>
        </is>
      </c>
    </row>
    <row r="41" ht="20" customHeight="1">
      <c r="A41" s="74" t="inlineStr">
        <is>
          <t>Terminal Value  [Exit Multiple:  Terminal EBITDA × Multiple]</t>
        </is>
      </c>
      <c r="B41" s="91">
        <f>L19*B37</f>
        <v/>
      </c>
      <c r="C41" s="100" t="n"/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78" t="inlineStr">
        <is>
          <t>Anchored to observable market multiples — less model-sensitive than Gordon Growth</t>
        </is>
      </c>
    </row>
    <row r="42" ht="6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</row>
    <row r="43" ht="18" customHeight="1">
      <c r="A43" s="25" t="inlineStr">
        <is>
          <t>SECTION 5 — DISCOUNTING  &amp;  ENTERPRISE VALUE  ($mm)</t>
        </is>
      </c>
    </row>
    <row r="44" ht="20" customHeight="1">
      <c r="A44" s="97" t="inlineStr">
        <is>
          <t>Discount Period  (mid-year convention)</t>
        </is>
      </c>
      <c r="G44" s="101" t="n">
        <v>0.5</v>
      </c>
      <c r="H44" s="101" t="n">
        <v>1.5</v>
      </c>
      <c r="I44" s="101" t="n">
        <v>2.5</v>
      </c>
      <c r="J44" s="101" t="n">
        <v>3.5</v>
      </c>
      <c r="K44" s="101" t="n">
        <v>4.5</v>
      </c>
      <c r="L44" s="102" t="n">
        <v>5</v>
      </c>
      <c r="M44" s="78" t="inlineStr">
        <is>
          <t>Mid-year: 0.5, 1.5, 2.5...  assumes FCF received evenly through each year</t>
        </is>
      </c>
    </row>
    <row r="45" ht="20" customHeight="1">
      <c r="A45" s="97" t="inlineStr">
        <is>
          <t>Discount Factor  =  1 / (1 + WACC) ^ period</t>
        </is>
      </c>
      <c r="G45" s="103">
        <f>1/(1+B35)^G44</f>
        <v/>
      </c>
      <c r="H45" s="103">
        <f>1/(1+B35)^H44</f>
        <v/>
      </c>
      <c r="I45" s="103">
        <f>1/(1+B35)^I44</f>
        <v/>
      </c>
      <c r="J45" s="103">
        <f>1/(1+B35)^J44</f>
        <v/>
      </c>
      <c r="K45" s="103">
        <f>1/(1+B35)^K44</f>
        <v/>
      </c>
      <c r="L45" s="104">
        <f>1/(1+B35)^L44</f>
        <v/>
      </c>
      <c r="M45" s="78">
        <f> 1 / (1 + WACC) ^ discount period</f>
        <v/>
      </c>
    </row>
    <row r="46" ht="20" customHeight="1">
      <c r="A46" s="74" t="inlineStr">
        <is>
          <t>PV of UFCF</t>
        </is>
      </c>
      <c r="G46" s="91">
        <f>G31*G45</f>
        <v/>
      </c>
      <c r="H46" s="91">
        <f>H31*H45</f>
        <v/>
      </c>
      <c r="I46" s="91">
        <f>I31*I45</f>
        <v/>
      </c>
      <c r="J46" s="91">
        <f>J31*J45</f>
        <v/>
      </c>
      <c r="K46" s="91">
        <f>K31*K45</f>
        <v/>
      </c>
      <c r="L46" s="100" t="n"/>
      <c r="M46" s="78">
        <f> UFCF × discount factor</f>
        <v/>
      </c>
    </row>
    <row r="47" ht="20" customHeight="1">
      <c r="A47" s="64" t="inlineStr">
        <is>
          <t>Sum of PV of FCFs  (explicit period)</t>
        </is>
      </c>
      <c r="B47" s="88">
        <f>G46+H46+I46+J46+K46</f>
        <v/>
      </c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78" t="inlineStr">
        <is>
          <t>Sum of 5 discounted annual FCFs</t>
        </is>
      </c>
    </row>
    <row r="48" ht="20" customHeight="1">
      <c r="A48" s="64" t="inlineStr">
        <is>
          <t>PV of Terminal Value  [Gordon Growth]</t>
        </is>
      </c>
      <c r="B48" s="88">
        <f>B40*L45</f>
        <v/>
      </c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78" t="inlineStr">
        <is>
          <t>Terminal value × terminal-year discount factor</t>
        </is>
      </c>
    </row>
    <row r="49" ht="20" customHeight="1">
      <c r="A49" s="64" t="inlineStr">
        <is>
          <t>PV of Terminal Value  [Exit Multiple]</t>
        </is>
      </c>
      <c r="B49" s="88">
        <f>B41*L45</f>
        <v/>
      </c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78" t="inlineStr">
        <is>
          <t>Terminal value × terminal-year discount factor</t>
        </is>
      </c>
    </row>
    <row r="50" ht="6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</row>
    <row r="51" ht="18" customHeight="1">
      <c r="A51" s="5" t="inlineStr">
        <is>
          <t>SECTION 6 — EQUITY VALUE BRIDGE  &amp;  IMPLIED SHARE PRICE</t>
        </is>
      </c>
    </row>
    <row r="52">
      <c r="A52" s="74" t="inlineStr">
        <is>
          <t>Enterprise Value  [Gordon Growth]</t>
        </is>
      </c>
      <c r="B52" s="91">
        <f>B47+B48</f>
        <v/>
      </c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</row>
    <row r="53">
      <c r="A53" s="74" t="inlineStr">
        <is>
          <t>Enterprise Value  [Exit Multiple]</t>
        </is>
      </c>
      <c r="B53" s="91">
        <f>B47+B49</f>
        <v/>
      </c>
      <c r="C53" s="100" t="n"/>
      <c r="D53" s="100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</row>
    <row r="54" ht="20" customHeight="1">
      <c r="A54" s="86" t="inlineStr">
        <is>
          <t xml:space="preserve">  Less: Net Debt  (Debt − Cash)</t>
        </is>
      </c>
      <c r="B54" s="98">
        <f>'Balance Sheet'!F81</f>
        <v/>
      </c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78" t="inlineStr">
        <is>
          <t>Linked from Balance Sheet: Total Debt (ST+LT) − Cash &amp; Equivalents  (negative = net cash)</t>
        </is>
      </c>
    </row>
    <row r="55" ht="20" customHeight="1">
      <c r="A55" s="86" t="inlineStr">
        <is>
          <t xml:space="preserve">  Less: Minority Interest</t>
        </is>
      </c>
      <c r="B55" s="98" t="n">
        <v>0</v>
      </c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78" t="inlineStr">
        <is>
          <t>Auto-linked from Balance Sheet: minorityInterest</t>
        </is>
      </c>
    </row>
    <row r="56" ht="20" customHeight="1">
      <c r="A56" s="86" t="inlineStr">
        <is>
          <t xml:space="preserve">  Shares Outstanding — Diluted  (mm)</t>
        </is>
      </c>
      <c r="B56" s="98" t="n">
        <v>2429.4</v>
      </c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78" t="inlineStr">
        <is>
          <t>Auto-linked: weightedAverageShsOutDil from income statement (diluted)</t>
        </is>
      </c>
    </row>
    <row r="57" ht="6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</row>
    <row r="58">
      <c r="A58" s="74" t="inlineStr">
        <is>
          <t>Implied Share Price  [Gordon Growth]  ($)</t>
        </is>
      </c>
      <c r="B58" s="106">
        <f>IFERROR((B52-B54-B55)/B56,"")</f>
        <v/>
      </c>
      <c r="C58" s="100" t="n"/>
      <c r="D58" s="100" t="n"/>
      <c r="E58" s="100" t="n"/>
      <c r="F58" s="100" t="n"/>
      <c r="G58" s="100" t="n"/>
      <c r="H58" s="100" t="n"/>
      <c r="I58" s="100" t="n"/>
      <c r="J58" s="100" t="n"/>
      <c r="K58" s="100" t="n"/>
      <c r="L58" s="100" t="n"/>
      <c r="M58" s="100" t="n"/>
    </row>
    <row r="59">
      <c r="A59" s="74" t="inlineStr">
        <is>
          <t>Implied Share Price  [Exit Multiple]  ($)</t>
        </is>
      </c>
      <c r="B59" s="106">
        <f>IFERROR((B53-B54-B55)/B56,"")</f>
        <v/>
      </c>
      <c r="C59" s="100" t="n"/>
      <c r="D59" s="100" t="n"/>
      <c r="E59" s="100" t="n"/>
      <c r="F59" s="100" t="n"/>
      <c r="G59" s="100" t="n"/>
      <c r="H59" s="100" t="n"/>
      <c r="I59" s="100" t="n"/>
      <c r="J59" s="100" t="n"/>
      <c r="K59" s="100" t="n"/>
      <c r="L59" s="100" t="n"/>
      <c r="M59" s="100" t="n"/>
    </row>
    <row r="60" ht="20" customHeight="1">
      <c r="A60" s="97" t="inlineStr">
        <is>
          <t>Current Market Price  ($)</t>
        </is>
      </c>
      <c r="B60" s="107" t="n">
        <v>226.71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78" t="inlineStr">
        <is>
          <t>Auto-linked from FMP company profile — price</t>
        </is>
      </c>
    </row>
    <row r="61">
      <c r="A61" s="64" t="inlineStr">
        <is>
          <t>Upside / (Downside)  [Gordon Growth]</t>
        </is>
      </c>
      <c r="B61" s="108">
        <f>IFERROR(B58/B60-1,"")</f>
        <v/>
      </c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</row>
    <row r="62">
      <c r="A62" s="64" t="inlineStr">
        <is>
          <t>Upside / (Downside)  [Exit Multiple]</t>
        </is>
      </c>
      <c r="B62" s="108">
        <f>IFERROR(B59/B60-1,"")</f>
        <v/>
      </c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</row>
  </sheetData>
  <mergeCells count="8">
    <mergeCell ref="A13:M13"/>
    <mergeCell ref="A1:M1"/>
    <mergeCell ref="A23:M23"/>
    <mergeCell ref="A5:M5"/>
    <mergeCell ref="A34:M34"/>
    <mergeCell ref="A43:M43"/>
    <mergeCell ref="A2:M2"/>
    <mergeCell ref="A51:M5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09" t="inlineStr">
        <is>
          <t>JS SCORECARD — JNJ  |  Master Prompt v2  |  18 May 2026  |  Sector bucket: Stable Compounder</t>
        </is>
      </c>
    </row>
    <row r="2" ht="18" customHeight="1">
      <c r="A2" s="11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1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2" t="inlineStr">
        <is>
          <t>CRITERION</t>
        </is>
      </c>
      <c r="B6" s="113" t="inlineStr">
        <is>
          <t>PART</t>
        </is>
      </c>
      <c r="C6" s="113" t="inlineStr">
        <is>
          <t>WEIGHT %</t>
        </is>
      </c>
      <c r="D6" s="113" t="inlineStr">
        <is>
          <t>CALCULATED VALUE</t>
        </is>
      </c>
      <c r="E6" s="113" t="inlineStr">
        <is>
          <t>TIER  ▼</t>
        </is>
      </c>
      <c r="F6" s="113" t="inlineStr">
        <is>
          <t>SCORE</t>
        </is>
      </c>
      <c r="G6" s="113" t="inlineStr">
        <is>
          <t>WTD SCORE</t>
        </is>
      </c>
      <c r="H6" s="11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4" t="inlineStr">
        <is>
          <t xml:space="preserve">  Business Clarity</t>
        </is>
      </c>
      <c r="B8" s="115" t="inlineStr">
        <is>
          <t>P1</t>
        </is>
      </c>
      <c r="C8" s="116" t="n">
        <v>0.025</v>
      </c>
      <c r="D8" s="117" t="inlineStr">
        <is>
          <t>— user input required</t>
        </is>
      </c>
      <c r="E8" s="118" t="n"/>
      <c r="F8" s="119">
        <f>IF(E8="HIGH",10,IF(E8="MOD-HIGH",7,IF(E8="MOD-LOW",3,IF(E8="LOW",0,""))))</f>
        <v/>
      </c>
      <c r="G8" s="120">
        <f>IF(F8="",0,C8*F8*10)</f>
        <v/>
      </c>
      <c r="H8" s="121" t="inlineStr"/>
    </row>
    <row r="9" ht="18" customHeight="1">
      <c r="A9" s="122" t="inlineStr">
        <is>
          <t xml:space="preserve">  Moat Profile</t>
        </is>
      </c>
      <c r="B9" s="123" t="inlineStr">
        <is>
          <t>P1</t>
        </is>
      </c>
      <c r="C9" s="124" t="n">
        <v>0.1</v>
      </c>
      <c r="D9" s="125" t="inlineStr">
        <is>
          <t>GM 72.8% ✓ (&gt;40%)  |  GM trend +3.5% ✓ (&gt;+1pp)  |  ROIC-WACC +11.0% ✓ (&gt;+5pp)  |  Rev consistency σ=1.9% ✓ (&lt;8%)  [4/4 indicators positive — proxy score]</t>
        </is>
      </c>
      <c r="E9" s="126" t="inlineStr">
        <is>
          <t>HIGH</t>
        </is>
      </c>
      <c r="F9" s="127" t="n">
        <v>10</v>
      </c>
      <c r="G9" s="128">
        <f>IF(F9="",0,C9*F9*10)</f>
        <v/>
      </c>
      <c r="H9" s="129" t="inlineStr">
        <is>
          <t>GM 72.8% ✓ (&gt;40%)  |  GM trend +3.5% ✓ (&gt;+1pp)  |  ROIC-WACC +11.0% ✓ (&gt;+5pp)  |  Rev consistency σ=1.9% ✓ (&lt;8%)  [4/4 indicators positive — proxy score]</t>
        </is>
      </c>
    </row>
    <row r="10" ht="18" customHeight="1">
      <c r="A10" s="114" t="inlineStr">
        <is>
          <t xml:space="preserve">  Long-Term Potential</t>
        </is>
      </c>
      <c r="B10" s="115" t="inlineStr">
        <is>
          <t>P1</t>
        </is>
      </c>
      <c r="C10" s="116" t="n">
        <v>0.1</v>
      </c>
      <c r="D10" s="117" t="inlineStr">
        <is>
          <t>— user input required</t>
        </is>
      </c>
      <c r="E10" s="118" t="n"/>
      <c r="F10" s="119">
        <f>IF(E10="HIGH",10,IF(E10="MOD-HIGH",7,IF(E10="MOD-LOW",3,IF(E10="LOW",0,""))))</f>
        <v/>
      </c>
      <c r="G10" s="120">
        <f>IF(F10="",0,C10*F10*10)</f>
        <v/>
      </c>
      <c r="H10" s="121" t="inlineStr"/>
    </row>
    <row r="11" ht="18" customHeight="1">
      <c r="A11" s="122" t="inlineStr">
        <is>
          <t xml:space="preserve">  Management</t>
        </is>
      </c>
      <c r="B11" s="123" t="inlineStr">
        <is>
          <t>P1</t>
        </is>
      </c>
      <c r="C11" s="124" t="n">
        <v>0.075</v>
      </c>
      <c r="D11" s="125" t="inlineStr">
        <is>
          <t>ROIC trend +2.0% ✓ (&gt;=-2pp)  |  GM maintained +3.5% ✓  |  Op margin +0.9% ✓ (≥-2pp)  |  Capital returns MOD-LOW ✗  |  Share count -2.0%/yr ✓ (net buyback)  |  Goodwill/Equity 60% ✗ (&lt;40%)  [4/6 indicators positive — proxy score]</t>
        </is>
      </c>
      <c r="E11" s="130" t="inlineStr">
        <is>
          <t>MOD-HIGH</t>
        </is>
      </c>
      <c r="F11" s="127" t="n">
        <v>6.67</v>
      </c>
      <c r="G11" s="128">
        <f>IF(F11="",0,C11*F11*10)</f>
        <v/>
      </c>
      <c r="H11" s="129" t="inlineStr">
        <is>
          <t>ROIC trend +2.0% ✓ (&gt;=-2pp)  |  GM maintained +3.5% ✓  |  Op margin +0.9% ✓ (≥-2pp)  |  Capital returns MOD-LOW ✗  |  Share count -2.0%/yr ✓ (net buyback)  |  Goodwill/Equity 60%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2" t="inlineStr">
        <is>
          <t xml:space="preserve">  Revenue 3yr CAGR</t>
        </is>
      </c>
      <c r="B13" s="123" t="inlineStr">
        <is>
          <t>P2</t>
        </is>
      </c>
      <c r="C13" s="124" t="n">
        <v>0.1</v>
      </c>
      <c r="D13" s="125" t="inlineStr">
        <is>
          <t>5.6%</t>
        </is>
      </c>
      <c r="E13" s="130" t="inlineStr">
        <is>
          <t>MOD-HIGH</t>
        </is>
      </c>
      <c r="F13" s="127" t="n">
        <v>7.6</v>
      </c>
      <c r="G13" s="128">
        <f>IF(F13="",0,C13*F13*10)</f>
        <v/>
      </c>
      <c r="H13" s="129" t="inlineStr">
        <is>
          <t>5.6%</t>
        </is>
      </c>
    </row>
    <row r="14" ht="18" customHeight="1">
      <c r="A14" s="122" t="inlineStr">
        <is>
          <t xml:space="preserve">  Cash Quality  (FCF / Net Income)</t>
        </is>
      </c>
      <c r="B14" s="123" t="inlineStr">
        <is>
          <t>P2</t>
        </is>
      </c>
      <c r="C14" s="124" t="n">
        <v>0.1</v>
      </c>
      <c r="D14" s="125" t="inlineStr">
        <is>
          <t>80%  [trend penalty: declined &gt;15pp vs 3yr ago]  [through-cycle: 70/30 latest+5yr median, latest 73.5% → smoothed 79.8%]</t>
        </is>
      </c>
      <c r="E14" s="131" t="inlineStr">
        <is>
          <t>MOD-LOW</t>
        </is>
      </c>
      <c r="F14" s="127" t="n">
        <v>4.97</v>
      </c>
      <c r="G14" s="128">
        <f>IF(F14="",0,C14*F14*10)</f>
        <v/>
      </c>
      <c r="H14" s="129" t="inlineStr">
        <is>
          <t>80%  [trend penalty: declined &gt;15pp vs 3yr ago]  [through-cycle: 70/30 latest+5yr median, latest 73.5% → smoothed 79.8%]</t>
        </is>
      </c>
    </row>
    <row r="15" ht="18" customHeight="1">
      <c r="A15" s="122" t="inlineStr">
        <is>
          <t xml:space="preserve">  Capital Returns</t>
        </is>
      </c>
      <c r="B15" s="123" t="inlineStr">
        <is>
          <t>P2</t>
        </is>
      </c>
      <c r="C15" s="124" t="n">
        <v>0.05</v>
      </c>
      <c r="D15" s="125" t="inlineStr">
        <is>
          <t>$5,953mm latest FY — debt-funded  [payout 30% of FCF]</t>
        </is>
      </c>
      <c r="E15" s="131" t="inlineStr">
        <is>
          <t>MOD-LOW</t>
        </is>
      </c>
      <c r="F15" s="127" t="n">
        <v>3</v>
      </c>
      <c r="G15" s="128">
        <f>IF(F15="",0,C15*F15*10)</f>
        <v/>
      </c>
      <c r="H15" s="129" t="inlineStr">
        <is>
          <t>$5,953mm latest FY — debt-funded  [payout 30% of FCF]</t>
        </is>
      </c>
    </row>
    <row r="16" ht="18" customHeight="1">
      <c r="A16" s="122" t="inlineStr">
        <is>
          <t xml:space="preserve">  ROIC</t>
        </is>
      </c>
      <c r="B16" s="123" t="inlineStr">
        <is>
          <t>P2</t>
        </is>
      </c>
      <c r="C16" s="124" t="n">
        <v>0.075</v>
      </c>
      <c r="D16" s="125" t="inlineStr">
        <is>
          <t>19.7%</t>
        </is>
      </c>
      <c r="E16" s="130" t="inlineStr">
        <is>
          <t>MOD-HIGH</t>
        </is>
      </c>
      <c r="F16" s="127" t="n">
        <v>9.880000000000001</v>
      </c>
      <c r="G16" s="128">
        <f>IF(F16="",0,C16*F16*10)</f>
        <v/>
      </c>
      <c r="H16" s="129" t="inlineStr">
        <is>
          <t>19.7%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2" t="inlineStr">
        <is>
          <t xml:space="preserve">  Credit Risk  (D / EBITDA)</t>
        </is>
      </c>
      <c r="B18" s="123" t="inlineStr">
        <is>
          <t>P3</t>
        </is>
      </c>
      <c r="C18" s="124" t="n">
        <v>0.05</v>
      </c>
      <c r="D18" s="125" t="inlineStr">
        <is>
          <t>1.2x</t>
        </is>
      </c>
      <c r="E18" s="126" t="inlineStr">
        <is>
          <t>HIGH</t>
        </is>
      </c>
      <c r="F18" s="127" t="n">
        <v>10.61</v>
      </c>
      <c r="G18" s="128">
        <f>IF(F18="",0,C18*F18*10)</f>
        <v/>
      </c>
      <c r="H18" s="129" t="inlineStr">
        <is>
          <t>1.2x</t>
        </is>
      </c>
    </row>
    <row r="19" ht="18" customHeight="1">
      <c r="A19" s="122" t="inlineStr">
        <is>
          <t xml:space="preserve">  Interest Cover  (EBIT / Interest)</t>
        </is>
      </c>
      <c r="B19" s="123" t="inlineStr">
        <is>
          <t>P3</t>
        </is>
      </c>
      <c r="C19" s="124" t="n">
        <v>0.075</v>
      </c>
      <c r="D19" s="125" t="inlineStr">
        <is>
          <t>26.4x</t>
        </is>
      </c>
      <c r="E19" s="126" t="inlineStr">
        <is>
          <t>HIGH</t>
        </is>
      </c>
      <c r="F19" s="127" t="n">
        <v>12</v>
      </c>
      <c r="G19" s="128">
        <f>IF(F19="",0,C19*F19*10)</f>
        <v/>
      </c>
      <c r="H19" s="129" t="inlineStr">
        <is>
          <t>26.4x</t>
        </is>
      </c>
    </row>
    <row r="20" ht="18" customHeight="1">
      <c r="A20" s="122" t="inlineStr">
        <is>
          <t xml:space="preserve">  Execution Risk</t>
        </is>
      </c>
      <c r="B20" s="123" t="inlineStr">
        <is>
          <t>P3</t>
        </is>
      </c>
      <c r="C20" s="124" t="n">
        <v>0.05</v>
      </c>
      <c r="D20" s="125" t="inlineStr">
        <is>
          <t>Rev growth σ=1.9%  |  Op margin σ=0.9%  [proxy — lower σ = lower risk = higher score]</t>
        </is>
      </c>
      <c r="E20" s="126" t="inlineStr">
        <is>
          <t>HIGH</t>
        </is>
      </c>
      <c r="F20" s="127" t="n">
        <v>10</v>
      </c>
      <c r="G20" s="128">
        <f>IF(F20="",0,C20*F20*10)</f>
        <v/>
      </c>
      <c r="H20" s="129" t="inlineStr">
        <is>
          <t>Rev growth σ=1.9%  |  Op margin σ=0.9%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14" t="inlineStr">
        <is>
          <t xml:space="preserve">  Valuation vs Median  (P/E)</t>
        </is>
      </c>
      <c r="B22" s="115" t="inlineStr">
        <is>
          <t>P4</t>
        </is>
      </c>
      <c r="C22" s="116" t="n">
        <v>0.1</v>
      </c>
      <c r="D22" s="117" t="inlineStr">
        <is>
          <t>— user input required</t>
        </is>
      </c>
      <c r="E22" s="118" t="n"/>
      <c r="F22" s="119">
        <f>IF(E22="HIGH",10,IF(E22="MOD-HIGH",7,IF(E22="MOD-LOW",3,IF(E22="LOW",0,""))))</f>
        <v/>
      </c>
      <c r="G22" s="120">
        <f>IF(F22="",0,C22*F22*10)</f>
        <v/>
      </c>
      <c r="H22" s="121" t="inlineStr"/>
    </row>
    <row r="23" ht="18" customHeight="1">
      <c r="A23" s="114" t="inlineStr">
        <is>
          <t xml:space="preserve">  Valuation vs Median  (P/FCF)</t>
        </is>
      </c>
      <c r="B23" s="115" t="inlineStr">
        <is>
          <t>P4</t>
        </is>
      </c>
      <c r="C23" s="116" t="n">
        <v>0.1</v>
      </c>
      <c r="D23" s="117" t="inlineStr">
        <is>
          <t>— user input required</t>
        </is>
      </c>
      <c r="E23" s="118" t="n"/>
      <c r="F23" s="119">
        <f>IF(E23="HIGH",10,IF(E23="MOD-HIGH",7,IF(E23="MOD-LOW",3,IF(E23="LOW",0,""))))</f>
        <v/>
      </c>
      <c r="G23" s="120">
        <f>IF(F23="",0,C23*F23*10)</f>
        <v/>
      </c>
      <c r="H23" s="121" t="inlineStr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2" t="inlineStr">
        <is>
          <t>TOTAL SCORE  (max = 100.0)</t>
        </is>
      </c>
      <c r="B25" s="133" t="n"/>
      <c r="C25" s="133" t="n"/>
      <c r="D25" s="133" t="n"/>
      <c r="E25" s="133" t="n"/>
      <c r="F25" s="133" t="n"/>
      <c r="G25" s="134">
        <f>G8+G9+G10+G11+G13+G14+G15+G16+G18+G19+G20+G22+G23</f>
        <v/>
      </c>
      <c r="H25" s="135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6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37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2026-05-17T15:38:07Z</dcterms:created>
  <dcterms:modified xmlns:dcterms="http://purl.org/dc/terms/" xmlns:xsi="http://www.w3.org/2001/XMLSchema-instance" xsi:type="dcterms:W3CDTF">2026-05-17T15:38:32Z</dcterms:modified>
</cp:coreProperties>
</file>