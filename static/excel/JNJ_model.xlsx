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  <fill>
      <patternFill patternType="solid">
        <fgColor rgb="00FFE0B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3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31" fillId="19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JNJ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94193</v>
      </c>
    </row>
    <row r="7">
      <c r="A7" s="4" t="inlineStr">
        <is>
          <t>Gross Profit ($mm)</t>
        </is>
      </c>
      <c r="B7" s="6" t="n">
        <v>68558</v>
      </c>
    </row>
    <row r="8">
      <c r="A8" s="4" t="inlineStr">
        <is>
          <t>EBITDA ($mm)</t>
        </is>
      </c>
      <c r="B8" s="6" t="n">
        <v>41055</v>
      </c>
    </row>
    <row r="9">
      <c r="A9" s="4" t="inlineStr">
        <is>
          <t>EBIT ($mm)</t>
        </is>
      </c>
      <c r="B9" s="6" t="n">
        <v>25596</v>
      </c>
    </row>
    <row r="10">
      <c r="A10" s="4" t="inlineStr">
        <is>
          <t>Net Income ($mm)</t>
        </is>
      </c>
      <c r="B10" s="6" t="n">
        <v>26804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78740</v>
      </c>
      <c r="C5" s="15" t="n">
        <v>79990</v>
      </c>
      <c r="D5" s="15" t="n">
        <v>85159</v>
      </c>
      <c r="E5" s="15" t="n">
        <v>88821</v>
      </c>
      <c r="F5" s="15" t="n">
        <v>94193</v>
      </c>
    </row>
    <row r="6">
      <c r="A6" s="16" t="inlineStr">
        <is>
          <t>(2)  Cost of Revenue (COGS)</t>
        </is>
      </c>
      <c r="B6" s="17" t="n">
        <v>23402</v>
      </c>
      <c r="C6" s="17" t="n">
        <v>24596</v>
      </c>
      <c r="D6" s="17" t="n">
        <v>26553</v>
      </c>
      <c r="E6" s="17" t="n">
        <v>27471</v>
      </c>
      <c r="F6" s="17" t="n">
        <v>25635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20118</v>
      </c>
      <c r="C9" s="17" t="n">
        <v>20246</v>
      </c>
      <c r="D9" s="17" t="n">
        <v>20112</v>
      </c>
      <c r="E9" s="17" t="n">
        <v>21969</v>
      </c>
      <c r="F9" s="17" t="n">
        <v>23676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34395</v>
      </c>
      <c r="C11" s="17" t="n">
        <v>34381</v>
      </c>
      <c r="D11" s="17" t="n">
        <v>35197</v>
      </c>
      <c r="E11" s="17" t="n">
        <v>39201</v>
      </c>
      <c r="F11" s="17" t="n">
        <v>42962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7390</v>
      </c>
      <c r="C14" s="17" t="n">
        <v>6970</v>
      </c>
      <c r="D14" s="17" t="n">
        <v>7486</v>
      </c>
      <c r="E14" s="17" t="n">
        <v>7339</v>
      </c>
      <c r="F14" s="17" t="n">
        <v>7503</v>
      </c>
    </row>
    <row r="15">
      <c r="A15" s="18" t="inlineStr">
        <is>
          <t>(8)  EBIT (Operating Income)</t>
        </is>
      </c>
      <c r="B15" s="23" t="n">
        <v>20943</v>
      </c>
      <c r="C15" s="23" t="n">
        <v>21013</v>
      </c>
      <c r="D15" s="23" t="n">
        <v>23409</v>
      </c>
      <c r="E15" s="23" t="n">
        <v>22149</v>
      </c>
      <c r="F15" s="23" t="n">
        <v>25596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183</v>
      </c>
      <c r="C17" s="17" t="n">
        <v>276</v>
      </c>
      <c r="D17" s="17" t="n">
        <v>772</v>
      </c>
      <c r="E17" s="17" t="n">
        <v>755</v>
      </c>
      <c r="F17" s="17" t="n">
        <v>971</v>
      </c>
    </row>
    <row r="18">
      <c r="A18" s="20" t="inlineStr">
        <is>
          <t xml:space="preserve">     Interest Income</t>
        </is>
      </c>
      <c r="B18" s="17" t="n">
        <v>53</v>
      </c>
      <c r="C18" s="17" t="n">
        <v>490</v>
      </c>
      <c r="D18" s="17" t="n">
        <v>1261</v>
      </c>
      <c r="E18" s="17" t="n">
        <v>1332</v>
      </c>
      <c r="F18" s="17" t="n">
        <v>1056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19178</v>
      </c>
      <c r="C21" s="23" t="n">
        <v>19359</v>
      </c>
      <c r="D21" s="23" t="n">
        <v>15062</v>
      </c>
      <c r="E21" s="23" t="n">
        <v>16687</v>
      </c>
      <c r="F21" s="23" t="n">
        <v>32581</v>
      </c>
    </row>
    <row r="22">
      <c r="A22" s="16" t="inlineStr">
        <is>
          <t>(11) Income Tax Expense</t>
        </is>
      </c>
      <c r="B22" s="17" t="n">
        <v>1377</v>
      </c>
      <c r="C22" s="17" t="n">
        <v>2989</v>
      </c>
      <c r="D22" s="17" t="n">
        <v>1736</v>
      </c>
      <c r="E22" s="17" t="n">
        <v>2621</v>
      </c>
      <c r="F22" s="17" t="n">
        <v>5777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20878</v>
      </c>
      <c r="C24" s="23" t="n">
        <v>17941</v>
      </c>
      <c r="D24" s="23" t="n">
        <v>35153</v>
      </c>
      <c r="E24" s="23" t="n">
        <v>14066</v>
      </c>
      <c r="F24" s="23" t="n">
        <v>26804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78740</v>
      </c>
      <c r="C30" s="15" t="n">
        <v>79990</v>
      </c>
      <c r="D30" s="15" t="n">
        <v>85159</v>
      </c>
      <c r="E30" s="15" t="n">
        <v>88821</v>
      </c>
      <c r="F30" s="15" t="n">
        <v>94193</v>
      </c>
    </row>
    <row r="31">
      <c r="A31" s="16" t="inlineStr">
        <is>
          <t>Cost of Revenue</t>
        </is>
      </c>
      <c r="B31" s="17" t="n">
        <v>23402</v>
      </c>
      <c r="C31" s="17" t="n">
        <v>24596</v>
      </c>
      <c r="D31" s="17" t="n">
        <v>26553</v>
      </c>
      <c r="E31" s="17" t="n">
        <v>27471</v>
      </c>
      <c r="F31" s="17" t="n">
        <v>25635</v>
      </c>
    </row>
    <row r="32">
      <c r="A32" s="25" t="inlineStr">
        <is>
          <t>Gross Profit</t>
        </is>
      </c>
      <c r="B32" s="26" t="n">
        <v>55338</v>
      </c>
      <c r="C32" s="26" t="n">
        <v>55394</v>
      </c>
      <c r="D32" s="26" t="n">
        <v>58606</v>
      </c>
      <c r="E32" s="26" t="n">
        <v>61350</v>
      </c>
      <c r="F32" s="26" t="n">
        <v>68558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14277</v>
      </c>
      <c r="C34" s="17" t="n">
        <v>14135</v>
      </c>
      <c r="D34" s="17" t="n">
        <v>15085</v>
      </c>
      <c r="E34" s="17" t="n">
        <v>17232</v>
      </c>
      <c r="F34" s="17" t="n">
        <v>14665</v>
      </c>
    </row>
    <row r="35">
      <c r="A35" s="16" t="inlineStr">
        <is>
          <t>General &amp; Administrative</t>
        </is>
      </c>
      <c r="B35" s="17" t="n">
        <v>20118</v>
      </c>
      <c r="C35" s="17" t="n">
        <v>20246</v>
      </c>
      <c r="D35" s="17" t="n">
        <v>20112</v>
      </c>
      <c r="E35" s="17" t="n">
        <v>21969</v>
      </c>
      <c r="F35" s="17" t="n">
        <v>23676</v>
      </c>
    </row>
    <row r="36">
      <c r="A36" s="16" t="inlineStr">
        <is>
          <t>Selling &amp; Marketing</t>
        </is>
      </c>
      <c r="B36" s="17" t="n">
        <v>0</v>
      </c>
      <c r="C36" s="17" t="n">
        <v>0</v>
      </c>
      <c r="D36" s="17" t="n">
        <v>0</v>
      </c>
      <c r="E36" s="17" t="n">
        <v>0</v>
      </c>
      <c r="F36" s="17" t="n">
        <v>0</v>
      </c>
    </row>
    <row r="37">
      <c r="A37" s="16" t="inlineStr">
        <is>
          <t>SG&amp;A (Combined)</t>
        </is>
      </c>
      <c r="B37" s="17" t="n">
        <v>20118</v>
      </c>
      <c r="C37" s="17" t="n">
        <v>20246</v>
      </c>
      <c r="D37" s="17" t="n">
        <v>20112</v>
      </c>
      <c r="E37" s="17" t="n">
        <v>21969</v>
      </c>
      <c r="F37" s="17" t="n">
        <v>23676</v>
      </c>
    </row>
    <row r="38">
      <c r="A38" s="16" t="inlineStr">
        <is>
          <t>Other Expenses</t>
        </is>
      </c>
      <c r="B38" s="17" t="n">
        <v>0</v>
      </c>
      <c r="C38" s="17" t="n">
        <v>0</v>
      </c>
      <c r="D38" s="17" t="n">
        <v>0</v>
      </c>
      <c r="E38" s="17" t="n">
        <v>0</v>
      </c>
      <c r="F38" s="17" t="n">
        <v>4621</v>
      </c>
    </row>
    <row r="39">
      <c r="A39" s="25" t="inlineStr">
        <is>
          <t>Total Operating Expenses</t>
        </is>
      </c>
      <c r="B39" s="26" t="n">
        <v>34395</v>
      </c>
      <c r="C39" s="26" t="n">
        <v>34381</v>
      </c>
      <c r="D39" s="26" t="n">
        <v>35197</v>
      </c>
      <c r="E39" s="26" t="n">
        <v>39201</v>
      </c>
      <c r="F39" s="26" t="n">
        <v>42962</v>
      </c>
    </row>
    <row r="40">
      <c r="A40" s="16" t="inlineStr">
        <is>
          <t>Cost &amp; Expenses (COGS + Opex)</t>
        </is>
      </c>
      <c r="B40" s="17" t="n">
        <v>57797</v>
      </c>
      <c r="C40" s="17" t="n">
        <v>58977</v>
      </c>
      <c r="D40" s="17" t="n">
        <v>61750</v>
      </c>
      <c r="E40" s="17" t="n">
        <v>66672</v>
      </c>
      <c r="F40" s="17" t="n">
        <v>68597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20943</v>
      </c>
      <c r="C42" s="15" t="n">
        <v>21013</v>
      </c>
      <c r="D42" s="15" t="n">
        <v>23409</v>
      </c>
      <c r="E42" s="15" t="n">
        <v>22149</v>
      </c>
      <c r="F42" s="15" t="n">
        <v>25596</v>
      </c>
    </row>
    <row r="43">
      <c r="A43" s="16" t="inlineStr">
        <is>
          <t>EBIT (FMP field)</t>
        </is>
      </c>
      <c r="B43" s="17" t="n">
        <v>19361</v>
      </c>
      <c r="C43" s="17" t="n">
        <v>19635</v>
      </c>
      <c r="D43" s="17" t="n">
        <v>15834</v>
      </c>
      <c r="E43" s="17" t="n">
        <v>17442</v>
      </c>
      <c r="F43" s="17" t="n">
        <v>33552</v>
      </c>
    </row>
    <row r="44">
      <c r="A44" s="25" t="inlineStr">
        <is>
          <t>EBITDA</t>
        </is>
      </c>
      <c r="B44" s="26" t="n">
        <v>26751</v>
      </c>
      <c r="C44" s="26" t="n">
        <v>26605</v>
      </c>
      <c r="D44" s="26" t="n">
        <v>23320</v>
      </c>
      <c r="E44" s="26" t="n">
        <v>24781</v>
      </c>
      <c r="F44" s="26" t="n">
        <v>41055</v>
      </c>
    </row>
    <row r="45">
      <c r="A45" s="16" t="inlineStr">
        <is>
          <t>Depreciation &amp; Amortisation</t>
        </is>
      </c>
      <c r="B45" s="17" t="n">
        <v>7390</v>
      </c>
      <c r="C45" s="17" t="n">
        <v>6970</v>
      </c>
      <c r="D45" s="17" t="n">
        <v>7486</v>
      </c>
      <c r="E45" s="17" t="n">
        <v>7339</v>
      </c>
      <c r="F45" s="17" t="n">
        <v>7503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53</v>
      </c>
      <c r="C47" s="17" t="n">
        <v>490</v>
      </c>
      <c r="D47" s="17" t="n">
        <v>1261</v>
      </c>
      <c r="E47" s="17" t="n">
        <v>1332</v>
      </c>
      <c r="F47" s="17" t="n">
        <v>1056</v>
      </c>
    </row>
    <row r="48">
      <c r="A48" s="16" t="inlineStr">
        <is>
          <t>Interest Expense</t>
        </is>
      </c>
      <c r="B48" s="17" t="n">
        <v>183</v>
      </c>
      <c r="C48" s="17" t="n">
        <v>276</v>
      </c>
      <c r="D48" s="17" t="n">
        <v>772</v>
      </c>
      <c r="E48" s="17" t="n">
        <v>755</v>
      </c>
      <c r="F48" s="17" t="n">
        <v>971</v>
      </c>
    </row>
    <row r="49">
      <c r="A49" s="16" t="inlineStr">
        <is>
          <t>Net Interest Income</t>
        </is>
      </c>
      <c r="B49" s="17" t="n">
        <v>-130</v>
      </c>
      <c r="C49" s="17" t="n">
        <v>214</v>
      </c>
      <c r="D49" s="17" t="n">
        <v>489</v>
      </c>
      <c r="E49" s="17" t="n">
        <v>577</v>
      </c>
      <c r="F49" s="17" t="n">
        <v>85</v>
      </c>
    </row>
    <row r="50">
      <c r="A50" s="16" t="inlineStr">
        <is>
          <t>Non-Operating Income (ex-interest)</t>
        </is>
      </c>
      <c r="B50" s="17" t="n">
        <v>1582</v>
      </c>
      <c r="C50" s="17" t="n">
        <v>1378</v>
      </c>
      <c r="D50" s="17" t="n">
        <v>7575</v>
      </c>
      <c r="E50" s="17" t="n">
        <v>4707</v>
      </c>
      <c r="F50" s="17" t="n">
        <v>-7956</v>
      </c>
    </row>
    <row r="51">
      <c r="A51" s="16" t="inlineStr">
        <is>
          <t>Total Other Income / (Expenses)</t>
        </is>
      </c>
      <c r="B51" s="17" t="n">
        <v>-1765</v>
      </c>
      <c r="C51" s="17" t="n">
        <v>-1654</v>
      </c>
      <c r="D51" s="17" t="n">
        <v>-8347</v>
      </c>
      <c r="E51" s="17" t="n">
        <v>-5462</v>
      </c>
      <c r="F51" s="17" t="n">
        <v>6985</v>
      </c>
    </row>
    <row r="52">
      <c r="A52" s="25" t="inlineStr">
        <is>
          <t>EBT / Income Before Tax</t>
        </is>
      </c>
      <c r="B52" s="26" t="n">
        <v>19178</v>
      </c>
      <c r="C52" s="26" t="n">
        <v>19359</v>
      </c>
      <c r="D52" s="26" t="n">
        <v>15062</v>
      </c>
      <c r="E52" s="26" t="n">
        <v>16687</v>
      </c>
      <c r="F52" s="26" t="n">
        <v>32581</v>
      </c>
    </row>
    <row r="53">
      <c r="A53" s="16" t="inlineStr">
        <is>
          <t>Income Tax Expense</t>
        </is>
      </c>
      <c r="B53" s="17" t="n">
        <v>1377</v>
      </c>
      <c r="C53" s="17" t="n">
        <v>2989</v>
      </c>
      <c r="D53" s="17" t="n">
        <v>1736</v>
      </c>
      <c r="E53" s="17" t="n">
        <v>2621</v>
      </c>
      <c r="F53" s="17" t="n">
        <v>5777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17801</v>
      </c>
      <c r="C55" s="17" t="n">
        <v>16370</v>
      </c>
      <c r="D55" s="17" t="n">
        <v>13326</v>
      </c>
      <c r="E55" s="17" t="n">
        <v>14066</v>
      </c>
      <c r="F55" s="17" t="n">
        <v>26804</v>
      </c>
    </row>
    <row r="56">
      <c r="A56" s="16" t="inlineStr">
        <is>
          <t>Net Income from Discontinued Ops</t>
        </is>
      </c>
      <c r="B56" s="17" t="n">
        <v>3077</v>
      </c>
      <c r="C56" s="17" t="n">
        <v>1571</v>
      </c>
      <c r="D56" s="17" t="n">
        <v>21827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20878</v>
      </c>
      <c r="C59" s="26" t="n">
        <v>17941</v>
      </c>
      <c r="D59" s="26" t="n">
        <v>35153</v>
      </c>
      <c r="E59" s="26" t="n">
        <v>14066</v>
      </c>
      <c r="F59" s="26" t="n">
        <v>26804</v>
      </c>
    </row>
    <row r="60">
      <c r="A60" s="14" t="inlineStr">
        <is>
          <t>Bottom Line Net Income</t>
        </is>
      </c>
      <c r="B60" s="15" t="n">
        <v>20878</v>
      </c>
      <c r="C60" s="15" t="n">
        <v>17941</v>
      </c>
      <c r="D60" s="15" t="n">
        <v>35153</v>
      </c>
      <c r="E60" s="15" t="n">
        <v>14066</v>
      </c>
      <c r="F60" s="15" t="n">
        <v>26804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7.93</v>
      </c>
      <c r="C62" s="17" t="n">
        <v>6.83</v>
      </c>
      <c r="D62" s="17" t="n">
        <v>13.88</v>
      </c>
      <c r="E62" s="17" t="n">
        <v>5.84</v>
      </c>
      <c r="F62" s="17" t="n">
        <v>11.03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2628.97</v>
      </c>
      <c r="C64" s="17" t="n">
        <v>2613.6</v>
      </c>
      <c r="D64" s="17" t="n">
        <v>2533.5</v>
      </c>
      <c r="E64" s="17" t="n">
        <v>2407.3</v>
      </c>
      <c r="F64" s="17" t="n">
        <v>2428.6</v>
      </c>
    </row>
    <row r="65">
      <c r="A65" s="16" t="inlineStr">
        <is>
          <t>Shares Outstanding — Diluted (mm)</t>
        </is>
      </c>
      <c r="B65" s="17" t="n">
        <v>2674</v>
      </c>
      <c r="C65" s="17" t="n">
        <v>2663.9</v>
      </c>
      <c r="D65" s="17" t="n">
        <v>2560.4</v>
      </c>
      <c r="E65" s="17" t="n">
        <v>2429.4</v>
      </c>
      <c r="F65" s="17" t="n">
        <v>2429.4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14487</v>
      </c>
      <c r="C5" s="17" t="n">
        <v>12889</v>
      </c>
      <c r="D5" s="17" t="n">
        <v>21859</v>
      </c>
      <c r="E5" s="17" t="n">
        <v>24105</v>
      </c>
      <c r="F5" s="17" t="n">
        <v>19709</v>
      </c>
    </row>
    <row r="6">
      <c r="A6" s="16" t="inlineStr">
        <is>
          <t>(2)  Receivables</t>
        </is>
      </c>
      <c r="B6" s="17" t="n">
        <v>18984</v>
      </c>
      <c r="C6" s="17" t="n">
        <v>16915</v>
      </c>
      <c r="D6" s="17" t="n">
        <v>14873</v>
      </c>
      <c r="E6" s="17" t="n">
        <v>18927</v>
      </c>
      <c r="F6" s="17" t="n">
        <v>17178</v>
      </c>
    </row>
    <row r="7">
      <c r="A7" s="16" t="inlineStr">
        <is>
          <t>(3)  Inventory</t>
        </is>
      </c>
      <c r="B7" s="17" t="n">
        <v>10387</v>
      </c>
      <c r="C7" s="17" t="n">
        <v>10268</v>
      </c>
      <c r="D7" s="17" t="n">
        <v>11181</v>
      </c>
      <c r="E7" s="17" t="n">
        <v>12444</v>
      </c>
      <c r="F7" s="17" t="n">
        <v>14191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60979</v>
      </c>
      <c r="C9" s="23" t="n">
        <v>55294</v>
      </c>
      <c r="D9" s="23" t="n">
        <v>53495</v>
      </c>
      <c r="E9" s="23" t="n">
        <v>55893</v>
      </c>
      <c r="F9" s="23" t="n">
        <v>55624</v>
      </c>
    </row>
    <row r="10">
      <c r="A10" s="16" t="inlineStr">
        <is>
          <t>(6)  PP&amp;E (Net)</t>
        </is>
      </c>
      <c r="B10" s="17" t="n">
        <v>18962</v>
      </c>
      <c r="C10" s="17" t="n">
        <v>17982</v>
      </c>
      <c r="D10" s="17" t="n">
        <v>19898</v>
      </c>
      <c r="E10" s="17" t="n">
        <v>20518</v>
      </c>
      <c r="F10" s="17" t="n">
        <v>23169</v>
      </c>
    </row>
    <row r="11">
      <c r="A11" s="16" t="inlineStr">
        <is>
          <t>(7)  Goodwill</t>
        </is>
      </c>
      <c r="B11" s="17" t="n">
        <v>35246</v>
      </c>
      <c r="C11" s="17" t="n">
        <v>36047</v>
      </c>
      <c r="D11" s="17" t="n">
        <v>36558</v>
      </c>
      <c r="E11" s="17" t="n">
        <v>44200</v>
      </c>
      <c r="F11" s="17" t="n">
        <v>48772</v>
      </c>
    </row>
    <row r="12">
      <c r="A12" s="16" t="inlineStr">
        <is>
          <t>(8)  Deferred Tax Assets</t>
        </is>
      </c>
      <c r="B12" s="17" t="n">
        <v>10223</v>
      </c>
      <c r="C12" s="17" t="n">
        <v>8947</v>
      </c>
      <c r="D12" s="17" t="n">
        <v>9279</v>
      </c>
      <c r="E12" s="17" t="n">
        <v>10461</v>
      </c>
      <c r="F12" s="17" t="n">
        <v>6874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121039</v>
      </c>
      <c r="C14" s="23" t="n">
        <v>132084</v>
      </c>
      <c r="D14" s="23" t="n">
        <v>114063</v>
      </c>
      <c r="E14" s="23" t="n">
        <v>124211</v>
      </c>
      <c r="F14" s="23" t="n">
        <v>143586</v>
      </c>
    </row>
    <row r="15">
      <c r="A15" s="18" t="inlineStr">
        <is>
          <t>(11) Total Assets</t>
        </is>
      </c>
      <c r="B15" s="23" t="n">
        <v>182018</v>
      </c>
      <c r="C15" s="23" t="n">
        <v>187378</v>
      </c>
      <c r="D15" s="23" t="n">
        <v>167558</v>
      </c>
      <c r="E15" s="23" t="n">
        <v>180104</v>
      </c>
      <c r="F15" s="23" t="n">
        <v>199210</v>
      </c>
    </row>
    <row r="16" ht="6" customHeight="1"/>
    <row r="17">
      <c r="A17" s="16" t="inlineStr">
        <is>
          <t>(12) Accounts Payable</t>
        </is>
      </c>
      <c r="B17" s="17" t="n">
        <v>11055</v>
      </c>
      <c r="C17" s="17" t="n">
        <v>9889</v>
      </c>
      <c r="D17" s="17" t="n">
        <v>9632</v>
      </c>
      <c r="E17" s="17" t="n">
        <v>10311</v>
      </c>
      <c r="F17" s="17" t="n">
        <v>11991</v>
      </c>
    </row>
    <row r="18">
      <c r="A18" s="16" t="inlineStr">
        <is>
          <t>(13) Short-Term Borrowings</t>
        </is>
      </c>
      <c r="B18" s="17" t="n">
        <v>3766</v>
      </c>
      <c r="C18" s="17" t="n">
        <v>12756</v>
      </c>
      <c r="D18" s="17" t="n">
        <v>3451</v>
      </c>
      <c r="E18" s="17" t="n">
        <v>5983</v>
      </c>
      <c r="F18" s="17" t="n">
        <v>8495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45226</v>
      </c>
      <c r="C21" s="23" t="n">
        <v>55802</v>
      </c>
      <c r="D21" s="23" t="n">
        <v>46282</v>
      </c>
      <c r="E21" s="23" t="n">
        <v>50321</v>
      </c>
      <c r="F21" s="23" t="n">
        <v>54126</v>
      </c>
    </row>
    <row r="22">
      <c r="A22" s="16" t="inlineStr">
        <is>
          <t>(17) Long-Term Debt</t>
        </is>
      </c>
      <c r="B22" s="17" t="n">
        <v>29985</v>
      </c>
      <c r="C22" s="17" t="n">
        <v>26886</v>
      </c>
      <c r="D22" s="17" t="n">
        <v>25881</v>
      </c>
      <c r="E22" s="17" t="n">
        <v>30651</v>
      </c>
      <c r="F22" s="17" t="n">
        <v>39438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107995</v>
      </c>
      <c r="C25" s="23" t="n">
        <v>110574</v>
      </c>
      <c r="D25" s="23" t="n">
        <v>98784</v>
      </c>
      <c r="E25" s="23" t="n">
        <v>108614</v>
      </c>
      <c r="F25" s="23" t="n">
        <v>117666</v>
      </c>
    </row>
    <row r="26" ht="6" customHeight="1"/>
    <row r="27">
      <c r="A27" s="16" t="inlineStr">
        <is>
          <t>(21) Common Stock &amp; APIC</t>
        </is>
      </c>
      <c r="B27" s="17" t="n">
        <v>3120</v>
      </c>
      <c r="C27" s="17" t="n">
        <v>3120</v>
      </c>
      <c r="D27" s="17" t="n">
        <v>3120</v>
      </c>
      <c r="E27" s="17" t="n">
        <v>3120</v>
      </c>
      <c r="F27" s="17" t="n">
        <v>3120</v>
      </c>
    </row>
    <row r="28">
      <c r="A28" s="16" t="inlineStr">
        <is>
          <t>(22) Retained Earnings</t>
        </is>
      </c>
      <c r="B28" s="17" t="n">
        <v>123060</v>
      </c>
      <c r="C28" s="17" t="n">
        <v>128345</v>
      </c>
      <c r="D28" s="17" t="n">
        <v>153843</v>
      </c>
      <c r="E28" s="17" t="n">
        <v>155791</v>
      </c>
      <c r="F28" s="17" t="n">
        <v>168978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74023</v>
      </c>
      <c r="C30" s="23" t="n">
        <v>76804</v>
      </c>
      <c r="D30" s="23" t="n">
        <v>68774</v>
      </c>
      <c r="E30" s="23" t="n">
        <v>71490</v>
      </c>
      <c r="F30" s="23" t="n">
        <v>81544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14487</v>
      </c>
      <c r="C36" s="17" t="n">
        <v>12889</v>
      </c>
      <c r="D36" s="17" t="n">
        <v>21859</v>
      </c>
      <c r="E36" s="17" t="n">
        <v>24105</v>
      </c>
      <c r="F36" s="17" t="n">
        <v>19709</v>
      </c>
    </row>
    <row r="37">
      <c r="A37" s="16" t="inlineStr">
        <is>
          <t>Short-Term Investments</t>
        </is>
      </c>
      <c r="B37" s="17" t="n">
        <v>17121</v>
      </c>
      <c r="C37" s="17" t="n">
        <v>9392</v>
      </c>
      <c r="D37" s="17" t="n">
        <v>1068</v>
      </c>
      <c r="E37" s="17" t="n">
        <v>417</v>
      </c>
      <c r="F37" s="17" t="n">
        <v>393</v>
      </c>
    </row>
    <row r="38">
      <c r="A38" s="27" t="inlineStr">
        <is>
          <t>Cash &amp; Short-Term Investments</t>
        </is>
      </c>
      <c r="B38" s="28" t="n">
        <v>31608</v>
      </c>
      <c r="C38" s="28" t="n">
        <v>22281</v>
      </c>
      <c r="D38" s="28" t="n">
        <v>22927</v>
      </c>
      <c r="E38" s="28" t="n">
        <v>24522</v>
      </c>
      <c r="F38" s="28" t="n">
        <v>20102</v>
      </c>
    </row>
    <row r="39">
      <c r="A39" s="16" t="inlineStr">
        <is>
          <t>Accounts Receivable (Trade)</t>
        </is>
      </c>
      <c r="B39" s="17" t="n">
        <v>15283</v>
      </c>
      <c r="C39" s="17" t="n">
        <v>14039</v>
      </c>
      <c r="D39" s="17" t="n">
        <v>14873</v>
      </c>
      <c r="E39" s="17" t="n">
        <v>14842</v>
      </c>
      <c r="F39" s="17" t="n">
        <v>17178</v>
      </c>
    </row>
    <row r="40">
      <c r="A40" s="16" t="inlineStr">
        <is>
          <t>Other Receivables</t>
        </is>
      </c>
      <c r="B40" s="17" t="n">
        <v>3701</v>
      </c>
      <c r="C40" s="17" t="n">
        <v>2876</v>
      </c>
      <c r="D40" s="17" t="n">
        <v>0</v>
      </c>
      <c r="E40" s="17" t="n">
        <v>4085</v>
      </c>
      <c r="F40" s="17" t="n">
        <v>0</v>
      </c>
    </row>
    <row r="41">
      <c r="A41" s="27" t="inlineStr">
        <is>
          <t>Net Receivables (Total)</t>
        </is>
      </c>
      <c r="B41" s="28" t="n">
        <v>18984</v>
      </c>
      <c r="C41" s="28" t="n">
        <v>16915</v>
      </c>
      <c r="D41" s="28" t="n">
        <v>14873</v>
      </c>
      <c r="E41" s="28" t="n">
        <v>18927</v>
      </c>
      <c r="F41" s="28" t="n">
        <v>17178</v>
      </c>
    </row>
    <row r="42">
      <c r="A42" s="16" t="inlineStr">
        <is>
          <t>Inventory</t>
        </is>
      </c>
      <c r="B42" s="17" t="n">
        <v>10387</v>
      </c>
      <c r="C42" s="17" t="n">
        <v>10268</v>
      </c>
      <c r="D42" s="17" t="n">
        <v>11181</v>
      </c>
      <c r="E42" s="17" t="n">
        <v>12444</v>
      </c>
      <c r="F42" s="17" t="n">
        <v>14191</v>
      </c>
    </row>
    <row r="43">
      <c r="A43" s="16" t="inlineStr">
        <is>
          <t>Prepaids</t>
        </is>
      </c>
      <c r="B43" s="17" t="n">
        <v>3701</v>
      </c>
      <c r="C43" s="17" t="n">
        <v>0</v>
      </c>
      <c r="D43" s="17" t="n">
        <v>4514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-3701</v>
      </c>
      <c r="C44" s="17" t="n">
        <v>5830</v>
      </c>
      <c r="D44" s="17" t="n">
        <v>0</v>
      </c>
      <c r="E44" s="17" t="n">
        <v>0</v>
      </c>
      <c r="F44" s="17" t="n">
        <v>4153</v>
      </c>
    </row>
    <row r="45">
      <c r="A45" s="25" t="inlineStr">
        <is>
          <t>Total Current Assets</t>
        </is>
      </c>
      <c r="B45" s="26" t="n">
        <v>60979</v>
      </c>
      <c r="C45" s="26" t="n">
        <v>55294</v>
      </c>
      <c r="D45" s="26" t="n">
        <v>53495</v>
      </c>
      <c r="E45" s="26" t="n">
        <v>55893</v>
      </c>
      <c r="F45" s="26" t="n">
        <v>55624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18962</v>
      </c>
      <c r="C47" s="17" t="n">
        <v>17982</v>
      </c>
      <c r="D47" s="17" t="n">
        <v>19898</v>
      </c>
      <c r="E47" s="17" t="n">
        <v>20518</v>
      </c>
      <c r="F47" s="17" t="n">
        <v>23169</v>
      </c>
    </row>
    <row r="48">
      <c r="A48" s="16" t="inlineStr">
        <is>
          <t>Goodwill</t>
        </is>
      </c>
      <c r="B48" s="17" t="n">
        <v>35246</v>
      </c>
      <c r="C48" s="17" t="n">
        <v>36047</v>
      </c>
      <c r="D48" s="17" t="n">
        <v>36558</v>
      </c>
      <c r="E48" s="17" t="n">
        <v>44200</v>
      </c>
      <c r="F48" s="17" t="n">
        <v>48772</v>
      </c>
    </row>
    <row r="49">
      <c r="A49" s="16" t="inlineStr">
        <is>
          <t>Intangible Assets</t>
        </is>
      </c>
      <c r="B49" s="17" t="n">
        <v>46392</v>
      </c>
      <c r="C49" s="17" t="n">
        <v>38489</v>
      </c>
      <c r="D49" s="17" t="n">
        <v>34175</v>
      </c>
      <c r="E49" s="17" t="n">
        <v>37618</v>
      </c>
      <c r="F49" s="17" t="n">
        <v>50403</v>
      </c>
    </row>
    <row r="50">
      <c r="A50" s="16" t="inlineStr">
        <is>
          <t>Long-Term Investments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Tax Assets (Deferred)</t>
        </is>
      </c>
      <c r="B51" s="17" t="n">
        <v>10223</v>
      </c>
      <c r="C51" s="17" t="n">
        <v>8947</v>
      </c>
      <c r="D51" s="17" t="n">
        <v>9279</v>
      </c>
      <c r="E51" s="17" t="n">
        <v>10461</v>
      </c>
      <c r="F51" s="17" t="n">
        <v>6874</v>
      </c>
    </row>
    <row r="52">
      <c r="A52" s="16" t="inlineStr">
        <is>
          <t>Total Investments</t>
        </is>
      </c>
      <c r="B52" s="17" t="n">
        <v>17121</v>
      </c>
      <c r="C52" s="17" t="n">
        <v>9392</v>
      </c>
      <c r="D52" s="17" t="n">
        <v>1068</v>
      </c>
      <c r="E52" s="17" t="n">
        <v>417</v>
      </c>
      <c r="F52" s="17" t="n">
        <v>393</v>
      </c>
    </row>
    <row r="53">
      <c r="A53" s="16" t="inlineStr">
        <is>
          <t>Other Non-Current Assets</t>
        </is>
      </c>
      <c r="B53" s="17" t="n">
        <v>10216</v>
      </c>
      <c r="C53" s="17" t="n">
        <v>30619</v>
      </c>
      <c r="D53" s="17" t="n">
        <v>14153</v>
      </c>
      <c r="E53" s="17" t="n">
        <v>11414</v>
      </c>
      <c r="F53" s="17" t="n">
        <v>14368</v>
      </c>
    </row>
    <row r="54">
      <c r="A54" s="25" t="inlineStr">
        <is>
          <t>Total Non-Current Assets</t>
        </is>
      </c>
      <c r="B54" s="26" t="n">
        <v>121039</v>
      </c>
      <c r="C54" s="26" t="n">
        <v>132084</v>
      </c>
      <c r="D54" s="26" t="n">
        <v>114063</v>
      </c>
      <c r="E54" s="26" t="n">
        <v>124211</v>
      </c>
      <c r="F54" s="26" t="n">
        <v>143586</v>
      </c>
    </row>
    <row r="55">
      <c r="A55" s="12" t="inlineStr">
        <is>
          <t>TOTAL ASSETS</t>
        </is>
      </c>
      <c r="B55" s="29" t="n">
        <v>182018</v>
      </c>
      <c r="C55" s="29" t="n">
        <v>187378</v>
      </c>
      <c r="D55" s="29" t="n">
        <v>167558</v>
      </c>
      <c r="E55" s="29" t="n">
        <v>180104</v>
      </c>
      <c r="F55" s="29" t="n">
        <v>199210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11055</v>
      </c>
      <c r="C57" s="17" t="n">
        <v>9889</v>
      </c>
      <c r="D57" s="17" t="n">
        <v>9632</v>
      </c>
      <c r="E57" s="17" t="n">
        <v>10311</v>
      </c>
      <c r="F57" s="17" t="n">
        <v>11991</v>
      </c>
    </row>
    <row r="58">
      <c r="A58" s="16" t="inlineStr">
        <is>
          <t>Short-Term Debt</t>
        </is>
      </c>
      <c r="B58" s="17" t="n">
        <v>3766</v>
      </c>
      <c r="C58" s="17" t="n">
        <v>12756</v>
      </c>
      <c r="D58" s="17" t="n">
        <v>3451</v>
      </c>
      <c r="E58" s="17" t="n">
        <v>5983</v>
      </c>
      <c r="F58" s="17" t="n">
        <v>8495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3586</v>
      </c>
      <c r="C61" s="17" t="n">
        <v>6639</v>
      </c>
      <c r="D61" s="17" t="n">
        <v>3993</v>
      </c>
      <c r="E61" s="17" t="n">
        <v>4126</v>
      </c>
      <c r="F61" s="17" t="n">
        <v>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45226</v>
      </c>
      <c r="C63" s="26" t="n">
        <v>55802</v>
      </c>
      <c r="D63" s="26" t="n">
        <v>46282</v>
      </c>
      <c r="E63" s="26" t="n">
        <v>50321</v>
      </c>
      <c r="F63" s="26" t="n">
        <v>54126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29985</v>
      </c>
      <c r="C65" s="17" t="n">
        <v>26886</v>
      </c>
      <c r="D65" s="17" t="n">
        <v>25881</v>
      </c>
      <c r="E65" s="17" t="n">
        <v>30651</v>
      </c>
      <c r="F65" s="17" t="n">
        <v>39438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7487</v>
      </c>
      <c r="C68" s="17" t="n">
        <v>3991</v>
      </c>
      <c r="D68" s="17" t="n">
        <v>3193</v>
      </c>
      <c r="E68" s="17" t="n">
        <v>2448</v>
      </c>
      <c r="F68" s="17" t="n">
        <v>6791</v>
      </c>
    </row>
    <row r="69">
      <c r="A69" s="16" t="inlineStr">
        <is>
          <t>Other Non-Current Liabilities</t>
        </is>
      </c>
      <c r="B69" s="17" t="n">
        <v>25297</v>
      </c>
      <c r="C69" s="17" t="n">
        <v>23895</v>
      </c>
      <c r="D69" s="17" t="n">
        <v>23428</v>
      </c>
      <c r="E69" s="17" t="n">
        <v>25194</v>
      </c>
      <c r="F69" s="17" t="n">
        <v>17311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107995</v>
      </c>
      <c r="C71" s="29" t="n">
        <v>110574</v>
      </c>
      <c r="D71" s="29" t="n">
        <v>98784</v>
      </c>
      <c r="E71" s="29" t="n">
        <v>108614</v>
      </c>
      <c r="F71" s="29" t="n">
        <v>117666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3120</v>
      </c>
      <c r="C73" s="17" t="n">
        <v>3120</v>
      </c>
      <c r="D73" s="17" t="n">
        <v>3120</v>
      </c>
      <c r="E73" s="17" t="n">
        <v>3120</v>
      </c>
      <c r="F73" s="17" t="n">
        <v>3120</v>
      </c>
    </row>
    <row r="74">
      <c r="A74" s="16" t="inlineStr">
        <is>
          <t>Retained Earnings</t>
        </is>
      </c>
      <c r="B74" s="17" t="n">
        <v>123060</v>
      </c>
      <c r="C74" s="17" t="n">
        <v>128345</v>
      </c>
      <c r="D74" s="17" t="n">
        <v>153843</v>
      </c>
      <c r="E74" s="17" t="n">
        <v>155791</v>
      </c>
      <c r="F74" s="17" t="n">
        <v>168978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74023</v>
      </c>
      <c r="C78" s="26" t="n">
        <v>76804</v>
      </c>
      <c r="D78" s="26" t="n">
        <v>68774</v>
      </c>
      <c r="E78" s="26" t="n">
        <v>71490</v>
      </c>
      <c r="F78" s="26" t="n">
        <v>81544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33751</v>
      </c>
      <c r="C80" s="15" t="n">
        <v>39642</v>
      </c>
      <c r="D80" s="15" t="n">
        <v>29332</v>
      </c>
      <c r="E80" s="15" t="n">
        <v>36634</v>
      </c>
      <c r="F80" s="15" t="n">
        <v>47933</v>
      </c>
    </row>
    <row r="81">
      <c r="A81" s="14" t="inlineStr">
        <is>
          <t>Net Debt</t>
        </is>
      </c>
      <c r="B81" s="15" t="n">
        <v>19264</v>
      </c>
      <c r="C81" s="15" t="n">
        <v>26753</v>
      </c>
      <c r="D81" s="15" t="n">
        <v>7473</v>
      </c>
      <c r="E81" s="15" t="n">
        <v>12529</v>
      </c>
      <c r="F81" s="15" t="n">
        <v>28224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23410</v>
      </c>
      <c r="C5" s="23" t="n">
        <v>21194</v>
      </c>
      <c r="D5" s="23" t="n">
        <v>22791</v>
      </c>
      <c r="E5" s="23" t="n">
        <v>24266</v>
      </c>
      <c r="F5" s="23" t="n">
        <v>24530</v>
      </c>
    </row>
    <row r="6">
      <c r="A6" s="16" t="inlineStr">
        <is>
          <t>(2)  Capital Expenditures</t>
        </is>
      </c>
      <c r="B6" s="17" t="n">
        <v>-3652</v>
      </c>
      <c r="C6" s="17" t="n">
        <v>-4009</v>
      </c>
      <c r="D6" s="17" t="n">
        <v>-4543</v>
      </c>
      <c r="E6" s="17" t="n">
        <v>-4424</v>
      </c>
      <c r="F6" s="17" t="n">
        <v>-4832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-990</v>
      </c>
      <c r="C9" s="17" t="n">
        <v>7452</v>
      </c>
      <c r="D9" s="17" t="n">
        <v>-2734</v>
      </c>
      <c r="E9" s="17" t="n">
        <v>10051</v>
      </c>
      <c r="F9" s="17" t="n">
        <v>9637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0</v>
      </c>
      <c r="D11" s="17" t="n">
        <v>4241</v>
      </c>
      <c r="E11" s="17" t="n">
        <v>0</v>
      </c>
      <c r="F11" s="17" t="n">
        <v>0</v>
      </c>
    </row>
    <row r="12">
      <c r="A12" s="16" t="inlineStr">
        <is>
          <t>(7)  Dividends Paid</t>
        </is>
      </c>
      <c r="B12" s="17" t="n">
        <v>-11032</v>
      </c>
      <c r="C12" s="17" t="n">
        <v>-11682</v>
      </c>
      <c r="D12" s="17" t="n">
        <v>-11770</v>
      </c>
      <c r="E12" s="17" t="n">
        <v>-11823</v>
      </c>
      <c r="F12" s="17" t="n">
        <v>-12381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19758</v>
      </c>
      <c r="C15" s="23" t="n">
        <v>17185</v>
      </c>
      <c r="D15" s="23" t="n">
        <v>18248</v>
      </c>
      <c r="E15" s="23" t="n">
        <v>19842</v>
      </c>
      <c r="F15" s="23" t="n">
        <v>19698</v>
      </c>
    </row>
    <row r="16">
      <c r="A16" s="14" t="inlineStr">
        <is>
          <t xml:space="preserve">     Net Change in Cash</t>
        </is>
      </c>
      <c r="B16" s="15" t="n">
        <v>502</v>
      </c>
      <c r="C16" s="15" t="n">
        <v>-360</v>
      </c>
      <c r="D16" s="15" t="n">
        <v>7732</v>
      </c>
      <c r="E16" s="15" t="n">
        <v>2246</v>
      </c>
      <c r="F16" s="15" t="n">
        <v>-4396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20878</v>
      </c>
      <c r="C21" s="17" t="n">
        <v>17941</v>
      </c>
      <c r="D21" s="17" t="n">
        <v>13326</v>
      </c>
      <c r="E21" s="17" t="n">
        <v>14066</v>
      </c>
      <c r="F21" s="17" t="n">
        <v>26804</v>
      </c>
    </row>
    <row r="22">
      <c r="A22" s="16" t="inlineStr">
        <is>
          <t>Depreciation &amp; Amortisation</t>
        </is>
      </c>
      <c r="B22" s="17" t="n">
        <v>7390</v>
      </c>
      <c r="C22" s="17" t="n">
        <v>6970</v>
      </c>
      <c r="D22" s="17" t="n">
        <v>7486</v>
      </c>
      <c r="E22" s="17" t="n">
        <v>7339</v>
      </c>
      <c r="F22" s="17" t="n">
        <v>7503</v>
      </c>
    </row>
    <row r="23">
      <c r="A23" s="16" t="inlineStr">
        <is>
          <t>Deferred Income Tax</t>
        </is>
      </c>
      <c r="B23" s="17" t="n">
        <v>-2079</v>
      </c>
      <c r="C23" s="17" t="n">
        <v>-1663</v>
      </c>
      <c r="D23" s="17" t="n">
        <v>-4194</v>
      </c>
      <c r="E23" s="17" t="n">
        <v>-2183</v>
      </c>
      <c r="F23" s="17" t="n">
        <v>1538</v>
      </c>
    </row>
    <row r="24">
      <c r="A24" s="16" t="inlineStr">
        <is>
          <t>Stock-Based Compensation</t>
        </is>
      </c>
      <c r="B24" s="17" t="n">
        <v>1135</v>
      </c>
      <c r="C24" s="17" t="n">
        <v>1138</v>
      </c>
      <c r="D24" s="17" t="n">
        <v>1162</v>
      </c>
      <c r="E24" s="17" t="n">
        <v>1176</v>
      </c>
      <c r="F24" s="17" t="n">
        <v>1354</v>
      </c>
    </row>
    <row r="25">
      <c r="A25" s="16" t="inlineStr">
        <is>
          <t>Change in Working Capital</t>
        </is>
      </c>
      <c r="B25" s="17" t="n">
        <v>-4238</v>
      </c>
      <c r="C25" s="17" t="n">
        <v>-4011</v>
      </c>
      <c r="D25" s="17" t="n">
        <v>2507</v>
      </c>
      <c r="E25" s="17" t="n">
        <v>1837</v>
      </c>
      <c r="F25" s="17" t="n">
        <v>-12718</v>
      </c>
    </row>
    <row r="26">
      <c r="A26" s="20" t="inlineStr">
        <is>
          <t xml:space="preserve">  — Accounts Receivable</t>
        </is>
      </c>
      <c r="B26" s="17" t="n">
        <v>-2402</v>
      </c>
      <c r="C26" s="17" t="n">
        <v>-1290</v>
      </c>
      <c r="D26" s="17" t="n">
        <v>-624</v>
      </c>
      <c r="E26" s="17" t="n">
        <v>-406</v>
      </c>
      <c r="F26" s="17" t="n">
        <v>-1781</v>
      </c>
    </row>
    <row r="27">
      <c r="A27" s="20" t="inlineStr">
        <is>
          <t xml:space="preserve">  — Inventory</t>
        </is>
      </c>
      <c r="B27" s="17" t="n">
        <v>-1248</v>
      </c>
      <c r="C27" s="17" t="n">
        <v>-2527</v>
      </c>
      <c r="D27" s="17" t="n">
        <v>-1323</v>
      </c>
      <c r="E27" s="17" t="n">
        <v>-1128</v>
      </c>
      <c r="F27" s="17" t="n">
        <v>-1450</v>
      </c>
    </row>
    <row r="28">
      <c r="A28" s="20" t="inlineStr">
        <is>
          <t xml:space="preserve">  — Accounts Payable</t>
        </is>
      </c>
      <c r="B28" s="17" t="n">
        <v>2437</v>
      </c>
      <c r="C28" s="17" t="n">
        <v>1098</v>
      </c>
      <c r="D28" s="17" t="n">
        <v>2346</v>
      </c>
      <c r="E28" s="17" t="n">
        <v>1621</v>
      </c>
      <c r="F28" s="17" t="n">
        <v>2377</v>
      </c>
    </row>
    <row r="29">
      <c r="A29" s="20" t="inlineStr">
        <is>
          <t xml:space="preserve">  — Other Working Capital</t>
        </is>
      </c>
      <c r="B29" s="17" t="n">
        <v>-3025</v>
      </c>
      <c r="C29" s="17" t="n">
        <v>-1292</v>
      </c>
      <c r="D29" s="17" t="n">
        <v>2108</v>
      </c>
      <c r="E29" s="17" t="n">
        <v>1750</v>
      </c>
      <c r="F29" s="17" t="n">
        <v>-11864</v>
      </c>
    </row>
    <row r="30">
      <c r="A30" s="16" t="inlineStr">
        <is>
          <t>Other Non-Cash Items</t>
        </is>
      </c>
      <c r="B30" s="17" t="n">
        <v>324</v>
      </c>
      <c r="C30" s="17" t="n">
        <v>819</v>
      </c>
      <c r="D30" s="17" t="n">
        <v>2504</v>
      </c>
      <c r="E30" s="17" t="n">
        <v>2031</v>
      </c>
      <c r="F30" s="17" t="n">
        <v>49</v>
      </c>
    </row>
    <row r="31">
      <c r="A31" s="25" t="inlineStr">
        <is>
          <t>Net Cash from Operations (CFO)</t>
        </is>
      </c>
      <c r="B31" s="26" t="n">
        <v>23410</v>
      </c>
      <c r="C31" s="26" t="n">
        <v>21194</v>
      </c>
      <c r="D31" s="26" t="n">
        <v>22791</v>
      </c>
      <c r="E31" s="26" t="n">
        <v>24266</v>
      </c>
      <c r="F31" s="26" t="n">
        <v>24530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-3652</v>
      </c>
      <c r="C33" s="17" t="n">
        <v>-4009</v>
      </c>
      <c r="D33" s="17" t="n">
        <v>-4543</v>
      </c>
      <c r="E33" s="17" t="n">
        <v>-4424</v>
      </c>
      <c r="F33" s="17" t="n">
        <v>-4832</v>
      </c>
    </row>
    <row r="34">
      <c r="A34" s="20" t="inlineStr">
        <is>
          <t xml:space="preserve">  (Alt: Invest. in PP&amp;E)</t>
        </is>
      </c>
      <c r="B34" s="17" t="n">
        <v>-3652</v>
      </c>
      <c r="C34" s="17" t="n">
        <v>-4009</v>
      </c>
      <c r="D34" s="17" t="n">
        <v>-4543</v>
      </c>
      <c r="E34" s="17" t="n">
        <v>-4424</v>
      </c>
      <c r="F34" s="17" t="n">
        <v>-4832</v>
      </c>
    </row>
    <row r="35">
      <c r="A35" s="16" t="inlineStr">
        <is>
          <t>Acquisitions (Net)</t>
        </is>
      </c>
      <c r="B35" s="17" t="n">
        <v>-60</v>
      </c>
      <c r="C35" s="17" t="n">
        <v>-17652</v>
      </c>
      <c r="D35" s="17" t="n">
        <v>0</v>
      </c>
      <c r="E35" s="17" t="n">
        <v>-15146</v>
      </c>
      <c r="F35" s="17" t="n">
        <v>-17541</v>
      </c>
    </row>
    <row r="36">
      <c r="A36" s="16" t="inlineStr">
        <is>
          <t>Purchases of Investments</t>
        </is>
      </c>
      <c r="B36" s="17" t="n">
        <v>-30394</v>
      </c>
      <c r="C36" s="17" t="n">
        <v>-32384</v>
      </c>
      <c r="D36" s="17" t="n">
        <v>-10906</v>
      </c>
      <c r="E36" s="17" t="n">
        <v>-1726</v>
      </c>
      <c r="F36" s="17" t="n">
        <v>-920</v>
      </c>
    </row>
    <row r="37">
      <c r="A37" s="16" t="inlineStr">
        <is>
          <t>Sales / Maturities of Investments</t>
        </is>
      </c>
      <c r="B37" s="17" t="n">
        <v>25006</v>
      </c>
      <c r="C37" s="17" t="n">
        <v>41609</v>
      </c>
      <c r="D37" s="17" t="n">
        <v>19390</v>
      </c>
      <c r="E37" s="17" t="n">
        <v>2462</v>
      </c>
      <c r="F37" s="17" t="n">
        <v>1661</v>
      </c>
    </row>
    <row r="38">
      <c r="A38" s="16" t="inlineStr">
        <is>
          <t>Other Investing Activities</t>
        </is>
      </c>
      <c r="B38" s="17" t="n">
        <v>417</v>
      </c>
      <c r="C38" s="17" t="n">
        <v>65</v>
      </c>
      <c r="D38" s="17" t="n">
        <v>-3063</v>
      </c>
      <c r="E38" s="17" t="n">
        <v>235</v>
      </c>
      <c r="F38" s="17" t="n">
        <v>-1956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-990</v>
      </c>
      <c r="C41" s="17" t="n">
        <v>7452</v>
      </c>
      <c r="D41" s="17" t="n">
        <v>-2734</v>
      </c>
      <c r="E41" s="17" t="n">
        <v>10051</v>
      </c>
      <c r="F41" s="17" t="n">
        <v>9637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0</v>
      </c>
      <c r="D43" s="17" t="n">
        <v>4241</v>
      </c>
      <c r="E43" s="17" t="n">
        <v>0</v>
      </c>
      <c r="F43" s="17" t="n">
        <v>0</v>
      </c>
    </row>
    <row r="44">
      <c r="A44" s="16" t="inlineStr">
        <is>
          <t>Common Stock Repurchased (Buybacks)</t>
        </is>
      </c>
      <c r="B44" s="17" t="n">
        <v>-3456</v>
      </c>
      <c r="C44" s="17" t="n">
        <v>-6035</v>
      </c>
      <c r="D44" s="17" t="n">
        <v>-5054</v>
      </c>
      <c r="E44" s="17" t="n">
        <v>-2432</v>
      </c>
      <c r="F44" s="17" t="n">
        <v>-5953</v>
      </c>
    </row>
    <row r="45">
      <c r="A45" s="16" t="inlineStr">
        <is>
          <t>Dividends Paid</t>
        </is>
      </c>
      <c r="B45" s="17" t="n">
        <v>-11032</v>
      </c>
      <c r="C45" s="17" t="n">
        <v>-11682</v>
      </c>
      <c r="D45" s="17" t="n">
        <v>-11770</v>
      </c>
      <c r="E45" s="17" t="n">
        <v>-11823</v>
      </c>
      <c r="F45" s="17" t="n">
        <v>-12381</v>
      </c>
    </row>
    <row r="46">
      <c r="A46" s="16" t="inlineStr">
        <is>
          <t>Other Financing Activities</t>
        </is>
      </c>
      <c r="B46" s="17" t="n">
        <v>1431</v>
      </c>
      <c r="C46" s="17" t="n">
        <v>1394</v>
      </c>
      <c r="D46" s="17" t="n">
        <v>-508</v>
      </c>
      <c r="E46" s="17" t="n">
        <v>1072</v>
      </c>
      <c r="F46" s="17" t="n">
        <v>3158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-178</v>
      </c>
      <c r="C49" s="17" t="n">
        <v>-312</v>
      </c>
      <c r="D49" s="17" t="n">
        <v>-112</v>
      </c>
      <c r="E49" s="17" t="n">
        <v>-289</v>
      </c>
      <c r="F49" s="17" t="n">
        <v>201</v>
      </c>
    </row>
    <row r="50">
      <c r="A50" s="14" t="inlineStr">
        <is>
          <t>Net Change in Cash</t>
        </is>
      </c>
      <c r="B50" s="15" t="n">
        <v>502</v>
      </c>
      <c r="C50" s="15" t="n">
        <v>-360</v>
      </c>
      <c r="D50" s="15" t="n">
        <v>7732</v>
      </c>
      <c r="E50" s="15" t="n">
        <v>2246</v>
      </c>
      <c r="F50" s="15" t="n">
        <v>-4396</v>
      </c>
    </row>
    <row r="51">
      <c r="A51" s="16" t="inlineStr">
        <is>
          <t>Cash at Beginning of Period</t>
        </is>
      </c>
      <c r="B51" s="17" t="n">
        <v>13985</v>
      </c>
      <c r="C51" s="17" t="n">
        <v>14487</v>
      </c>
      <c r="D51" s="17" t="n">
        <v>14127</v>
      </c>
      <c r="E51" s="17" t="n">
        <v>21859</v>
      </c>
      <c r="F51" s="17" t="n">
        <v>24105</v>
      </c>
    </row>
    <row r="52">
      <c r="A52" s="25" t="inlineStr">
        <is>
          <t>Cash at End of Period</t>
        </is>
      </c>
      <c r="B52" s="26" t="n">
        <v>14487</v>
      </c>
      <c r="C52" s="26" t="n">
        <v>14127</v>
      </c>
      <c r="D52" s="26" t="n">
        <v>21859</v>
      </c>
      <c r="E52" s="26" t="n">
        <v>24105</v>
      </c>
      <c r="F52" s="26" t="n">
        <v>19709</v>
      </c>
    </row>
    <row r="53">
      <c r="A53" s="25" t="inlineStr">
        <is>
          <t>Free Cash Flow</t>
        </is>
      </c>
      <c r="B53" s="26" t="n">
        <v>19758</v>
      </c>
      <c r="C53" s="26" t="n">
        <v>17185</v>
      </c>
      <c r="D53" s="26" t="n">
        <v>18248</v>
      </c>
      <c r="E53" s="26" t="n">
        <v>19842</v>
      </c>
      <c r="F53" s="26" t="n">
        <v>19698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2674</v>
      </c>
      <c r="C61" s="17" t="n">
        <v>2663.9</v>
      </c>
      <c r="D61" s="17" t="n">
        <v>2560.4</v>
      </c>
      <c r="E61" s="17" t="n">
        <v>2429.4</v>
      </c>
      <c r="F61" s="17" t="n">
        <v>2429.4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JNJ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2022</t>
        </is>
      </c>
    </row>
    <row r="5">
      <c r="A5" s="16" t="inlineStr">
        <is>
          <t>data</t>
        </is>
      </c>
      <c r="B5" s="17" t="n">
        <v>60401</v>
      </c>
      <c r="C5" s="17" t="n">
        <v>56964</v>
      </c>
      <c r="D5" s="17" t="n">
        <v>54759</v>
      </c>
      <c r="E5" s="17" t="n">
        <v>52563</v>
      </c>
      <c r="F5" s="17" t="n">
        <v>14635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JNJ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564350.158592</v>
      </c>
      <c r="C5" s="43" t="inlineStr">
        <is>
          <t>FMP marketCap  |  price $234.18</t>
        </is>
      </c>
    </row>
    <row r="6">
      <c r="A6" s="16" t="inlineStr">
        <is>
          <t>Debt  (gross book value, $mm)</t>
        </is>
      </c>
      <c r="B6" s="42" t="n">
        <v>47933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0.329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0.55</v>
      </c>
      <c r="C17" s="43" t="inlineStr">
        <is>
          <t>Mean-reversion toward market beta of 1.0</t>
        </is>
      </c>
    </row>
    <row r="18">
      <c r="A18" s="16" t="inlineStr">
        <is>
          <t>Damodaran industry unlevered  (Drug Manufacturers - General)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0.08x,  t = 17.7%)</t>
        </is>
      </c>
      <c r="B19" s="49" t="n">
        <v>1.07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0.65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AAA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0.0488</v>
      </c>
      <c r="C32" s="43" t="inlineStr">
        <is>
          <t>FRED BAMLC0A1CAAAEY — AAA</t>
        </is>
      </c>
    </row>
    <row r="33">
      <c r="A33" s="16" t="inlineStr">
        <is>
          <t>Interest Coverage Ratio  (EBIT / Gross Int Exp)</t>
        </is>
      </c>
      <c r="B33" s="49" t="n">
        <v>26.4</v>
      </c>
      <c r="C33" s="43" t="inlineStr">
        <is>
          <t>EBIT $25596mm  /  Int Exp $971mm</t>
        </is>
      </c>
    </row>
    <row r="34">
      <c r="A34" s="16" t="inlineStr">
        <is>
          <t>Synthetic rating  (Damodaran ICR table)</t>
        </is>
      </c>
      <c r="B34" s="52" t="inlineStr">
        <is>
          <t>AAA</t>
        </is>
      </c>
      <c r="C34" s="43" t="inlineStr">
        <is>
          <t>ICR 26.4x  →  AAA</t>
        </is>
      </c>
    </row>
    <row r="35">
      <c r="A35" s="16" t="inlineStr">
        <is>
          <t>Synthetic Rd  (Rf + Damodaran default spread)</t>
        </is>
      </c>
      <c r="B35" s="45" t="n">
        <v>0.0486</v>
      </c>
      <c r="C35" s="43" t="inlineStr">
        <is>
          <t>Rf 4.32% + spread 0.54%</t>
        </is>
      </c>
    </row>
    <row r="36">
      <c r="A36" s="16" t="inlineStr">
        <is>
          <t>Accounting Rd  (Gross int exp / Avg gross debt)</t>
        </is>
      </c>
      <c r="B36" s="45" t="n">
        <v>0.02296404034670734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$85mm  (int inc $1056mm &gt; int exp $971mm)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0.0401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0.1773</v>
      </c>
      <c r="C41" s="43" t="inlineStr">
        <is>
          <t>FMP: $5777mm  /  $32581mm</t>
        </is>
      </c>
    </row>
    <row r="42">
      <c r="A42" s="46" t="inlineStr">
        <is>
          <t>► Selected tax rate  (user override)</t>
        </is>
      </c>
      <c r="B42" s="47" t="n">
        <v>0.1773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JNJ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0.0159</v>
      </c>
      <c r="D7" s="69" t="n">
        <v>0.0646</v>
      </c>
      <c r="E7" s="69" t="n">
        <v>0.043</v>
      </c>
      <c r="F7" s="69" t="n">
        <v>0.0605</v>
      </c>
      <c r="G7" s="70" t="n">
        <v>0.0699</v>
      </c>
      <c r="H7" s="70" t="n">
        <v>0.06469999999999999</v>
      </c>
      <c r="I7" s="70" t="n">
        <v>0.0677</v>
      </c>
      <c r="J7" s="70" t="n">
        <v>0.0573</v>
      </c>
      <c r="K7" s="70" t="n">
        <v>0.08210000000000001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0.3397</v>
      </c>
      <c r="C8" s="69" t="n">
        <v>0.3326</v>
      </c>
      <c r="D8" s="69" t="n">
        <v>0.2738</v>
      </c>
      <c r="E8" s="69" t="n">
        <v>0.279</v>
      </c>
      <c r="F8" s="69" t="n">
        <v>0.4359</v>
      </c>
      <c r="G8" s="70" t="n">
        <v>0.3298</v>
      </c>
      <c r="H8" s="70" t="n">
        <v>0.3298</v>
      </c>
      <c r="I8" s="70" t="n">
        <v>0.3298</v>
      </c>
      <c r="J8" s="70" t="n">
        <v>0.3298</v>
      </c>
      <c r="K8" s="70" t="n">
        <v>0.3298</v>
      </c>
      <c r="L8" s="71" t="n">
        <v>0.4359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0.0939</v>
      </c>
      <c r="C9" s="69" t="n">
        <v>0.0871</v>
      </c>
      <c r="D9" s="69" t="n">
        <v>0.08790000000000001</v>
      </c>
      <c r="E9" s="69" t="n">
        <v>0.08260000000000001</v>
      </c>
      <c r="F9" s="69" t="n">
        <v>0.07969999999999999</v>
      </c>
      <c r="G9" s="73" t="n">
        <v>0.07969999999999999</v>
      </c>
      <c r="H9" s="73" t="n">
        <v>0.07969999999999999</v>
      </c>
      <c r="I9" s="73" t="n">
        <v>0.07969999999999999</v>
      </c>
      <c r="J9" s="73" t="n">
        <v>0.07969999999999999</v>
      </c>
      <c r="K9" s="73" t="n">
        <v>0.07969999999999999</v>
      </c>
      <c r="L9" s="71" t="n">
        <v>0.07969999999999999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0.0464</v>
      </c>
      <c r="C10" s="69" t="n">
        <v>0.0501</v>
      </c>
      <c r="D10" s="69" t="n">
        <v>0.0533</v>
      </c>
      <c r="E10" s="69" t="n">
        <v>0.0498</v>
      </c>
      <c r="F10" s="69" t="n">
        <v>0.0513</v>
      </c>
      <c r="G10" s="73" t="n">
        <v>0.0513</v>
      </c>
      <c r="H10" s="73" t="n">
        <v>0.0513</v>
      </c>
      <c r="I10" s="73" t="n">
        <v>0.0513</v>
      </c>
      <c r="J10" s="73" t="n">
        <v>0.0513</v>
      </c>
      <c r="K10" s="73" t="n">
        <v>0.0513</v>
      </c>
      <c r="L10" s="71" t="n">
        <v>0.0513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0.0718</v>
      </c>
      <c r="C12" s="69" t="n">
        <v>0.1544</v>
      </c>
      <c r="D12" s="69" t="n">
        <v>0.1153</v>
      </c>
      <c r="E12" s="69" t="n">
        <v>0.1571</v>
      </c>
      <c r="F12" s="69" t="n">
        <v>0.1773</v>
      </c>
      <c r="G12" s="73" t="n">
        <v>0.1773</v>
      </c>
      <c r="H12" s="73" t="n">
        <v>0.1773</v>
      </c>
      <c r="I12" s="73" t="n">
        <v>0.1773</v>
      </c>
      <c r="J12" s="73" t="n">
        <v>0.1773</v>
      </c>
      <c r="K12" s="73" t="n">
        <v>0.1773</v>
      </c>
      <c r="L12" s="71" t="n">
        <v>0.1773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78740</v>
      </c>
      <c r="C15" s="75" t="n">
        <v>79990</v>
      </c>
      <c r="D15" s="75" t="n">
        <v>85159</v>
      </c>
      <c r="E15" s="75" t="n">
        <v>88821</v>
      </c>
      <c r="F15" s="75" t="n">
        <v>94193</v>
      </c>
      <c r="G15" s="76" t="n">
        <v>100772.9</v>
      </c>
      <c r="H15" s="76" t="n">
        <v>107294.2</v>
      </c>
      <c r="I15" s="76" t="n">
        <v>114554.7</v>
      </c>
      <c r="J15" s="76" t="n">
        <v>121124.4</v>
      </c>
      <c r="K15" s="76" t="n">
        <v>131069.7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100,402 — 100,983</t>
        </is>
      </c>
      <c r="H16" s="80" t="inlineStr">
        <is>
          <t>104,625 — 109,423</t>
        </is>
      </c>
      <c r="I16" s="80" t="inlineStr">
        <is>
          <t>114,487 — 114,623</t>
        </is>
      </c>
      <c r="J16" s="80" t="inlineStr">
        <is>
          <t>118,043 — 123,359</t>
        </is>
      </c>
      <c r="K16" s="80" t="inlineStr">
        <is>
          <t>127,735 — 133,488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16</v>
      </c>
      <c r="H17" s="82" t="n">
        <v>18</v>
      </c>
      <c r="I17" s="82" t="n">
        <v>17</v>
      </c>
      <c r="J17" s="82" t="n">
        <v>11</v>
      </c>
      <c r="K17" s="82" t="n">
        <v>15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3" t="inlineStr">
        <is>
          <t>—</t>
        </is>
      </c>
      <c r="C18" s="84">
        <f>IFERROR(C15/B15-1,"")</f>
        <v/>
      </c>
      <c r="D18" s="84">
        <f>IFERROR(D15/C15-1,"")</f>
        <v/>
      </c>
      <c r="E18" s="84">
        <f>IFERROR(E15/D15-1,"")</f>
        <v/>
      </c>
      <c r="F18" s="84">
        <f>IFERROR(F15/E15-1,"")</f>
        <v/>
      </c>
      <c r="G18" s="85">
        <f>IFERROR(G15/F15-1,"")</f>
        <v/>
      </c>
      <c r="H18" s="85">
        <f>IFERROR(H15/G15-1,"")</f>
        <v/>
      </c>
      <c r="I18" s="85">
        <f>IFERROR(I15/H15-1,"")</f>
        <v/>
      </c>
      <c r="J18" s="85">
        <f>IFERROR(J15/I15-1,"")</f>
        <v/>
      </c>
      <c r="K18" s="85">
        <f>IFERROR(K15/J15-1,"")</f>
        <v/>
      </c>
      <c r="L18" s="86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26751</v>
      </c>
      <c r="C20" s="75" t="n">
        <v>26605</v>
      </c>
      <c r="D20" s="75" t="n">
        <v>23320</v>
      </c>
      <c r="E20" s="75" t="n">
        <v>24781</v>
      </c>
      <c r="F20" s="75" t="n">
        <v>41055</v>
      </c>
      <c r="G20" s="76" t="n">
        <v>33231.3</v>
      </c>
      <c r="H20" s="76" t="n">
        <v>35381.8</v>
      </c>
      <c r="I20" s="76" t="n">
        <v>37776</v>
      </c>
      <c r="J20" s="76" t="n">
        <v>39942.5</v>
      </c>
      <c r="K20" s="76" t="n">
        <v>43222.1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33,109 — 33,301</t>
        </is>
      </c>
      <c r="H21" s="80" t="inlineStr">
        <is>
          <t>34,502 — 36,084</t>
        </is>
      </c>
      <c r="I21" s="80" t="inlineStr">
        <is>
          <t>37,754 — 37,798</t>
        </is>
      </c>
      <c r="J21" s="80" t="inlineStr">
        <is>
          <t>38,926 — 40,679</t>
        </is>
      </c>
      <c r="K21" s="80" t="inlineStr">
        <is>
          <t>42,122 — 44,019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4">
        <f>IFERROR(B20/B15,"")</f>
        <v/>
      </c>
      <c r="C22" s="84">
        <f>IFERROR(C20/C15,"")</f>
        <v/>
      </c>
      <c r="D22" s="84">
        <f>IFERROR(D20/D15,"")</f>
        <v/>
      </c>
      <c r="E22" s="84">
        <f>IFERROR(E20/E15,"")</f>
        <v/>
      </c>
      <c r="F22" s="84">
        <f>IFERROR(F20/F15,"")</f>
        <v/>
      </c>
      <c r="G22" s="85">
        <f>IFERROR(G20/G15,"")</f>
        <v/>
      </c>
      <c r="H22" s="85">
        <f>IFERROR(H20/H15,"")</f>
        <v/>
      </c>
      <c r="I22" s="85">
        <f>IFERROR(I20/I15,"")</f>
        <v/>
      </c>
      <c r="J22" s="85">
        <f>IFERROR(J20/J15,"")</f>
        <v/>
      </c>
      <c r="K22" s="85">
        <f>IFERROR(K20/K15,"")</f>
        <v/>
      </c>
      <c r="L22" s="86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7" t="inlineStr">
        <is>
          <t xml:space="preserve">  Less: D&amp;A</t>
        </is>
      </c>
      <c r="B25" s="75" t="n">
        <v>-7390</v>
      </c>
      <c r="C25" s="75" t="n">
        <v>-6970</v>
      </c>
      <c r="D25" s="75" t="n">
        <v>-7486</v>
      </c>
      <c r="E25" s="75" t="n">
        <v>-7339</v>
      </c>
      <c r="F25" s="75" t="n">
        <v>-7503</v>
      </c>
      <c r="G25" s="88">
        <f>-G15*G9</f>
        <v/>
      </c>
      <c r="H25" s="88">
        <f>-H15*H9</f>
        <v/>
      </c>
      <c r="I25" s="88">
        <f>-I15*I9</f>
        <v/>
      </c>
      <c r="J25" s="88">
        <f>-J15*J9</f>
        <v/>
      </c>
      <c r="K25" s="88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89" t="n">
        <v>19361</v>
      </c>
      <c r="C26" s="89" t="n">
        <v>19635</v>
      </c>
      <c r="D26" s="89" t="n">
        <v>15834</v>
      </c>
      <c r="E26" s="89" t="n">
        <v>17442</v>
      </c>
      <c r="F26" s="89" t="n">
        <v>33552</v>
      </c>
      <c r="G26" s="90">
        <f>G20+G25</f>
        <v/>
      </c>
      <c r="H26" s="90">
        <f>H20+H25</f>
        <v/>
      </c>
      <c r="I26" s="90">
        <f>I20+I25</f>
        <v/>
      </c>
      <c r="J26" s="90">
        <f>J20+J25</f>
        <v/>
      </c>
      <c r="K26" s="90">
        <f>K20+K25</f>
        <v/>
      </c>
      <c r="L26" s="90">
        <f>L20+L25</f>
        <v/>
      </c>
      <c r="M26" s="78">
        <f> EBITDA + D&amp;A  (GAAP operating income, EBIT)</f>
        <v/>
      </c>
    </row>
    <row r="27" ht="20" customHeight="1">
      <c r="A27" s="87" t="inlineStr">
        <is>
          <t xml:space="preserve">  Less: Tax on EBIT  (unlevered)</t>
        </is>
      </c>
      <c r="B27" s="91" t="n">
        <v>-1390.1</v>
      </c>
      <c r="C27" s="91" t="n">
        <v>-3031.6</v>
      </c>
      <c r="D27" s="91" t="n">
        <v>-1825</v>
      </c>
      <c r="E27" s="91" t="n">
        <v>-2739.6</v>
      </c>
      <c r="F27" s="91" t="n">
        <v>-5949.2</v>
      </c>
      <c r="G27" s="92">
        <f>-G26*G12</f>
        <v/>
      </c>
      <c r="H27" s="92">
        <f>-H26*H12</f>
        <v/>
      </c>
      <c r="I27" s="92">
        <f>-I26*I12</f>
        <v/>
      </c>
      <c r="J27" s="92">
        <f>-J26*J12</f>
        <v/>
      </c>
      <c r="K27" s="92">
        <f>-K26*K12</f>
        <v/>
      </c>
      <c r="L27" s="92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89" t="n">
        <v>17970.9</v>
      </c>
      <c r="C28" s="89" t="n">
        <v>16603.4</v>
      </c>
      <c r="D28" s="89" t="n">
        <v>14009</v>
      </c>
      <c r="E28" s="89" t="n">
        <v>14702.4</v>
      </c>
      <c r="F28" s="89" t="n">
        <v>27602.8</v>
      </c>
      <c r="G28" s="93">
        <f>G26+G27</f>
        <v/>
      </c>
      <c r="H28" s="93">
        <f>H26+H27</f>
        <v/>
      </c>
      <c r="I28" s="93">
        <f>I26+I27</f>
        <v/>
      </c>
      <c r="J28" s="93">
        <f>J26+J27</f>
        <v/>
      </c>
      <c r="K28" s="93">
        <f>K26+K27</f>
        <v/>
      </c>
      <c r="L28" s="93">
        <f>L26+L27</f>
        <v/>
      </c>
      <c r="M28" s="78">
        <f> EBIT × (1 − tax rate)</f>
        <v/>
      </c>
    </row>
    <row r="29" ht="20" customHeight="1">
      <c r="A29" s="87" t="inlineStr">
        <is>
          <t xml:space="preserve">  (+) D&amp;A add-back  (non-cash)</t>
        </is>
      </c>
      <c r="B29" s="91" t="n">
        <v>7390</v>
      </c>
      <c r="C29" s="91" t="n">
        <v>6970</v>
      </c>
      <c r="D29" s="91" t="n">
        <v>7486</v>
      </c>
      <c r="E29" s="91" t="n">
        <v>7339</v>
      </c>
      <c r="F29" s="91" t="n">
        <v>7503</v>
      </c>
      <c r="G29" s="92">
        <f>-G25</f>
        <v/>
      </c>
      <c r="H29" s="92">
        <f>-H25</f>
        <v/>
      </c>
      <c r="I29" s="92">
        <f>-I25</f>
        <v/>
      </c>
      <c r="J29" s="92">
        <f>-J25</f>
        <v/>
      </c>
      <c r="K29" s="92">
        <f>-K25</f>
        <v/>
      </c>
      <c r="L29" s="92">
        <f>-L25</f>
        <v/>
      </c>
      <c r="M29" s="78">
        <f> D&amp;A added back (non-cash charge — converts NOPAT to cash basis)</f>
        <v/>
      </c>
    </row>
    <row r="30" ht="20" customHeight="1">
      <c r="A30" s="87" t="inlineStr">
        <is>
          <t xml:space="preserve">  (−) Capital Expenditures</t>
        </is>
      </c>
      <c r="B30" s="75" t="n">
        <v>-3652</v>
      </c>
      <c r="C30" s="75" t="n">
        <v>-4009</v>
      </c>
      <c r="D30" s="75" t="n">
        <v>-4543</v>
      </c>
      <c r="E30" s="75" t="n">
        <v>-4424</v>
      </c>
      <c r="F30" s="75" t="n">
        <v>-4832</v>
      </c>
      <c r="G30" s="92">
        <f>-G15*G10</f>
        <v/>
      </c>
      <c r="H30" s="92">
        <f>-H15*H10</f>
        <v/>
      </c>
      <c r="I30" s="92">
        <f>-I15*I10</f>
        <v/>
      </c>
      <c r="J30" s="92">
        <f>-J15*J10</f>
        <v/>
      </c>
      <c r="K30" s="92">
        <f>-K15*K10</f>
        <v/>
      </c>
      <c r="L30" s="92">
        <f>-L15*L10</f>
        <v/>
      </c>
      <c r="M30" s="78">
        <f> Revenue × CapEx % assumption  (negative = cash outflow)</f>
        <v/>
      </c>
    </row>
    <row r="31" ht="20" customHeight="1">
      <c r="A31" s="87" t="inlineStr">
        <is>
          <t xml:space="preserve">  (−) Increase in Net Working Capital</t>
        </is>
      </c>
      <c r="B31" s="91" t="n"/>
      <c r="C31" s="91" t="n"/>
      <c r="D31" s="91" t="n"/>
      <c r="E31" s="91" t="n"/>
      <c r="F31" s="91" t="n"/>
      <c r="G31" s="92">
        <f>-G15*G11</f>
        <v/>
      </c>
      <c r="H31" s="92">
        <f>-H15*H11</f>
        <v/>
      </c>
      <c r="I31" s="92">
        <f>-I15*I11</f>
        <v/>
      </c>
      <c r="J31" s="92">
        <f>-J15*J11</f>
        <v/>
      </c>
      <c r="K31" s="92">
        <f>-K15*K11</f>
        <v/>
      </c>
      <c r="L31" s="92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89" t="n">
        <v>21708.9</v>
      </c>
      <c r="C32" s="89" t="n">
        <v>19564.4</v>
      </c>
      <c r="D32" s="89" t="n">
        <v>16952</v>
      </c>
      <c r="E32" s="89" t="n">
        <v>17617.4</v>
      </c>
      <c r="F32" s="89" t="n">
        <v>30273.8</v>
      </c>
      <c r="G32" s="93">
        <f>G28+G29+G30+G31</f>
        <v/>
      </c>
      <c r="H32" s="93">
        <f>H28+H29+H30+H31</f>
        <v/>
      </c>
      <c r="I32" s="93">
        <f>I28+I29+I30+I31</f>
        <v/>
      </c>
      <c r="J32" s="93">
        <f>J28+J29+J30+J31</f>
        <v/>
      </c>
      <c r="K32" s="93">
        <f>K28+K29+K30+K31</f>
        <v/>
      </c>
      <c r="L32" s="93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4" t="n">
        <v>0.2757</v>
      </c>
      <c r="C33" s="84" t="n">
        <v>0.2446</v>
      </c>
      <c r="D33" s="84" t="n">
        <v>0.1991</v>
      </c>
      <c r="E33" s="84" t="n">
        <v>0.1983</v>
      </c>
      <c r="F33" s="84" t="n">
        <v>0.3214</v>
      </c>
      <c r="G33" s="94">
        <f>IFERROR(G32/G15,"")</f>
        <v/>
      </c>
      <c r="H33" s="94">
        <f>IFERROR(H32/H15,"")</f>
        <v/>
      </c>
      <c r="I33" s="94">
        <f>IFERROR(I32/I15,"")</f>
        <v/>
      </c>
      <c r="J33" s="94">
        <f>IFERROR(J32/J15,"")</f>
        <v/>
      </c>
      <c r="K33" s="94">
        <f>IFERROR(K32/K15,"")</f>
        <v/>
      </c>
      <c r="L33" s="94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5">
        <f>WACC!B45</f>
        <v/>
      </c>
      <c r="C36" s="96" t="n"/>
      <c r="D36" s="96" t="n"/>
      <c r="E36" s="96" t="n"/>
      <c r="F36" s="96" t="n"/>
      <c r="G36" s="96" t="n"/>
      <c r="H36" s="96" t="n"/>
      <c r="I36" s="96" t="n"/>
      <c r="J36" s="96" t="n"/>
      <c r="K36" s="96" t="n"/>
      <c r="L36" s="96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7" t="n">
        <v>0.03</v>
      </c>
      <c r="C37" s="96" t="n"/>
      <c r="D37" s="96" t="n"/>
      <c r="E37" s="96" t="n"/>
      <c r="F37" s="96" t="n"/>
      <c r="G37" s="96" t="n"/>
      <c r="H37" s="96" t="n"/>
      <c r="I37" s="96" t="n"/>
      <c r="J37" s="96" t="n"/>
      <c r="K37" s="96" t="n"/>
      <c r="L37" s="96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8" t="n">
        <v>20</v>
      </c>
      <c r="C38" s="96" t="n"/>
      <c r="D38" s="96" t="n"/>
      <c r="E38" s="96" t="n"/>
      <c r="F38" s="96" t="n"/>
      <c r="G38" s="96" t="n"/>
      <c r="H38" s="96" t="n"/>
      <c r="I38" s="96" t="n"/>
      <c r="J38" s="96" t="n"/>
      <c r="K38" s="96" t="n"/>
      <c r="L38" s="96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99" t="inlineStr">
        <is>
          <t>Terminal Year UFCF  (grown by g)</t>
        </is>
      </c>
      <c r="B40" s="100">
        <f>L32</f>
        <v/>
      </c>
      <c r="C40" s="101" t="n"/>
      <c r="D40" s="101" t="n"/>
      <c r="E40" s="101" t="n"/>
      <c r="F40" s="101" t="n"/>
      <c r="G40" s="101" t="n"/>
      <c r="H40" s="101" t="n"/>
      <c r="I40" s="101" t="n"/>
      <c r="J40" s="101" t="n"/>
      <c r="K40" s="101" t="n"/>
      <c r="L40" s="101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3">
        <f>B40/(B36-B37)</f>
        <v/>
      </c>
      <c r="C41" s="102" t="n"/>
      <c r="D41" s="102" t="n"/>
      <c r="E41" s="102" t="n"/>
      <c r="F41" s="102" t="n"/>
      <c r="G41" s="102" t="n"/>
      <c r="H41" s="102" t="n"/>
      <c r="I41" s="102" t="n"/>
      <c r="J41" s="102" t="n"/>
      <c r="K41" s="102" t="n"/>
      <c r="L41" s="102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3">
        <f>L20*B38</f>
        <v/>
      </c>
      <c r="C42" s="102" t="n"/>
      <c r="D42" s="102" t="n"/>
      <c r="E42" s="102" t="n"/>
      <c r="F42" s="102" t="n"/>
      <c r="G42" s="102" t="n"/>
      <c r="H42" s="102" t="n"/>
      <c r="I42" s="102" t="n"/>
      <c r="J42" s="102" t="n"/>
      <c r="K42" s="102" t="n"/>
      <c r="L42" s="102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99" t="inlineStr">
        <is>
          <t>Discount Period  (mid-year convention)</t>
        </is>
      </c>
      <c r="G45" s="103" t="n">
        <v>0.5</v>
      </c>
      <c r="H45" s="103" t="n">
        <v>1.5</v>
      </c>
      <c r="I45" s="103" t="n">
        <v>2.5</v>
      </c>
      <c r="J45" s="103" t="n">
        <v>3.5</v>
      </c>
      <c r="K45" s="103" t="n">
        <v>4.5</v>
      </c>
      <c r="L45" s="104" t="n">
        <v>5</v>
      </c>
      <c r="M45" s="78" t="inlineStr">
        <is>
          <t>Mid-year: 0.5, 1.5, 2.5...  assumes FCF received evenly through each year</t>
        </is>
      </c>
    </row>
    <row r="46" ht="20" customHeight="1">
      <c r="A46" s="99" t="inlineStr">
        <is>
          <t>Discount Factor  =  1 / (1 + WACC) ^ period</t>
        </is>
      </c>
      <c r="G46" s="105">
        <f>1/(1+B36)^G45</f>
        <v/>
      </c>
      <c r="H46" s="105">
        <f>1/(1+B36)^H45</f>
        <v/>
      </c>
      <c r="I46" s="105">
        <f>1/(1+B36)^I45</f>
        <v/>
      </c>
      <c r="J46" s="105">
        <f>1/(1+B36)^J45</f>
        <v/>
      </c>
      <c r="K46" s="105">
        <f>1/(1+B36)^K45</f>
        <v/>
      </c>
      <c r="L46" s="106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3">
        <f>G32*G46</f>
        <v/>
      </c>
      <c r="H47" s="93">
        <f>H32*H46</f>
        <v/>
      </c>
      <c r="I47" s="93">
        <f>I32*I46</f>
        <v/>
      </c>
      <c r="J47" s="93">
        <f>J32*J46</f>
        <v/>
      </c>
      <c r="K47" s="93">
        <f>K32*K46</f>
        <v/>
      </c>
      <c r="L47" s="102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0">
        <f>G47+H47+I47+J47+K47</f>
        <v/>
      </c>
      <c r="C48" s="107" t="n"/>
      <c r="D48" s="107" t="n"/>
      <c r="E48" s="107" t="n"/>
      <c r="F48" s="107" t="n"/>
      <c r="G48" s="107" t="n"/>
      <c r="H48" s="107" t="n"/>
      <c r="I48" s="107" t="n"/>
      <c r="J48" s="107" t="n"/>
      <c r="K48" s="107" t="n"/>
      <c r="L48" s="107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0">
        <f>B41*L46</f>
        <v/>
      </c>
      <c r="C49" s="107" t="n"/>
      <c r="D49" s="107" t="n"/>
      <c r="E49" s="107" t="n"/>
      <c r="F49" s="107" t="n"/>
      <c r="G49" s="107" t="n"/>
      <c r="H49" s="107" t="n"/>
      <c r="I49" s="107" t="n"/>
      <c r="J49" s="107" t="n"/>
      <c r="K49" s="107" t="n"/>
      <c r="L49" s="107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0">
        <f>B42*L46</f>
        <v/>
      </c>
      <c r="C50" s="107" t="n"/>
      <c r="D50" s="107" t="n"/>
      <c r="E50" s="107" t="n"/>
      <c r="F50" s="107" t="n"/>
      <c r="G50" s="107" t="n"/>
      <c r="H50" s="107" t="n"/>
      <c r="I50" s="107" t="n"/>
      <c r="J50" s="107" t="n"/>
      <c r="K50" s="107" t="n"/>
      <c r="L50" s="107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3">
        <f>B48+B49</f>
        <v/>
      </c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</row>
    <row r="54">
      <c r="A54" s="74" t="inlineStr">
        <is>
          <t>Enterprise Value  [Exit Multiple]</t>
        </is>
      </c>
      <c r="B54" s="93">
        <f>B48+B50</f>
        <v/>
      </c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</row>
    <row r="55" ht="20" customHeight="1">
      <c r="A55" s="87" t="inlineStr">
        <is>
          <t xml:space="preserve">  Less: Net Debt  (Debt − Cash)</t>
        </is>
      </c>
      <c r="B55" s="100" t="n">
        <v>28224</v>
      </c>
      <c r="C55" s="101" t="n"/>
      <c r="D55" s="101" t="n"/>
      <c r="E55" s="101" t="n"/>
      <c r="F55" s="101" t="n"/>
      <c r="G55" s="101" t="n"/>
      <c r="H55" s="101" t="n"/>
      <c r="I55" s="101" t="n"/>
      <c r="J55" s="101" t="n"/>
      <c r="K55" s="101" t="n"/>
      <c r="L55" s="101" t="n"/>
      <c r="M55" s="78" t="inlineStr">
        <is>
          <t>Auto-linked from Balance Sheet: Debt $47,933mm − Cash $19,709mm = $28,224mm  (negative = net cash)</t>
        </is>
      </c>
    </row>
    <row r="56" ht="20" customHeight="1">
      <c r="A56" s="87" t="inlineStr">
        <is>
          <t xml:space="preserve">  Less: Minority Interest</t>
        </is>
      </c>
      <c r="B56" s="100" t="n">
        <v>0</v>
      </c>
      <c r="C56" s="101" t="n"/>
      <c r="D56" s="101" t="n"/>
      <c r="E56" s="101" t="n"/>
      <c r="F56" s="101" t="n"/>
      <c r="G56" s="101" t="n"/>
      <c r="H56" s="101" t="n"/>
      <c r="I56" s="101" t="n"/>
      <c r="J56" s="101" t="n"/>
      <c r="K56" s="101" t="n"/>
      <c r="L56" s="101" t="n"/>
      <c r="M56" s="78" t="inlineStr">
        <is>
          <t>Auto-linked from Balance Sheet: minorityInterest</t>
        </is>
      </c>
    </row>
    <row r="57" ht="20" customHeight="1">
      <c r="A57" s="87" t="inlineStr">
        <is>
          <t xml:space="preserve">  Shares Outstanding — Diluted  (mm)</t>
        </is>
      </c>
      <c r="B57" s="100" t="n">
        <v>2429.4</v>
      </c>
      <c r="C57" s="101" t="n"/>
      <c r="D57" s="101" t="n"/>
      <c r="E57" s="101" t="n"/>
      <c r="F57" s="101" t="n"/>
      <c r="G57" s="101" t="n"/>
      <c r="H57" s="101" t="n"/>
      <c r="I57" s="101" t="n"/>
      <c r="J57" s="101" t="n"/>
      <c r="K57" s="101" t="n"/>
      <c r="L57" s="101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8">
        <f>IFERROR((B53-B55-B56)/B57,"")</f>
        <v/>
      </c>
      <c r="C59" s="102" t="n"/>
      <c r="D59" s="102" t="n"/>
      <c r="E59" s="102" t="n"/>
      <c r="F59" s="102" t="n"/>
      <c r="G59" s="102" t="n"/>
      <c r="H59" s="102" t="n"/>
      <c r="I59" s="102" t="n"/>
      <c r="J59" s="102" t="n"/>
      <c r="K59" s="102" t="n"/>
      <c r="L59" s="102" t="n"/>
      <c r="M59" s="102" t="n"/>
    </row>
    <row r="60">
      <c r="A60" s="74" t="inlineStr">
        <is>
          <t>Implied Share Price  [Exit Multiple]  ($)</t>
        </is>
      </c>
      <c r="B60" s="108">
        <f>IFERROR((B54-B55-B56)/B57,"")</f>
        <v/>
      </c>
      <c r="C60" s="102" t="n"/>
      <c r="D60" s="102" t="n"/>
      <c r="E60" s="102" t="n"/>
      <c r="F60" s="102" t="n"/>
      <c r="G60" s="102" t="n"/>
      <c r="H60" s="102" t="n"/>
      <c r="I60" s="102" t="n"/>
      <c r="J60" s="102" t="n"/>
      <c r="K60" s="102" t="n"/>
      <c r="L60" s="102" t="n"/>
      <c r="M60" s="102" t="n"/>
    </row>
    <row r="61" ht="20" customHeight="1">
      <c r="A61" s="99" t="inlineStr">
        <is>
          <t>Current Market Price  ($)</t>
        </is>
      </c>
      <c r="B61" s="109" t="n">
        <v>234.18</v>
      </c>
      <c r="C61" s="101" t="n"/>
      <c r="D61" s="101" t="n"/>
      <c r="E61" s="101" t="n"/>
      <c r="F61" s="101" t="n"/>
      <c r="G61" s="101" t="n"/>
      <c r="H61" s="101" t="n"/>
      <c r="I61" s="101" t="n"/>
      <c r="J61" s="101" t="n"/>
      <c r="K61" s="101" t="n"/>
      <c r="L61" s="101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0">
        <f>IFERROR(B59/B61-1,"")</f>
        <v/>
      </c>
      <c r="C62" s="107" t="n"/>
      <c r="D62" s="107" t="n"/>
      <c r="E62" s="107" t="n"/>
      <c r="F62" s="107" t="n"/>
      <c r="G62" s="107" t="n"/>
      <c r="H62" s="107" t="n"/>
      <c r="I62" s="107" t="n"/>
      <c r="J62" s="107" t="n"/>
      <c r="K62" s="107" t="n"/>
      <c r="L62" s="107" t="n"/>
      <c r="M62" s="107" t="n"/>
    </row>
    <row r="63">
      <c r="A63" s="62" t="inlineStr">
        <is>
          <t>Upside / (Downside)  [Exit Multiple]</t>
        </is>
      </c>
      <c r="B63" s="110">
        <f>IFERROR(B60/B61-1,"")</f>
        <v/>
      </c>
      <c r="C63" s="107" t="n"/>
      <c r="D63" s="107" t="n"/>
      <c r="E63" s="107" t="n"/>
      <c r="F63" s="107" t="n"/>
      <c r="G63" s="107" t="n"/>
      <c r="H63" s="107" t="n"/>
      <c r="I63" s="107" t="n"/>
      <c r="J63" s="107" t="n"/>
      <c r="K63" s="107" t="n"/>
      <c r="L63" s="107" t="n"/>
      <c r="M63" s="107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1" t="inlineStr">
        <is>
          <t>JS SCORECARD — JNJ  |  Master Prompt v2  |  18 Apr 2026</t>
        </is>
      </c>
    </row>
    <row r="2" ht="18" customHeight="1">
      <c r="A2" s="112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3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4" t="inlineStr">
        <is>
          <t>CRITERION</t>
        </is>
      </c>
      <c r="B6" s="115" t="inlineStr">
        <is>
          <t>PART</t>
        </is>
      </c>
      <c r="C6" s="115" t="inlineStr">
        <is>
          <t>WEIGHT %</t>
        </is>
      </c>
      <c r="D6" s="115" t="inlineStr">
        <is>
          <t>CALCULATED VALUE</t>
        </is>
      </c>
      <c r="E6" s="115" t="inlineStr">
        <is>
          <t>TIER  ▼</t>
        </is>
      </c>
      <c r="F6" s="115" t="inlineStr">
        <is>
          <t>SCORE</t>
        </is>
      </c>
      <c r="G6" s="115" t="inlineStr">
        <is>
          <t>WTD SCORE</t>
        </is>
      </c>
      <c r="H6" s="114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6" t="inlineStr">
        <is>
          <t xml:space="preserve">  Business Clarity</t>
        </is>
      </c>
      <c r="B8" s="117" t="inlineStr">
        <is>
          <t>P1</t>
        </is>
      </c>
      <c r="C8" s="118" t="n">
        <v>0.025</v>
      </c>
      <c r="D8" s="119" t="inlineStr">
        <is>
          <t>— user input required</t>
        </is>
      </c>
      <c r="E8" s="120" t="n"/>
      <c r="F8" s="121">
        <f>IF(E8="HIGH",10,IF(E8="MOD-HIGH",7,IF(E8="MOD-LOW",3,IF(E8="LOW",0,""))))</f>
        <v/>
      </c>
      <c r="G8" s="122">
        <f>IF(F8="","",C8*F8)</f>
        <v/>
      </c>
      <c r="H8" s="123" t="inlineStr"/>
    </row>
    <row r="9" ht="18" customHeight="1">
      <c r="A9" s="124" t="inlineStr">
        <is>
          <t xml:space="preserve">  Moat Profile</t>
        </is>
      </c>
      <c r="B9" s="125" t="inlineStr">
        <is>
          <t>P1</t>
        </is>
      </c>
      <c r="C9" s="126" t="n">
        <v>0.1</v>
      </c>
      <c r="D9" s="127" t="inlineStr">
        <is>
          <t>GM 72.8% ✓ (&gt;40%)  |  GM trend +3.5% ✓ (&gt;+1pp)  |  ROIC-WACC +13.7% ✓ (&gt;+5pp)  |  Rev consistency σ=1.9% ✓ (&lt;8%)  [4/4 indicators positive — proxy score]</t>
        </is>
      </c>
      <c r="E9" s="128" t="inlineStr">
        <is>
          <t>HIGH</t>
        </is>
      </c>
      <c r="F9" s="129">
        <f>IF(E9="HIGH",10,IF(E9="MOD-HIGH",7,IF(E9="MOD-LOW",3,IF(E9="LOW",0,""))))</f>
        <v/>
      </c>
      <c r="G9" s="130">
        <f>IF(F9="","",C9*F9)</f>
        <v/>
      </c>
      <c r="H9" s="131" t="inlineStr">
        <is>
          <t>GM 72.8% ✓ (&gt;40%)  |  GM trend +3.5% ✓ (&gt;+1pp)  |  ROIC-WACC +13.7% ✓ (&gt;+5pp)  |  Rev consistency σ=1.9% ✓ (&lt;8%)  [4/4 indicators positive — proxy score]</t>
        </is>
      </c>
    </row>
    <row r="10" ht="18" customHeight="1">
      <c r="A10" s="116" t="inlineStr">
        <is>
          <t xml:space="preserve">  Long-Term Potential</t>
        </is>
      </c>
      <c r="B10" s="117" t="inlineStr">
        <is>
          <t>P1</t>
        </is>
      </c>
      <c r="C10" s="118" t="n">
        <v>0.1</v>
      </c>
      <c r="D10" s="119" t="inlineStr">
        <is>
          <t>— user input required</t>
        </is>
      </c>
      <c r="E10" s="120" t="n"/>
      <c r="F10" s="121">
        <f>IF(E10="HIGH",10,IF(E10="MOD-HIGH",7,IF(E10="MOD-LOW",3,IF(E10="LOW",0,""))))</f>
        <v/>
      </c>
      <c r="G10" s="122">
        <f>IF(F10="","",C10*F10)</f>
        <v/>
      </c>
      <c r="H10" s="123" t="inlineStr"/>
    </row>
    <row r="11" ht="18" customHeight="1">
      <c r="A11" s="124" t="inlineStr">
        <is>
          <t xml:space="preserve">  Management</t>
        </is>
      </c>
      <c r="B11" s="125" t="inlineStr">
        <is>
          <t>P1</t>
        </is>
      </c>
      <c r="C11" s="126" t="n">
        <v>0.075</v>
      </c>
      <c r="D11" s="127" t="inlineStr">
        <is>
          <t>ROIC trend +2.0% ✓ (≥-2pp)  |  GM maintained +3.5% ✓  |  Op margin +0.9% ✓ (≥-2pp)  |  Capital returns MOD-LOW ✗  [3/4 indicators positive — proxy score]</t>
        </is>
      </c>
      <c r="E11" s="132" t="inlineStr">
        <is>
          <t>MOD-HIGH</t>
        </is>
      </c>
      <c r="F11" s="129">
        <f>IF(E11="HIGH",10,IF(E11="MOD-HIGH",7,IF(E11="MOD-LOW",3,IF(E11="LOW",0,""))))</f>
        <v/>
      </c>
      <c r="G11" s="130">
        <f>IF(F11="","",C11*F11)</f>
        <v/>
      </c>
      <c r="H11" s="131" t="inlineStr">
        <is>
          <t>ROIC trend +2.0% ✓ (≥-2pp)  |  GM maintained +3.5% ✓  |  Op margin +0.9% ✓ (≥-2pp)  |  Capital returns MOD-LOW ✗  [3/4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4" t="inlineStr">
        <is>
          <t xml:space="preserve">  Revenue 3yr CAGR</t>
        </is>
      </c>
      <c r="B13" s="125" t="inlineStr">
        <is>
          <t>P2</t>
        </is>
      </c>
      <c r="C13" s="126" t="n">
        <v>0.1</v>
      </c>
      <c r="D13" s="127" t="inlineStr">
        <is>
          <t>5.6%</t>
        </is>
      </c>
      <c r="E13" s="133" t="inlineStr">
        <is>
          <t>MOD-LOW</t>
        </is>
      </c>
      <c r="F13" s="129">
        <f>IF(E13="HIGH",10,IF(E13="MOD-HIGH",7,IF(E13="MOD-LOW",3,IF(E13="LOW",0,""))))</f>
        <v/>
      </c>
      <c r="G13" s="130">
        <f>IF(F13="","",C13*F13)</f>
        <v/>
      </c>
      <c r="H13" s="131" t="inlineStr">
        <is>
          <t>5.6%</t>
        </is>
      </c>
    </row>
    <row r="14" ht="18" customHeight="1">
      <c r="A14" s="124" t="inlineStr">
        <is>
          <t xml:space="preserve">  Cash Quality  (FCF / Net Income)</t>
        </is>
      </c>
      <c r="B14" s="125" t="inlineStr">
        <is>
          <t>P2</t>
        </is>
      </c>
      <c r="C14" s="126" t="n">
        <v>0.1</v>
      </c>
      <c r="D14" s="127" t="inlineStr">
        <is>
          <t>73%  [trend penalty: declined &gt;15pp vs 3yr ago]</t>
        </is>
      </c>
      <c r="E14" s="133" t="inlineStr">
        <is>
          <t>MOD-LOW</t>
        </is>
      </c>
      <c r="F14" s="129">
        <f>IF(E14="HIGH",10,IF(E14="MOD-HIGH",7,IF(E14="MOD-LOW",3,IF(E14="LOW",0,""))))</f>
        <v/>
      </c>
      <c r="G14" s="130">
        <f>IF(F14="","",C14*F14)</f>
        <v/>
      </c>
      <c r="H14" s="131" t="inlineStr">
        <is>
          <t>73%  [trend penalty: declined &gt;15pp vs 3yr ago]</t>
        </is>
      </c>
    </row>
    <row r="15" ht="18" customHeight="1">
      <c r="A15" s="124" t="inlineStr">
        <is>
          <t xml:space="preserve">  Capital Returns</t>
        </is>
      </c>
      <c r="B15" s="125" t="inlineStr">
        <is>
          <t>P2</t>
        </is>
      </c>
      <c r="C15" s="126" t="n">
        <v>0.05</v>
      </c>
      <c r="D15" s="127" t="inlineStr">
        <is>
          <t>$5,953mm latest FY — debt-funded</t>
        </is>
      </c>
      <c r="E15" s="133" t="inlineStr">
        <is>
          <t>MOD-LOW</t>
        </is>
      </c>
      <c r="F15" s="129">
        <f>IF(E15="HIGH",10,IF(E15="MOD-HIGH",7,IF(E15="MOD-LOW",3,IF(E15="LOW",0,""))))</f>
        <v/>
      </c>
      <c r="G15" s="130">
        <f>IF(F15="","",C15*F15)</f>
        <v/>
      </c>
      <c r="H15" s="131" t="inlineStr">
        <is>
          <t>$5,953mm latest FY — debt-funded</t>
        </is>
      </c>
    </row>
    <row r="16" ht="18" customHeight="1">
      <c r="A16" s="124" t="inlineStr">
        <is>
          <t xml:space="preserve">  ROIC</t>
        </is>
      </c>
      <c r="B16" s="125" t="inlineStr">
        <is>
          <t>P2</t>
        </is>
      </c>
      <c r="C16" s="126" t="n">
        <v>0.075</v>
      </c>
      <c r="D16" s="127" t="inlineStr">
        <is>
          <t>19.2%</t>
        </is>
      </c>
      <c r="E16" s="132" t="inlineStr">
        <is>
          <t>MOD-HIGH</t>
        </is>
      </c>
      <c r="F16" s="129">
        <f>IF(E16="HIGH",10,IF(E16="MOD-HIGH",7,IF(E16="MOD-LOW",3,IF(E16="LOW",0,""))))</f>
        <v/>
      </c>
      <c r="G16" s="130">
        <f>IF(F16="","",C16*F16)</f>
        <v/>
      </c>
      <c r="H16" s="131" t="inlineStr">
        <is>
          <t>19.2%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4" t="inlineStr">
        <is>
          <t xml:space="preserve">  Credit Risk  (D / EBITDA)</t>
        </is>
      </c>
      <c r="B18" s="125" t="inlineStr">
        <is>
          <t>P3</t>
        </is>
      </c>
      <c r="C18" s="126" t="n">
        <v>0.05</v>
      </c>
      <c r="D18" s="127" t="inlineStr">
        <is>
          <t>1.2x</t>
        </is>
      </c>
      <c r="E18" s="132" t="inlineStr">
        <is>
          <t>MOD-HIGH</t>
        </is>
      </c>
      <c r="F18" s="129">
        <f>IF(E18="HIGH",10,IF(E18="MOD-HIGH",7,IF(E18="MOD-LOW",3,IF(E18="LOW",0,""))))</f>
        <v/>
      </c>
      <c r="G18" s="130">
        <f>IF(F18="","",C18*F18)</f>
        <v/>
      </c>
      <c r="H18" s="131" t="inlineStr">
        <is>
          <t>1.2x</t>
        </is>
      </c>
    </row>
    <row r="19" ht="18" customHeight="1">
      <c r="A19" s="124" t="inlineStr">
        <is>
          <t xml:space="preserve">  Interest Cover  (EBIT / Interest)</t>
        </is>
      </c>
      <c r="B19" s="125" t="inlineStr">
        <is>
          <t>P3</t>
        </is>
      </c>
      <c r="C19" s="126" t="n">
        <v>0.075</v>
      </c>
      <c r="D19" s="127" t="inlineStr">
        <is>
          <t>26.4x</t>
        </is>
      </c>
      <c r="E19" s="128" t="inlineStr">
        <is>
          <t>HIGH</t>
        </is>
      </c>
      <c r="F19" s="129">
        <f>IF(E19="HIGH",10,IF(E19="MOD-HIGH",7,IF(E19="MOD-LOW",3,IF(E19="LOW",0,""))))</f>
        <v/>
      </c>
      <c r="G19" s="130">
        <f>IF(F19="","",C19*F19)</f>
        <v/>
      </c>
      <c r="H19" s="131" t="inlineStr">
        <is>
          <t>26.4x</t>
        </is>
      </c>
    </row>
    <row r="20" ht="18" customHeight="1">
      <c r="A20" s="124" t="inlineStr">
        <is>
          <t xml:space="preserve">  Execution Risk</t>
        </is>
      </c>
      <c r="B20" s="125" t="inlineStr">
        <is>
          <t>P3</t>
        </is>
      </c>
      <c r="C20" s="126" t="n">
        <v>0.05</v>
      </c>
      <c r="D20" s="127" t="inlineStr">
        <is>
          <t>Rev growth σ=1.9%  |  Op margin σ=0.9%  [proxy — lower σ = lower risk = higher score]</t>
        </is>
      </c>
      <c r="E20" s="128" t="inlineStr">
        <is>
          <t>HIGH</t>
        </is>
      </c>
      <c r="F20" s="129">
        <f>IF(E20="HIGH",10,IF(E20="MOD-HIGH",7,IF(E20="MOD-LOW",3,IF(E20="LOW",0,""))))</f>
        <v/>
      </c>
      <c r="G20" s="130">
        <f>IF(F20="","",C20*F20)</f>
        <v/>
      </c>
      <c r="H20" s="131" t="inlineStr">
        <is>
          <t>Rev growth σ=1.9%  |  Op margin σ=0.9%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4" t="inlineStr">
        <is>
          <t xml:space="preserve">  Valuation vs Median  (P/E)</t>
        </is>
      </c>
      <c r="B22" s="125" t="inlineStr">
        <is>
          <t>P4</t>
        </is>
      </c>
      <c r="C22" s="126" t="n">
        <v>0.1</v>
      </c>
      <c r="D22" s="127" t="inlineStr">
        <is>
          <t>Current 18.8x  |  5yr avg 20.4x  [-8% vs benchmark]</t>
        </is>
      </c>
      <c r="E22" s="132" t="inlineStr">
        <is>
          <t>MOD-HIGH</t>
        </is>
      </c>
      <c r="F22" s="129">
        <f>IF(E22="HIGH",10,IF(E22="MOD-HIGH",7,IF(E22="MOD-LOW",3,IF(E22="LOW",0,""))))</f>
        <v/>
      </c>
      <c r="G22" s="130">
        <f>IF(F22="","",C22*F22)</f>
        <v/>
      </c>
      <c r="H22" s="131" t="inlineStr">
        <is>
          <t>Current 18.8x  |  5yr avg 20.4x  [-8% vs benchmark]</t>
        </is>
      </c>
    </row>
    <row r="23" ht="18" customHeight="1">
      <c r="A23" s="124" t="inlineStr">
        <is>
          <t xml:space="preserve">  Valuation vs Median  (P/FCF)</t>
        </is>
      </c>
      <c r="B23" s="125" t="inlineStr">
        <is>
          <t>P4</t>
        </is>
      </c>
      <c r="C23" s="126" t="n">
        <v>0.1</v>
      </c>
      <c r="D23" s="127" t="inlineStr">
        <is>
          <t>Current 25.6x  |  5yr avg 22.9x  [+12% vs benchmark]</t>
        </is>
      </c>
      <c r="E23" s="133" t="inlineStr">
        <is>
          <t>MOD-LOW</t>
        </is>
      </c>
      <c r="F23" s="129">
        <f>IF(E23="HIGH",10,IF(E23="MOD-HIGH",7,IF(E23="MOD-LOW",3,IF(E23="LOW",0,""))))</f>
        <v/>
      </c>
      <c r="G23" s="130">
        <f>IF(F23="","",C23*F23)</f>
        <v/>
      </c>
      <c r="H23" s="131" t="inlineStr">
        <is>
          <t>Current 25.6x  |  5yr avg 22.9x  [+12%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4" t="inlineStr">
        <is>
          <t>TOTAL SCORE  (max = 100.0)</t>
        </is>
      </c>
      <c r="B25" s="135" t="n"/>
      <c r="C25" s="135" t="n"/>
      <c r="D25" s="135" t="n"/>
      <c r="E25" s="135" t="n"/>
      <c r="F25" s="135" t="n"/>
      <c r="G25" s="136">
        <f>G8+G9+G10+G11+G13+G14+G15+G16+G18+G19+G20+G22+G23</f>
        <v/>
      </c>
      <c r="H25" s="137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8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39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2026-04-18T12:00:53Z</dcterms:created>
  <dcterms:modified xsi:type="dcterms:W3CDTF">2026-04-18T12:00:56Z</dcterms:modified>
</cp:coreProperties>
</file>