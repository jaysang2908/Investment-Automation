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DIS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94425</v>
      </c>
    </row>
    <row r="8">
      <c r="A8" s="3" t="inlineStr">
        <is>
          <t>Gross Profit ($mm)</t>
        </is>
      </c>
      <c r="B8" s="7" t="n">
        <v>35659</v>
      </c>
    </row>
    <row r="9">
      <c r="A9" s="3" t="inlineStr">
        <is>
          <t>EBITDA ($mm)</t>
        </is>
      </c>
      <c r="B9" s="7" t="n">
        <v>19141</v>
      </c>
    </row>
    <row r="10">
      <c r="A10" s="3" t="inlineStr">
        <is>
          <t>EBIT ($mm)</t>
        </is>
      </c>
      <c r="B10" s="7" t="n">
        <v>13832</v>
      </c>
    </row>
    <row r="11">
      <c r="A11" s="3" t="inlineStr">
        <is>
          <t>Net Income ($mm)</t>
        </is>
      </c>
      <c r="B11" s="7" t="n">
        <v>12404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67418</v>
      </c>
      <c r="C5" s="16" t="n">
        <v>82722</v>
      </c>
      <c r="D5" s="16" t="n">
        <v>88898</v>
      </c>
      <c r="E5" s="16" t="n">
        <v>91361</v>
      </c>
      <c r="F5" s="16" t="n">
        <v>94425</v>
      </c>
    </row>
    <row r="6">
      <c r="A6" s="17" t="inlineStr">
        <is>
          <t>(2)  Cost of Revenue (COGS)</t>
        </is>
      </c>
      <c r="B6" s="18" t="n">
        <v>45131</v>
      </c>
      <c r="C6" s="18" t="n">
        <v>54401</v>
      </c>
      <c r="D6" s="18" t="n">
        <v>59201</v>
      </c>
      <c r="E6" s="18" t="n">
        <v>58698</v>
      </c>
      <c r="F6" s="18" t="n">
        <v>58766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13517</v>
      </c>
      <c r="C9" s="18" t="n">
        <v>16388</v>
      </c>
      <c r="D9" s="18" t="n">
        <v>15336</v>
      </c>
      <c r="E9" s="18" t="n">
        <v>15759</v>
      </c>
      <c r="F9" s="18" t="n">
        <v>16501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18628</v>
      </c>
      <c r="C11" s="18" t="n">
        <v>21551</v>
      </c>
      <c r="D11" s="18" t="n">
        <v>20705</v>
      </c>
      <c r="E11" s="18" t="n">
        <v>20749</v>
      </c>
      <c r="F11" s="18" t="n">
        <v>21827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5111</v>
      </c>
      <c r="C14" s="18" t="n">
        <v>5163</v>
      </c>
      <c r="D14" s="18" t="n">
        <v>5369</v>
      </c>
      <c r="E14" s="18" t="n">
        <v>4990</v>
      </c>
      <c r="F14" s="18" t="n">
        <v>5326</v>
      </c>
    </row>
    <row r="15">
      <c r="A15" s="19" t="inlineStr">
        <is>
          <t>(8)  EBIT (Operating Income)</t>
        </is>
      </c>
      <c r="B15" s="24" t="n">
        <v>3659</v>
      </c>
      <c r="C15" s="24" t="n">
        <v>6770</v>
      </c>
      <c r="D15" s="24" t="n">
        <v>8992</v>
      </c>
      <c r="E15" s="24" t="n">
        <v>11914</v>
      </c>
      <c r="F15" s="24" t="n">
        <v>13832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1546</v>
      </c>
      <c r="C17" s="18" t="n">
        <v>1549</v>
      </c>
      <c r="D17" s="18" t="n">
        <v>1458</v>
      </c>
      <c r="E17" s="18" t="n">
        <v>1447</v>
      </c>
      <c r="F17" s="18" t="n">
        <v>1812</v>
      </c>
    </row>
    <row r="18">
      <c r="A18" s="21" t="inlineStr">
        <is>
          <t xml:space="preserve">     Interest Income</t>
        </is>
      </c>
      <c r="B18" s="18" t="n">
        <v>140</v>
      </c>
      <c r="C18" s="18" t="n">
        <v>152</v>
      </c>
      <c r="D18" s="18" t="n">
        <v>424</v>
      </c>
      <c r="E18" s="18" t="n">
        <v>406</v>
      </c>
      <c r="F18" s="18" t="n">
        <v>246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2561</v>
      </c>
      <c r="C21" s="24" t="n">
        <v>5285</v>
      </c>
      <c r="D21" s="24" t="n">
        <v>4769</v>
      </c>
      <c r="E21" s="24" t="n">
        <v>7569</v>
      </c>
      <c r="F21" s="24" t="n">
        <v>12003</v>
      </c>
    </row>
    <row r="22">
      <c r="A22" s="17" t="inlineStr">
        <is>
          <t>(11) Income Tax Expense</t>
        </is>
      </c>
      <c r="B22" s="18" t="n">
        <v>25</v>
      </c>
      <c r="C22" s="18" t="n">
        <v>1732</v>
      </c>
      <c r="D22" s="18" t="n">
        <v>1379</v>
      </c>
      <c r="E22" s="18" t="n">
        <v>1796</v>
      </c>
      <c r="F22" s="18" t="n">
        <v>-1428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1995</v>
      </c>
      <c r="C24" s="24" t="n">
        <v>3145</v>
      </c>
      <c r="D24" s="24" t="n">
        <v>2354</v>
      </c>
      <c r="E24" s="24" t="n">
        <v>4972</v>
      </c>
      <c r="F24" s="24" t="n">
        <v>12404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67418</v>
      </c>
      <c r="C30" s="16" t="n">
        <v>82722</v>
      </c>
      <c r="D30" s="16" t="n">
        <v>88898</v>
      </c>
      <c r="E30" s="16" t="n">
        <v>91361</v>
      </c>
      <c r="F30" s="16" t="n">
        <v>94425</v>
      </c>
    </row>
    <row r="31">
      <c r="A31" s="17" t="inlineStr">
        <is>
          <t>Cost of Revenue</t>
        </is>
      </c>
      <c r="B31" s="18" t="n">
        <v>45131</v>
      </c>
      <c r="C31" s="18" t="n">
        <v>54401</v>
      </c>
      <c r="D31" s="18" t="n">
        <v>59201</v>
      </c>
      <c r="E31" s="18" t="n">
        <v>58698</v>
      </c>
      <c r="F31" s="18" t="n">
        <v>58766</v>
      </c>
    </row>
    <row r="32">
      <c r="A32" s="26" t="inlineStr">
        <is>
          <t>Gross Profit</t>
        </is>
      </c>
      <c r="B32" s="27" t="n">
        <v>22287</v>
      </c>
      <c r="C32" s="27" t="n">
        <v>28321</v>
      </c>
      <c r="D32" s="27" t="n">
        <v>29697</v>
      </c>
      <c r="E32" s="27" t="n">
        <v>32663</v>
      </c>
      <c r="F32" s="27" t="n">
        <v>35659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13517</v>
      </c>
      <c r="C37" s="18" t="n">
        <v>16388</v>
      </c>
      <c r="D37" s="18" t="n">
        <v>15336</v>
      </c>
      <c r="E37" s="18" t="n">
        <v>15759</v>
      </c>
      <c r="F37" s="18" t="n">
        <v>16501</v>
      </c>
    </row>
    <row r="38">
      <c r="A38" s="17" t="inlineStr">
        <is>
          <t>Other Expenses</t>
        </is>
      </c>
      <c r="B38" s="18" t="n">
        <v>5111</v>
      </c>
      <c r="C38" s="18" t="n">
        <v>5163</v>
      </c>
      <c r="D38" s="18" t="n">
        <v>5369</v>
      </c>
      <c r="E38" s="18" t="n">
        <v>4990</v>
      </c>
      <c r="F38" s="18" t="n">
        <v>5326</v>
      </c>
    </row>
    <row r="39">
      <c r="A39" s="26" t="inlineStr">
        <is>
          <t>Total Operating Expenses</t>
        </is>
      </c>
      <c r="B39" s="27" t="n">
        <v>18628</v>
      </c>
      <c r="C39" s="27" t="n">
        <v>21551</v>
      </c>
      <c r="D39" s="27" t="n">
        <v>20705</v>
      </c>
      <c r="E39" s="27" t="n">
        <v>20749</v>
      </c>
      <c r="F39" s="27" t="n">
        <v>21827</v>
      </c>
    </row>
    <row r="40">
      <c r="A40" s="17" t="inlineStr">
        <is>
          <t>Cost &amp; Expenses (COGS + Opex)</t>
        </is>
      </c>
      <c r="B40" s="18" t="n">
        <v>63759</v>
      </c>
      <c r="C40" s="18" t="n">
        <v>75952</v>
      </c>
      <c r="D40" s="18" t="n">
        <v>79906</v>
      </c>
      <c r="E40" s="18" t="n">
        <v>79447</v>
      </c>
      <c r="F40" s="18" t="n">
        <v>80593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3659</v>
      </c>
      <c r="C42" s="16" t="n">
        <v>6770</v>
      </c>
      <c r="D42" s="16" t="n">
        <v>8992</v>
      </c>
      <c r="E42" s="16" t="n">
        <v>11914</v>
      </c>
      <c r="F42" s="16" t="n">
        <v>13832</v>
      </c>
    </row>
    <row r="43">
      <c r="A43" s="17" t="inlineStr">
        <is>
          <t>EBIT (FMP field)</t>
        </is>
      </c>
      <c r="B43" s="18" t="n">
        <v>3967</v>
      </c>
      <c r="C43" s="18" t="n">
        <v>6834</v>
      </c>
      <c r="D43" s="18" t="n">
        <v>6742</v>
      </c>
      <c r="E43" s="18" t="n">
        <v>9639</v>
      </c>
      <c r="F43" s="18" t="n">
        <v>13815</v>
      </c>
    </row>
    <row r="44">
      <c r="A44" s="26" t="inlineStr">
        <is>
          <t>EBITDA</t>
        </is>
      </c>
      <c r="B44" s="27" t="n">
        <v>9078</v>
      </c>
      <c r="C44" s="27" t="n">
        <v>11997</v>
      </c>
      <c r="D44" s="27" t="n">
        <v>12111</v>
      </c>
      <c r="E44" s="27" t="n">
        <v>14629</v>
      </c>
      <c r="F44" s="27" t="n">
        <v>19141</v>
      </c>
    </row>
    <row r="45">
      <c r="A45" s="17" t="inlineStr">
        <is>
          <t>Depreciation &amp; Amortisation</t>
        </is>
      </c>
      <c r="B45" s="18" t="n">
        <v>5111</v>
      </c>
      <c r="C45" s="18" t="n">
        <v>5163</v>
      </c>
      <c r="D45" s="18" t="n">
        <v>5369</v>
      </c>
      <c r="E45" s="18" t="n">
        <v>4990</v>
      </c>
      <c r="F45" s="18" t="n">
        <v>5326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140</v>
      </c>
      <c r="C47" s="18" t="n">
        <v>152</v>
      </c>
      <c r="D47" s="18" t="n">
        <v>424</v>
      </c>
      <c r="E47" s="18" t="n">
        <v>406</v>
      </c>
      <c r="F47" s="18" t="n">
        <v>246</v>
      </c>
    </row>
    <row r="48">
      <c r="A48" s="17" t="inlineStr">
        <is>
          <t>Interest Expense</t>
        </is>
      </c>
      <c r="B48" s="18" t="n">
        <v>1546</v>
      </c>
      <c r="C48" s="18" t="n">
        <v>1549</v>
      </c>
      <c r="D48" s="18" t="n">
        <v>1458</v>
      </c>
      <c r="E48" s="18" t="n">
        <v>1447</v>
      </c>
      <c r="F48" s="18" t="n">
        <v>1812</v>
      </c>
    </row>
    <row r="49">
      <c r="A49" s="17" t="inlineStr">
        <is>
          <t>Net Interest Income</t>
        </is>
      </c>
      <c r="B49" s="18" t="n">
        <v>-1406</v>
      </c>
      <c r="C49" s="18" t="n">
        <v>-1397</v>
      </c>
      <c r="D49" s="18" t="n">
        <v>-1034</v>
      </c>
      <c r="E49" s="18" t="n">
        <v>-1041</v>
      </c>
      <c r="F49" s="18" t="n">
        <v>-1566</v>
      </c>
    </row>
    <row r="50">
      <c r="A50" s="17" t="inlineStr">
        <is>
          <t>Non-Operating Income (ex-interest)</t>
        </is>
      </c>
      <c r="B50" s="18" t="n">
        <v>-308</v>
      </c>
      <c r="C50" s="18" t="n">
        <v>-64</v>
      </c>
      <c r="D50" s="18" t="n">
        <v>2250</v>
      </c>
      <c r="E50" s="18" t="n">
        <v>2275</v>
      </c>
      <c r="F50" s="18" t="n">
        <v>17</v>
      </c>
    </row>
    <row r="51">
      <c r="A51" s="17" t="inlineStr">
        <is>
          <t>Total Other Income / (Expenses)</t>
        </is>
      </c>
      <c r="B51" s="18" t="n">
        <v>-1098</v>
      </c>
      <c r="C51" s="18" t="n">
        <v>-1485</v>
      </c>
      <c r="D51" s="18" t="n">
        <v>-4223</v>
      </c>
      <c r="E51" s="18" t="n">
        <v>-4345</v>
      </c>
      <c r="F51" s="18" t="n">
        <v>-1829</v>
      </c>
    </row>
    <row r="52">
      <c r="A52" s="26" t="inlineStr">
        <is>
          <t>EBT / Income Before Tax</t>
        </is>
      </c>
      <c r="B52" s="27" t="n">
        <v>2561</v>
      </c>
      <c r="C52" s="27" t="n">
        <v>5285</v>
      </c>
      <c r="D52" s="27" t="n">
        <v>4769</v>
      </c>
      <c r="E52" s="27" t="n">
        <v>7569</v>
      </c>
      <c r="F52" s="27" t="n">
        <v>12003</v>
      </c>
    </row>
    <row r="53">
      <c r="A53" s="17" t="inlineStr">
        <is>
          <t>Income Tax Expense</t>
        </is>
      </c>
      <c r="B53" s="18" t="n">
        <v>25</v>
      </c>
      <c r="C53" s="18" t="n">
        <v>1732</v>
      </c>
      <c r="D53" s="18" t="n">
        <v>1379</v>
      </c>
      <c r="E53" s="18" t="n">
        <v>1796</v>
      </c>
      <c r="F53" s="18" t="n">
        <v>-1428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2536</v>
      </c>
      <c r="C55" s="18" t="n">
        <v>3553</v>
      </c>
      <c r="D55" s="18" t="n">
        <v>3390</v>
      </c>
      <c r="E55" s="18" t="n">
        <v>5773</v>
      </c>
      <c r="F55" s="18" t="n">
        <v>13431</v>
      </c>
    </row>
    <row r="56">
      <c r="A56" s="17" t="inlineStr">
        <is>
          <t>Net Income from Discontinued Ops</t>
        </is>
      </c>
      <c r="B56" s="18" t="n">
        <v>-29</v>
      </c>
      <c r="C56" s="18" t="n">
        <v>-48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1995</v>
      </c>
      <c r="C59" s="27" t="n">
        <v>3145</v>
      </c>
      <c r="D59" s="27" t="n">
        <v>2354</v>
      </c>
      <c r="E59" s="27" t="n">
        <v>4972</v>
      </c>
      <c r="F59" s="27" t="n">
        <v>12404</v>
      </c>
    </row>
    <row r="60">
      <c r="A60" s="15" t="inlineStr">
        <is>
          <t>Bottom Line Net Income</t>
        </is>
      </c>
      <c r="B60" s="16" t="n">
        <v>1995</v>
      </c>
      <c r="C60" s="16" t="n">
        <v>3145</v>
      </c>
      <c r="D60" s="16" t="n">
        <v>2354</v>
      </c>
      <c r="E60" s="16" t="n">
        <v>4972</v>
      </c>
      <c r="F60" s="16" t="n">
        <v>12404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1.1</v>
      </c>
      <c r="C62" s="18" t="n">
        <v>1.73</v>
      </c>
      <c r="D62" s="18" t="n">
        <v>1.29</v>
      </c>
      <c r="E62" s="18" t="n">
        <v>2.72</v>
      </c>
      <c r="F62" s="18" t="n">
        <v>6.88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1816</v>
      </c>
      <c r="C64" s="18" t="n">
        <v>1822</v>
      </c>
      <c r="D64" s="18" t="n">
        <v>1828</v>
      </c>
      <c r="E64" s="18" t="n">
        <v>1825</v>
      </c>
      <c r="F64" s="18" t="n">
        <v>1804</v>
      </c>
    </row>
    <row r="65">
      <c r="A65" s="17" t="inlineStr">
        <is>
          <t>Shares Outstanding — Diluted (mm)</t>
        </is>
      </c>
      <c r="B65" s="18" t="n">
        <v>1828</v>
      </c>
      <c r="C65" s="18" t="n">
        <v>1827</v>
      </c>
      <c r="D65" s="18" t="n">
        <v>1830</v>
      </c>
      <c r="E65" s="18" t="n">
        <v>1831</v>
      </c>
      <c r="F65" s="18" t="n">
        <v>1811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15959</v>
      </c>
      <c r="C5" s="18" t="n">
        <v>11615</v>
      </c>
      <c r="D5" s="18" t="n">
        <v>14182</v>
      </c>
      <c r="E5" s="18" t="n">
        <v>6002</v>
      </c>
      <c r="F5" s="18" t="n">
        <v>5695</v>
      </c>
    </row>
    <row r="6">
      <c r="A6" s="17" t="inlineStr">
        <is>
          <t>(2)  Receivables</t>
        </is>
      </c>
      <c r="B6" s="18" t="n">
        <v>13367</v>
      </c>
      <c r="C6" s="18" t="n">
        <v>12652</v>
      </c>
      <c r="D6" s="18" t="n">
        <v>12330</v>
      </c>
      <c r="E6" s="18" t="n">
        <v>12729</v>
      </c>
      <c r="F6" s="18" t="n">
        <v>13217</v>
      </c>
    </row>
    <row r="7">
      <c r="A7" s="17" t="inlineStr">
        <is>
          <t>(3)  Inventory</t>
        </is>
      </c>
      <c r="B7" s="18" t="n">
        <v>1331</v>
      </c>
      <c r="C7" s="18" t="n">
        <v>1742</v>
      </c>
      <c r="D7" s="18" t="n">
        <v>1963</v>
      </c>
      <c r="E7" s="18" t="n">
        <v>2022</v>
      </c>
      <c r="F7" s="18" t="n">
        <v>2134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33657</v>
      </c>
      <c r="C9" s="24" t="n">
        <v>29098</v>
      </c>
      <c r="D9" s="24" t="n">
        <v>32763</v>
      </c>
      <c r="E9" s="24" t="n">
        <v>25241</v>
      </c>
      <c r="F9" s="24" t="n">
        <v>24267</v>
      </c>
    </row>
    <row r="10">
      <c r="A10" s="17" t="inlineStr">
        <is>
          <t>(6)  PP&amp;E (Net)</t>
        </is>
      </c>
      <c r="B10" s="18" t="n">
        <v>32624</v>
      </c>
      <c r="C10" s="18" t="n">
        <v>33596</v>
      </c>
      <c r="D10" s="18" t="n">
        <v>34941</v>
      </c>
      <c r="E10" s="18" t="n">
        <v>37041</v>
      </c>
      <c r="F10" s="18" t="n">
        <v>41255</v>
      </c>
    </row>
    <row r="11">
      <c r="A11" s="17" t="inlineStr">
        <is>
          <t>(7)  Goodwill</t>
        </is>
      </c>
      <c r="B11" s="18" t="n">
        <v>78071</v>
      </c>
      <c r="C11" s="18" t="n">
        <v>77897</v>
      </c>
      <c r="D11" s="18" t="n">
        <v>77067</v>
      </c>
      <c r="E11" s="18" t="n">
        <v>73326</v>
      </c>
      <c r="F11" s="18" t="n">
        <v>73294</v>
      </c>
    </row>
    <row r="12">
      <c r="A12" s="17" t="inlineStr">
        <is>
          <t>(8)  Deferred Tax Assets</t>
        </is>
      </c>
      <c r="B12" s="18" t="n">
        <v>29549</v>
      </c>
      <c r="C12" s="18" t="n">
        <v>8363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169952</v>
      </c>
      <c r="C14" s="24" t="n">
        <v>174533</v>
      </c>
      <c r="D14" s="24" t="n">
        <v>172816</v>
      </c>
      <c r="E14" s="24" t="n">
        <v>170978</v>
      </c>
      <c r="F14" s="24" t="n">
        <v>173247</v>
      </c>
    </row>
    <row r="15">
      <c r="A15" s="19" t="inlineStr">
        <is>
          <t>(11) Total Assets</t>
        </is>
      </c>
      <c r="B15" s="24" t="n">
        <v>203609</v>
      </c>
      <c r="C15" s="24" t="n">
        <v>203631</v>
      </c>
      <c r="D15" s="24" t="n">
        <v>205579</v>
      </c>
      <c r="E15" s="24" t="n">
        <v>196219</v>
      </c>
      <c r="F15" s="24" t="n">
        <v>197514</v>
      </c>
    </row>
    <row r="16" ht="6" customHeight="1"/>
    <row r="17">
      <c r="A17" s="17" t="inlineStr">
        <is>
          <t>(12) Accounts Payable</t>
        </is>
      </c>
      <c r="B17" s="18" t="n">
        <v>16357</v>
      </c>
      <c r="C17" s="18" t="n">
        <v>16205</v>
      </c>
      <c r="D17" s="18" t="n">
        <v>15125</v>
      </c>
      <c r="E17" s="18" t="n">
        <v>14796</v>
      </c>
      <c r="F17" s="18" t="n">
        <v>15055</v>
      </c>
    </row>
    <row r="18">
      <c r="A18" s="17" t="inlineStr">
        <is>
          <t>(13) Short-Term Borrowings</t>
        </is>
      </c>
      <c r="B18" s="18" t="n">
        <v>6544</v>
      </c>
      <c r="C18" s="18" t="n">
        <v>3721</v>
      </c>
      <c r="D18" s="18" t="n">
        <v>5107</v>
      </c>
      <c r="E18" s="18" t="n">
        <v>7619</v>
      </c>
      <c r="F18" s="18" t="n">
        <v>6711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31077</v>
      </c>
      <c r="C21" s="24" t="n">
        <v>29073</v>
      </c>
      <c r="D21" s="24" t="n">
        <v>31139</v>
      </c>
      <c r="E21" s="24" t="n">
        <v>34599</v>
      </c>
      <c r="F21" s="24" t="n">
        <v>34162</v>
      </c>
    </row>
    <row r="22">
      <c r="A22" s="17" t="inlineStr">
        <is>
          <t>(17) Long-Term Debt</t>
        </is>
      </c>
      <c r="B22" s="18" t="n">
        <v>48540</v>
      </c>
      <c r="C22" s="18" t="n">
        <v>45299</v>
      </c>
      <c r="D22" s="18" t="n">
        <v>42101</v>
      </c>
      <c r="E22" s="18" t="n">
        <v>38970</v>
      </c>
      <c r="F22" s="18" t="n">
        <v>35315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101385</v>
      </c>
      <c r="C25" s="24" t="n">
        <v>95253</v>
      </c>
      <c r="D25" s="24" t="n">
        <v>92567</v>
      </c>
      <c r="E25" s="24" t="n">
        <v>90697</v>
      </c>
      <c r="F25" s="24" t="n">
        <v>82902</v>
      </c>
    </row>
    <row r="26" ht="6" customHeight="1"/>
    <row r="27">
      <c r="A27" s="17" t="inlineStr">
        <is>
          <t>(21) Common Stock &amp; APIC</t>
        </is>
      </c>
      <c r="B27" s="18" t="n">
        <v>55471</v>
      </c>
      <c r="C27" s="18" t="n">
        <v>56398</v>
      </c>
      <c r="D27" s="18" t="n">
        <v>57383</v>
      </c>
      <c r="E27" s="18" t="n">
        <v>58592</v>
      </c>
      <c r="F27" s="18" t="n">
        <v>59814</v>
      </c>
    </row>
    <row r="28">
      <c r="A28" s="17" t="inlineStr">
        <is>
          <t>(22) Retained Earnings</t>
        </is>
      </c>
      <c r="B28" s="18" t="n">
        <v>40429</v>
      </c>
      <c r="C28" s="18" t="n">
        <v>43636</v>
      </c>
      <c r="D28" s="18" t="n">
        <v>46093</v>
      </c>
      <c r="E28" s="18" t="n">
        <v>49722</v>
      </c>
      <c r="F28" s="18" t="n">
        <v>60410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88553</v>
      </c>
      <c r="C30" s="24" t="n">
        <v>95008</v>
      </c>
      <c r="D30" s="24" t="n">
        <v>99277</v>
      </c>
      <c r="E30" s="24" t="n">
        <v>100696</v>
      </c>
      <c r="F30" s="24" t="n">
        <v>109869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15959</v>
      </c>
      <c r="C36" s="18" t="n">
        <v>11615</v>
      </c>
      <c r="D36" s="18" t="n">
        <v>14182</v>
      </c>
      <c r="E36" s="18" t="n">
        <v>6002</v>
      </c>
      <c r="F36" s="18" t="n">
        <v>5695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</row>
    <row r="38">
      <c r="A38" s="28" t="inlineStr">
        <is>
          <t>Cash &amp; Short-Term Investments</t>
        </is>
      </c>
      <c r="B38" s="29" t="n">
        <v>15959</v>
      </c>
      <c r="C38" s="29" t="n">
        <v>11615</v>
      </c>
      <c r="D38" s="29" t="n">
        <v>14182</v>
      </c>
      <c r="E38" s="29" t="n">
        <v>6002</v>
      </c>
      <c r="F38" s="29" t="n">
        <v>5695</v>
      </c>
    </row>
    <row r="39">
      <c r="A39" s="17" t="inlineStr">
        <is>
          <t>Accounts Receivable (Trade)</t>
        </is>
      </c>
      <c r="B39" s="18" t="n">
        <v>11007</v>
      </c>
      <c r="C39" s="18" t="n">
        <v>10653</v>
      </c>
      <c r="D39" s="18" t="n">
        <v>10064</v>
      </c>
      <c r="E39" s="18" t="n">
        <v>10258</v>
      </c>
      <c r="F39" s="18" t="n">
        <v>10344</v>
      </c>
    </row>
    <row r="40">
      <c r="A40" s="17" t="inlineStr">
        <is>
          <t>Other Receivables</t>
        </is>
      </c>
      <c r="B40" s="18" t="n">
        <v>2360</v>
      </c>
      <c r="C40" s="18" t="n">
        <v>1999</v>
      </c>
      <c r="D40" s="18" t="n">
        <v>2266</v>
      </c>
      <c r="E40" s="18" t="n">
        <v>2471</v>
      </c>
      <c r="F40" s="18" t="n">
        <v>2873</v>
      </c>
    </row>
    <row r="41">
      <c r="A41" s="28" t="inlineStr">
        <is>
          <t>Net Receivables (Total)</t>
        </is>
      </c>
      <c r="B41" s="29" t="n">
        <v>13367</v>
      </c>
      <c r="C41" s="29" t="n">
        <v>12652</v>
      </c>
      <c r="D41" s="29" t="n">
        <v>12330</v>
      </c>
      <c r="E41" s="29" t="n">
        <v>12729</v>
      </c>
      <c r="F41" s="29" t="n">
        <v>13217</v>
      </c>
    </row>
    <row r="42">
      <c r="A42" s="17" t="inlineStr">
        <is>
          <t>Inventory</t>
        </is>
      </c>
      <c r="B42" s="18" t="n">
        <v>1331</v>
      </c>
      <c r="C42" s="18" t="n">
        <v>1742</v>
      </c>
      <c r="D42" s="18" t="n">
        <v>1963</v>
      </c>
      <c r="E42" s="18" t="n">
        <v>2022</v>
      </c>
      <c r="F42" s="18" t="n">
        <v>2134</v>
      </c>
    </row>
    <row r="43">
      <c r="A43" s="17" t="inlineStr">
        <is>
          <t>Prepaids</t>
        </is>
      </c>
      <c r="B43" s="18" t="n">
        <v>2183</v>
      </c>
      <c r="C43" s="18" t="n">
        <v>1890</v>
      </c>
      <c r="D43" s="18" t="n">
        <v>3002</v>
      </c>
      <c r="E43" s="18" t="n">
        <v>2097</v>
      </c>
      <c r="F43" s="18" t="n">
        <v>2063</v>
      </c>
    </row>
    <row r="44">
      <c r="A44" s="17" t="inlineStr">
        <is>
          <t>Other Current Assets</t>
        </is>
      </c>
      <c r="B44" s="18" t="n">
        <v>817</v>
      </c>
      <c r="C44" s="18" t="n">
        <v>1199</v>
      </c>
      <c r="D44" s="18" t="n">
        <v>1286</v>
      </c>
      <c r="E44" s="18" t="n">
        <v>2391</v>
      </c>
      <c r="F44" s="18" t="n">
        <v>1158</v>
      </c>
    </row>
    <row r="45">
      <c r="A45" s="26" t="inlineStr">
        <is>
          <t>Total Current Assets</t>
        </is>
      </c>
      <c r="B45" s="27" t="n">
        <v>33657</v>
      </c>
      <c r="C45" s="27" t="n">
        <v>29098</v>
      </c>
      <c r="D45" s="27" t="n">
        <v>32763</v>
      </c>
      <c r="E45" s="27" t="n">
        <v>25241</v>
      </c>
      <c r="F45" s="27" t="n">
        <v>24267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32624</v>
      </c>
      <c r="C47" s="18" t="n">
        <v>33596</v>
      </c>
      <c r="D47" s="18" t="n">
        <v>34941</v>
      </c>
      <c r="E47" s="18" t="n">
        <v>37041</v>
      </c>
      <c r="F47" s="18" t="n">
        <v>41255</v>
      </c>
    </row>
    <row r="48">
      <c r="A48" s="17" t="inlineStr">
        <is>
          <t>Goodwill</t>
        </is>
      </c>
      <c r="B48" s="18" t="n">
        <v>78071</v>
      </c>
      <c r="C48" s="18" t="n">
        <v>77897</v>
      </c>
      <c r="D48" s="18" t="n">
        <v>77067</v>
      </c>
      <c r="E48" s="18" t="n">
        <v>73326</v>
      </c>
      <c r="F48" s="18" t="n">
        <v>73294</v>
      </c>
    </row>
    <row r="49">
      <c r="A49" s="17" t="inlineStr">
        <is>
          <t>Intangible Assets</t>
        </is>
      </c>
      <c r="B49" s="18" t="n">
        <v>17115</v>
      </c>
      <c r="C49" s="18" t="n">
        <v>14837</v>
      </c>
      <c r="D49" s="18" t="n">
        <v>13061</v>
      </c>
      <c r="E49" s="18" t="n">
        <v>10739</v>
      </c>
      <c r="F49" s="18" t="n">
        <v>9272</v>
      </c>
    </row>
    <row r="50">
      <c r="A50" s="17" t="inlineStr">
        <is>
          <t>Long-Term Investments</t>
        </is>
      </c>
      <c r="B50" s="18" t="n">
        <v>3935</v>
      </c>
      <c r="C50" s="18" t="n">
        <v>3218</v>
      </c>
      <c r="D50" s="18" t="n">
        <v>3080</v>
      </c>
      <c r="E50" s="18" t="n">
        <v>4459</v>
      </c>
      <c r="F50" s="18" t="n">
        <v>8097</v>
      </c>
    </row>
    <row r="51">
      <c r="A51" s="17" t="inlineStr">
        <is>
          <t>Tax Assets (Deferred)</t>
        </is>
      </c>
      <c r="B51" s="18" t="n">
        <v>29549</v>
      </c>
      <c r="C51" s="18" t="n">
        <v>8363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3935</v>
      </c>
      <c r="C52" s="18" t="n">
        <v>3218</v>
      </c>
      <c r="D52" s="18" t="n">
        <v>3080</v>
      </c>
      <c r="E52" s="18" t="n">
        <v>4459</v>
      </c>
      <c r="F52" s="18" t="n">
        <v>8097</v>
      </c>
    </row>
    <row r="53">
      <c r="A53" s="17" t="inlineStr">
        <is>
          <t>Other Non-Current Assets</t>
        </is>
      </c>
      <c r="B53" s="18" t="n">
        <v>8658</v>
      </c>
      <c r="C53" s="18" t="n">
        <v>36622</v>
      </c>
      <c r="D53" s="18" t="n">
        <v>44667</v>
      </c>
      <c r="E53" s="18" t="n">
        <v>45413</v>
      </c>
      <c r="F53" s="18" t="n">
        <v>41329</v>
      </c>
    </row>
    <row r="54">
      <c r="A54" s="26" t="inlineStr">
        <is>
          <t>Total Non-Current Assets</t>
        </is>
      </c>
      <c r="B54" s="27" t="n">
        <v>169952</v>
      </c>
      <c r="C54" s="27" t="n">
        <v>174533</v>
      </c>
      <c r="D54" s="27" t="n">
        <v>172816</v>
      </c>
      <c r="E54" s="27" t="n">
        <v>170978</v>
      </c>
      <c r="F54" s="27" t="n">
        <v>173247</v>
      </c>
    </row>
    <row r="55">
      <c r="A55" s="13" t="inlineStr">
        <is>
          <t>TOTAL ASSETS</t>
        </is>
      </c>
      <c r="B55" s="30" t="n">
        <v>203609</v>
      </c>
      <c r="C55" s="30" t="n">
        <v>203631</v>
      </c>
      <c r="D55" s="30" t="n">
        <v>205579</v>
      </c>
      <c r="E55" s="30" t="n">
        <v>196219</v>
      </c>
      <c r="F55" s="30" t="n">
        <v>197514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16357</v>
      </c>
      <c r="C57" s="18" t="n">
        <v>16205</v>
      </c>
      <c r="D57" s="18" t="n">
        <v>15125</v>
      </c>
      <c r="E57" s="18" t="n">
        <v>14796</v>
      </c>
      <c r="F57" s="18" t="n">
        <v>15055</v>
      </c>
    </row>
    <row r="58">
      <c r="A58" s="17" t="inlineStr">
        <is>
          <t>Short-Term Debt</t>
        </is>
      </c>
      <c r="B58" s="18" t="n">
        <v>6544</v>
      </c>
      <c r="C58" s="18" t="n">
        <v>3721</v>
      </c>
      <c r="D58" s="18" t="n">
        <v>5107</v>
      </c>
      <c r="E58" s="18" t="n">
        <v>7619</v>
      </c>
      <c r="F58" s="18" t="n">
        <v>6711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4067</v>
      </c>
      <c r="C60" s="18" t="n">
        <v>5531</v>
      </c>
      <c r="D60" s="18" t="n">
        <v>5568</v>
      </c>
      <c r="E60" s="18" t="n">
        <v>5587</v>
      </c>
      <c r="F60" s="18" t="n">
        <v>6248</v>
      </c>
    </row>
    <row r="61">
      <c r="A61" s="17" t="inlineStr">
        <is>
          <t>Accrued &amp; Other Current Liabilities</t>
        </is>
      </c>
      <c r="B61" s="18" t="n">
        <v>627</v>
      </c>
      <c r="C61" s="18" t="n">
        <v>169</v>
      </c>
      <c r="D61" s="18" t="n">
        <v>2</v>
      </c>
      <c r="E61" s="18" t="n">
        <v>452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31077</v>
      </c>
      <c r="C63" s="27" t="n">
        <v>29073</v>
      </c>
      <c r="D63" s="27" t="n">
        <v>31139</v>
      </c>
      <c r="E63" s="27" t="n">
        <v>34599</v>
      </c>
      <c r="F63" s="27" t="n">
        <v>34162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48540</v>
      </c>
      <c r="C65" s="18" t="n">
        <v>45299</v>
      </c>
      <c r="D65" s="18" t="n">
        <v>42101</v>
      </c>
      <c r="E65" s="18" t="n">
        <v>38970</v>
      </c>
      <c r="F65" s="18" t="n">
        <v>35315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7246</v>
      </c>
      <c r="C68" s="18" t="n">
        <v>8363</v>
      </c>
      <c r="D68" s="18" t="n">
        <v>7258</v>
      </c>
      <c r="E68" s="18" t="n">
        <v>6277</v>
      </c>
      <c r="F68" s="18" t="n">
        <v>3524</v>
      </c>
    </row>
    <row r="69">
      <c r="A69" s="17" t="inlineStr">
        <is>
          <t>Other Non-Current Liabilities</t>
        </is>
      </c>
      <c r="B69" s="18" t="n">
        <v>11293</v>
      </c>
      <c r="C69" s="18" t="n">
        <v>9279</v>
      </c>
      <c r="D69" s="18" t="n">
        <v>8605</v>
      </c>
      <c r="E69" s="18" t="n">
        <v>7923</v>
      </c>
      <c r="F69" s="18" t="n">
        <v>7050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101385</v>
      </c>
      <c r="C71" s="30" t="n">
        <v>95253</v>
      </c>
      <c r="D71" s="30" t="n">
        <v>92567</v>
      </c>
      <c r="E71" s="30" t="n">
        <v>90697</v>
      </c>
      <c r="F71" s="30" t="n">
        <v>82902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55471</v>
      </c>
      <c r="C73" s="18" t="n">
        <v>56398</v>
      </c>
      <c r="D73" s="18" t="n">
        <v>57383</v>
      </c>
      <c r="E73" s="18" t="n">
        <v>58592</v>
      </c>
      <c r="F73" s="18" t="n">
        <v>59814</v>
      </c>
    </row>
    <row r="74">
      <c r="A74" s="17" t="inlineStr">
        <is>
          <t>Retained Earnings</t>
        </is>
      </c>
      <c r="B74" s="18" t="n">
        <v>40429</v>
      </c>
      <c r="C74" s="18" t="n">
        <v>43636</v>
      </c>
      <c r="D74" s="18" t="n">
        <v>46093</v>
      </c>
      <c r="E74" s="18" t="n">
        <v>49722</v>
      </c>
      <c r="F74" s="18" t="n">
        <v>60410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13671</v>
      </c>
      <c r="C77" s="18" t="n">
        <v>13370</v>
      </c>
      <c r="D77" s="18" t="n">
        <v>13735</v>
      </c>
      <c r="E77" s="18" t="n">
        <v>4826</v>
      </c>
      <c r="F77" s="18" t="n">
        <v>4743</v>
      </c>
    </row>
    <row r="78">
      <c r="A78" s="26" t="inlineStr">
        <is>
          <t>Total Equity (inc. Minority)</t>
        </is>
      </c>
      <c r="B78" s="27" t="n">
        <v>102224</v>
      </c>
      <c r="C78" s="27" t="n">
        <v>108378</v>
      </c>
      <c r="D78" s="27" t="n">
        <v>113012</v>
      </c>
      <c r="E78" s="27" t="n">
        <v>105522</v>
      </c>
      <c r="F78" s="27" t="n">
        <v>114612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5567</v>
      </c>
      <c r="C5" s="24" t="n">
        <v>6010</v>
      </c>
      <c r="D5" s="24" t="n">
        <v>9866</v>
      </c>
      <c r="E5" s="24" t="n">
        <v>13971</v>
      </c>
      <c r="F5" s="24" t="n">
        <v>18101</v>
      </c>
    </row>
    <row r="6">
      <c r="A6" s="17" t="inlineStr">
        <is>
          <t>(2)  Capital Expenditures</t>
        </is>
      </c>
      <c r="B6" s="18" t="n">
        <v>-3578</v>
      </c>
      <c r="C6" s="18" t="n">
        <v>-4943</v>
      </c>
      <c r="D6" s="18" t="n">
        <v>-4969</v>
      </c>
      <c r="E6" s="18" t="n">
        <v>-5412</v>
      </c>
      <c r="F6" s="18" t="n">
        <v>-8024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-3699</v>
      </c>
      <c r="C9" s="18" t="n">
        <v>-4017</v>
      </c>
      <c r="D9" s="18" t="n">
        <v>-1783</v>
      </c>
      <c r="E9" s="18" t="n">
        <v>-1400</v>
      </c>
      <c r="F9" s="18" t="n">
        <v>-3621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435</v>
      </c>
      <c r="C11" s="18" t="n">
        <v>127</v>
      </c>
      <c r="D11" s="18" t="n">
        <v>52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-1366</v>
      </c>
      <c r="F12" s="18" t="n">
        <v>-1803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1989</v>
      </c>
      <c r="C15" s="24" t="n">
        <v>1067</v>
      </c>
      <c r="D15" s="24" t="n">
        <v>4897</v>
      </c>
      <c r="E15" s="24" t="n">
        <v>8559</v>
      </c>
      <c r="F15" s="24" t="n">
        <v>10077</v>
      </c>
    </row>
    <row r="16">
      <c r="A16" s="15" t="inlineStr">
        <is>
          <t xml:space="preserve">     Net Change in Cash</t>
        </is>
      </c>
      <c r="B16" s="16" t="n">
        <v>-1951</v>
      </c>
      <c r="C16" s="16" t="n">
        <v>-4342</v>
      </c>
      <c r="D16" s="16" t="n">
        <v>2574</v>
      </c>
      <c r="E16" s="16" t="n">
        <v>-8133</v>
      </c>
      <c r="F16" s="16" t="n">
        <v>-303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2536</v>
      </c>
      <c r="C21" s="18" t="n">
        <v>3553</v>
      </c>
      <c r="D21" s="18" t="n">
        <v>3390</v>
      </c>
      <c r="E21" s="18" t="n">
        <v>5773</v>
      </c>
      <c r="F21" s="18" t="n">
        <v>13431</v>
      </c>
    </row>
    <row r="22">
      <c r="A22" s="17" t="inlineStr">
        <is>
          <t>Depreciation &amp; Amortisation</t>
        </is>
      </c>
      <c r="B22" s="18" t="n">
        <v>5111</v>
      </c>
      <c r="C22" s="18" t="n">
        <v>5163</v>
      </c>
      <c r="D22" s="18" t="n">
        <v>5369</v>
      </c>
      <c r="E22" s="18" t="n">
        <v>4990</v>
      </c>
      <c r="F22" s="18" t="n">
        <v>5326</v>
      </c>
    </row>
    <row r="23">
      <c r="A23" s="17" t="inlineStr">
        <is>
          <t>Deferred Income Tax</t>
        </is>
      </c>
      <c r="B23" s="18" t="n">
        <v>-1241</v>
      </c>
      <c r="C23" s="18" t="n">
        <v>200</v>
      </c>
      <c r="D23" s="18" t="n">
        <v>-1346</v>
      </c>
      <c r="E23" s="18" t="n">
        <v>-821</v>
      </c>
      <c r="F23" s="18" t="n">
        <v>-2739</v>
      </c>
    </row>
    <row r="24">
      <c r="A24" s="17" t="inlineStr">
        <is>
          <t>Stock-Based Compensation</t>
        </is>
      </c>
      <c r="B24" s="18" t="n">
        <v>600</v>
      </c>
      <c r="C24" s="18" t="n">
        <v>977</v>
      </c>
      <c r="D24" s="18" t="n">
        <v>1143</v>
      </c>
      <c r="E24" s="18" t="n">
        <v>1366</v>
      </c>
      <c r="F24" s="18" t="n">
        <v>1363</v>
      </c>
    </row>
    <row r="25">
      <c r="A25" s="17" t="inlineStr">
        <is>
          <t>Change in Working Capital</t>
        </is>
      </c>
      <c r="B25" s="18" t="n">
        <v>2194</v>
      </c>
      <c r="C25" s="18" t="n">
        <v>488</v>
      </c>
      <c r="D25" s="18" t="n">
        <v>177</v>
      </c>
      <c r="E25" s="18" t="n">
        <v>-1613</v>
      </c>
      <c r="F25" s="18" t="n">
        <v>-430</v>
      </c>
    </row>
    <row r="26">
      <c r="A26" s="21" t="inlineStr">
        <is>
          <t xml:space="preserve">  — Accounts Receivable</t>
        </is>
      </c>
      <c r="B26" s="18" t="n">
        <v>-357</v>
      </c>
      <c r="C26" s="18" t="n">
        <v>605</v>
      </c>
      <c r="D26" s="18" t="n">
        <v>358</v>
      </c>
      <c r="E26" s="18" t="n">
        <v>-565</v>
      </c>
      <c r="F26" s="18" t="n">
        <v>-283</v>
      </c>
    </row>
    <row r="27">
      <c r="A27" s="21" t="inlineStr">
        <is>
          <t xml:space="preserve">  — Inventory</t>
        </is>
      </c>
      <c r="B27" s="18" t="n">
        <v>252</v>
      </c>
      <c r="C27" s="18" t="n">
        <v>-420</v>
      </c>
      <c r="D27" s="18" t="n">
        <v>-183</v>
      </c>
      <c r="E27" s="18" t="n">
        <v>-42</v>
      </c>
      <c r="F27" s="18" t="n">
        <v>-114</v>
      </c>
    </row>
    <row r="28">
      <c r="A28" s="21" t="inlineStr">
        <is>
          <t xml:space="preserve">  — Accounts Payable</t>
        </is>
      </c>
      <c r="B28" s="18" t="n">
        <v>2410</v>
      </c>
      <c r="C28" s="18" t="n">
        <v>964</v>
      </c>
      <c r="D28" s="18" t="n">
        <v>-1142</v>
      </c>
      <c r="E28" s="18" t="n">
        <v>156</v>
      </c>
      <c r="F28" s="18" t="n">
        <v>237</v>
      </c>
    </row>
    <row r="29">
      <c r="A29" s="21" t="inlineStr">
        <is>
          <t xml:space="preserve">  — Other Working Capital</t>
        </is>
      </c>
      <c r="B29" s="18" t="n">
        <v>-111</v>
      </c>
      <c r="C29" s="18" t="n">
        <v>-661</v>
      </c>
      <c r="D29" s="18" t="n">
        <v>1144</v>
      </c>
      <c r="E29" s="18" t="n">
        <v>-1162</v>
      </c>
      <c r="F29" s="18" t="n">
        <v>-270</v>
      </c>
    </row>
    <row r="30">
      <c r="A30" s="17" t="inlineStr">
        <is>
          <t>Other Non-Cash Items</t>
        </is>
      </c>
      <c r="B30" s="18" t="n">
        <v>-3633</v>
      </c>
      <c r="C30" s="18" t="n">
        <v>-4371</v>
      </c>
      <c r="D30" s="18" t="n">
        <v>1133</v>
      </c>
      <c r="E30" s="18" t="n">
        <v>4276</v>
      </c>
      <c r="F30" s="18" t="n">
        <v>1150</v>
      </c>
    </row>
    <row r="31">
      <c r="A31" s="26" t="inlineStr">
        <is>
          <t>Net Cash from Operations (CFO)</t>
        </is>
      </c>
      <c r="B31" s="27" t="n">
        <v>5567</v>
      </c>
      <c r="C31" s="27" t="n">
        <v>6010</v>
      </c>
      <c r="D31" s="27" t="n">
        <v>9866</v>
      </c>
      <c r="E31" s="27" t="n">
        <v>13971</v>
      </c>
      <c r="F31" s="27" t="n">
        <v>18101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-3578</v>
      </c>
      <c r="C33" s="18" t="n">
        <v>-4943</v>
      </c>
      <c r="D33" s="18" t="n">
        <v>-4969</v>
      </c>
      <c r="E33" s="18" t="n">
        <v>-5412</v>
      </c>
      <c r="F33" s="18" t="n">
        <v>-8024</v>
      </c>
    </row>
    <row r="34">
      <c r="A34" s="21" t="inlineStr">
        <is>
          <t xml:space="preserve">  (Alt: Invest. in PP&amp;E)</t>
        </is>
      </c>
      <c r="B34" s="18" t="n">
        <v>-3578</v>
      </c>
      <c r="C34" s="18" t="n">
        <v>-4943</v>
      </c>
      <c r="D34" s="18" t="n">
        <v>-4969</v>
      </c>
      <c r="E34" s="18" t="n">
        <v>-5412</v>
      </c>
      <c r="F34" s="18" t="n">
        <v>-8024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0</v>
      </c>
      <c r="C36" s="18" t="n">
        <v>0</v>
      </c>
      <c r="D36" s="18" t="n">
        <v>0</v>
      </c>
      <c r="E36" s="18" t="n">
        <v>-1506</v>
      </c>
      <c r="F36" s="18" t="n">
        <v>-98</v>
      </c>
    </row>
    <row r="37">
      <c r="A37" s="17" t="inlineStr">
        <is>
          <t>Sales / Maturities of Investments</t>
        </is>
      </c>
      <c r="B37" s="18" t="n">
        <v>337</v>
      </c>
      <c r="C37" s="18" t="n">
        <v>52</v>
      </c>
      <c r="D37" s="18" t="n">
        <v>458</v>
      </c>
      <c r="E37" s="18" t="n">
        <v>105</v>
      </c>
      <c r="F37" s="18" t="n">
        <v>4</v>
      </c>
    </row>
    <row r="38">
      <c r="A38" s="17" t="inlineStr">
        <is>
          <t>Other Investing Activities</t>
        </is>
      </c>
      <c r="B38" s="18" t="n">
        <v>78</v>
      </c>
      <c r="C38" s="18" t="n">
        <v>-117</v>
      </c>
      <c r="D38" s="18" t="n">
        <v>-130</v>
      </c>
      <c r="E38" s="18" t="n">
        <v>-68</v>
      </c>
      <c r="F38" s="18" t="n">
        <v>75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-3699</v>
      </c>
      <c r="C41" s="18" t="n">
        <v>-4017</v>
      </c>
      <c r="D41" s="18" t="n">
        <v>-1783</v>
      </c>
      <c r="E41" s="18" t="n">
        <v>-1400</v>
      </c>
      <c r="F41" s="18" t="n">
        <v>-3621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435</v>
      </c>
      <c r="C43" s="18" t="n">
        <v>127</v>
      </c>
      <c r="D43" s="18" t="n">
        <v>52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0</v>
      </c>
      <c r="D44" s="18" t="n">
        <v>0</v>
      </c>
      <c r="E44" s="18" t="n">
        <v>-2992</v>
      </c>
      <c r="F44" s="18" t="n">
        <v>-3500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-1366</v>
      </c>
      <c r="F45" s="18" t="n">
        <v>-1803</v>
      </c>
    </row>
    <row r="46">
      <c r="A46" s="17" t="inlineStr">
        <is>
          <t>Other Financing Activities</t>
        </is>
      </c>
      <c r="B46" s="18" t="n">
        <v>-1121</v>
      </c>
      <c r="C46" s="18" t="n">
        <v>-851</v>
      </c>
      <c r="D46" s="18" t="n">
        <v>-993</v>
      </c>
      <c r="E46" s="18" t="n">
        <v>-9530</v>
      </c>
      <c r="F46" s="18" t="n">
        <v>-1442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30</v>
      </c>
      <c r="C49" s="18" t="n">
        <v>-603</v>
      </c>
      <c r="D49" s="18" t="n">
        <v>73</v>
      </c>
      <c r="E49" s="18" t="n">
        <v>65</v>
      </c>
      <c r="F49" s="18" t="n">
        <v>5</v>
      </c>
    </row>
    <row r="50">
      <c r="A50" s="15" t="inlineStr">
        <is>
          <t>Net Change in Cash</t>
        </is>
      </c>
      <c r="B50" s="16" t="n">
        <v>-1951</v>
      </c>
      <c r="C50" s="16" t="n">
        <v>-4342</v>
      </c>
      <c r="D50" s="16" t="n">
        <v>2574</v>
      </c>
      <c r="E50" s="16" t="n">
        <v>-8133</v>
      </c>
      <c r="F50" s="16" t="n">
        <v>-303</v>
      </c>
    </row>
    <row r="51">
      <c r="A51" s="17" t="inlineStr">
        <is>
          <t>Cash at Beginning of Period</t>
        </is>
      </c>
      <c r="B51" s="18" t="n">
        <v>17954</v>
      </c>
      <c r="C51" s="18" t="n">
        <v>16003</v>
      </c>
      <c r="D51" s="18" t="n">
        <v>11661</v>
      </c>
      <c r="E51" s="18" t="n">
        <v>14235</v>
      </c>
      <c r="F51" s="18" t="n">
        <v>6102</v>
      </c>
    </row>
    <row r="52">
      <c r="A52" s="26" t="inlineStr">
        <is>
          <t>Cash at End of Period</t>
        </is>
      </c>
      <c r="B52" s="27" t="n">
        <v>16003</v>
      </c>
      <c r="C52" s="27" t="n">
        <v>11661</v>
      </c>
      <c r="D52" s="27" t="n">
        <v>14235</v>
      </c>
      <c r="E52" s="27" t="n">
        <v>6102</v>
      </c>
      <c r="F52" s="27" t="n">
        <v>5799</v>
      </c>
    </row>
    <row r="53">
      <c r="A53" s="26" t="inlineStr">
        <is>
          <t>Free Cash Flow</t>
        </is>
      </c>
      <c r="B53" s="27" t="n">
        <v>1989</v>
      </c>
      <c r="C53" s="27" t="n">
        <v>1067</v>
      </c>
      <c r="D53" s="27" t="n">
        <v>4897</v>
      </c>
      <c r="E53" s="27" t="n">
        <v>8559</v>
      </c>
      <c r="F53" s="27" t="n">
        <v>10077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1828</v>
      </c>
      <c r="C61" s="18" t="n">
        <v>1827</v>
      </c>
      <c r="D61" s="18" t="n">
        <v>1830</v>
      </c>
      <c r="E61" s="18" t="n">
        <v>1831</v>
      </c>
      <c r="F61" s="18" t="n">
        <v>1811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11707</v>
      </c>
      <c r="C5" s="18" t="n">
        <v>11171</v>
      </c>
      <c r="D5" s="18" t="n">
        <v>10423</v>
      </c>
      <c r="E5" s="18" t="n">
        <v>8602</v>
      </c>
      <c r="F5" s="18" t="n">
        <v>3848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DIS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180189.107911</v>
      </c>
      <c r="C5" s="44" t="inlineStr">
        <is>
          <t>FMP marketCap  |  price $103.765</t>
        </is>
      </c>
    </row>
    <row r="6">
      <c r="A6" s="17" t="inlineStr">
        <is>
          <t>Debt  (gross book value, $mm)</t>
        </is>
      </c>
      <c r="B6" s="43" t="n">
        <v>42026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0.043</v>
      </c>
      <c r="C12" s="44" t="inlineStr">
        <is>
          <t>FRED series DGS10  |  latest: None</t>
        </is>
      </c>
    </row>
    <row r="13">
      <c r="A13" s="47" t="inlineStr">
        <is>
          <t>► Selected Rf  (override if needed)</t>
        </is>
      </c>
      <c r="B13" s="48" t="n">
        <v>0.043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1.416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1.279</v>
      </c>
      <c r="C17" s="44" t="inlineStr">
        <is>
          <t>Mean-reversion toward market beta of 1.0</t>
        </is>
      </c>
    </row>
    <row r="18">
      <c r="A18" s="17" t="inlineStr">
        <is>
          <t>Damodaran industry unlevered  (Entertainment)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0.23x,  t = 11.9%)</t>
        </is>
      </c>
      <c r="B19" s="50" t="n">
        <v>1.205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BBB+</t>
        </is>
      </c>
      <c r="C31" s="44" t="inlineStr">
        <is>
          <t>User input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7.6</v>
      </c>
      <c r="C33" s="44" t="inlineStr">
        <is>
          <t>EBIT $13832mm  /  Int Exp $1812mm</t>
        </is>
      </c>
    </row>
    <row r="34">
      <c r="A34" s="17" t="inlineStr">
        <is>
          <t>Synthetic rating  (Damodaran ICR table)</t>
        </is>
      </c>
      <c r="B34" s="53" t="inlineStr">
        <is>
          <t>A+</t>
        </is>
      </c>
      <c r="C34" s="44" t="inlineStr">
        <is>
          <t>ICR 7.6x  →  A+</t>
        </is>
      </c>
    </row>
    <row r="35">
      <c r="A35" s="17" t="inlineStr">
        <is>
          <t>Synthetic Rd  (Rf + Damodaran default spread)</t>
        </is>
      </c>
      <c r="B35" s="46" t="n">
        <v>0.05259999999999999</v>
      </c>
      <c r="C35" s="44" t="inlineStr">
        <is>
          <t>Rf 4.30% + spread 0.96%</t>
        </is>
      </c>
    </row>
    <row r="36">
      <c r="A36" s="17" t="inlineStr">
        <is>
          <t>Accounting Rd  (Gross int exp / Avg gross debt)</t>
        </is>
      </c>
      <c r="B36" s="46" t="n">
        <v>0.04089601083338035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0.0467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0.119</v>
      </c>
      <c r="C40" s="44" t="inlineStr">
        <is>
          <t>FMP: $1428mm  /  $12003mm</t>
        </is>
      </c>
    </row>
    <row r="41">
      <c r="A41" s="47" t="inlineStr">
        <is>
          <t>► Selected tax rate  (user override)</t>
        </is>
      </c>
      <c r="B41" s="48" t="n">
        <v>0.119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DIS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0.0779</v>
      </c>
      <c r="H7" s="71" t="n">
        <v>0.0429</v>
      </c>
      <c r="I7" s="71" t="n">
        <v>0.0415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0.2719</v>
      </c>
      <c r="H8" s="71" t="n">
        <v>0.2719</v>
      </c>
      <c r="I8" s="71" t="n">
        <v>0.2719</v>
      </c>
      <c r="J8" s="72">
        <f>I8</f>
        <v/>
      </c>
      <c r="K8" s="72">
        <f>I8</f>
        <v/>
      </c>
      <c r="L8" s="73" t="n">
        <v>0.2027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101779.4</v>
      </c>
      <c r="H15" s="77" t="n">
        <v>106143.9</v>
      </c>
      <c r="I15" s="77" t="n">
        <v>110545.8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100,810 — 103,059</t>
        </is>
      </c>
      <c r="H16" s="82" t="inlineStr">
        <is>
          <t>104,708 — 108,158</t>
        </is>
      </c>
      <c r="I16" s="82" t="inlineStr">
        <is>
          <t>110,518 — 110,574</t>
        </is>
      </c>
      <c r="J16" s="82" t="inlineStr">
        <is>
          <t>112,117 — 115,752</t>
        </is>
      </c>
      <c r="K16" s="82" t="inlineStr">
        <is>
          <t>115,443 — 119,186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19</v>
      </c>
      <c r="H17" s="84" t="n">
        <v>20</v>
      </c>
      <c r="I17" s="84" t="n">
        <v>16</v>
      </c>
      <c r="J17" s="84" t="n">
        <v>15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27677</v>
      </c>
      <c r="H20" s="77" t="n">
        <v>28863.8</v>
      </c>
      <c r="I20" s="77" t="n">
        <v>30060.8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27,413 — 28,025</t>
        </is>
      </c>
      <c r="H21" s="82" t="inlineStr">
        <is>
          <t>28,473 — 29,411</t>
        </is>
      </c>
      <c r="I21" s="82" t="inlineStr">
        <is>
          <t>30,053 — 30,068</t>
        </is>
      </c>
      <c r="J21" s="82" t="inlineStr">
        <is>
          <t>30,488 — 31,477</t>
        </is>
      </c>
      <c r="K21" s="82" t="inlineStr">
        <is>
          <t>31,392 — 32,410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(4.5%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16.1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(4.5% 3yr avg rev growth).  Bear 13x / Base 16x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4743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1811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103.77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DIS  |  Master Prompt v2  |  29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37.8% ✗ (&gt;40%)  |  GM trend +3.5% ✓ (&gt;+1pp)  |  ROIC-WACC -1.0% ✗ (&gt;+5pp)  |  Rev consistency σ=8.1% ✗ (&lt;8%)  [1/4 indicators positive — proxy score]</t>
        </is>
      </c>
      <c r="E9" s="130" t="inlineStr">
        <is>
          <t>LOW</t>
        </is>
      </c>
      <c r="F9" s="131" t="n">
        <v>2.5</v>
      </c>
      <c r="G9" s="132">
        <f>IF(F9="",0,C9*F9*10)</f>
        <v/>
      </c>
      <c r="H9" s="133" t="inlineStr">
        <is>
          <t>GM 37.8% ✗ (&gt;40%)  |  GM trend +3.5% ✓ (&gt;+1pp)  |  ROIC-WACC -1.0% ✗ (&gt;+5pp)  |  Rev consistency σ=8.1% ✗ (&lt;8%)  [1/4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+4.9% ✓ (&gt;=-2pp)  |  GM maintained +3.5% ✓  |  Op margin +6.5% ✓ (≥-2pp)  |  Capital returns MOD-LOW ✗  |  Share count -0.2%/yr ✓ (net buyback)  |  Goodwill/Equity 67% ✗ (&lt;40%)  [4/6 indicators positive — proxy score]</t>
        </is>
      </c>
      <c r="E11" s="134" t="inlineStr">
        <is>
          <t>MOD-HIGH</t>
        </is>
      </c>
      <c r="F11" s="131" t="n">
        <v>6.67</v>
      </c>
      <c r="G11" s="132">
        <f>IF(F11="",0,C11*F11*10)</f>
        <v/>
      </c>
      <c r="H11" s="133" t="inlineStr">
        <is>
          <t>ROIC trend +4.9% ✓ (&gt;=-2pp)  |  GM maintained +3.5% ✓  |  Op margin +6.5% ✓ (≥-2pp)  |  Capital returns MOD-LOW ✗  |  Share count -0.2%/yr ✓ (net buyback)  |  Goodwill/Equity 67%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4.5%</t>
        </is>
      </c>
      <c r="E13" s="135" t="inlineStr">
        <is>
          <t>MOD-LOW</t>
        </is>
      </c>
      <c r="F13" s="131" t="n">
        <v>6.02</v>
      </c>
      <c r="G13" s="132">
        <f>IF(F13="",0,C13*F13*10)</f>
        <v/>
      </c>
      <c r="H13" s="133" t="inlineStr">
        <is>
          <t>4.5%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87%  [through-cycle: 70/30 latest+5yr median, latest 81.2% → smoothed 86.8%]</t>
        </is>
      </c>
      <c r="E14" s="134" t="inlineStr">
        <is>
          <t>MOD-HIGH</t>
        </is>
      </c>
      <c r="F14" s="131" t="n">
        <v>9.52</v>
      </c>
      <c r="G14" s="132">
        <f>IF(F14="",0,C14*F14*10)</f>
        <v/>
      </c>
      <c r="H14" s="133" t="inlineStr">
        <is>
          <t>87%  [through-cycle: 70/30 latest+5yr median, latest 81.2% → smoothed 86.8%]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$3,500mm latest FY — only 2/5yr history  [payout 35%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$3,500mm latest FY — only 2/5yr history  [payout 35%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7.3%  [through-cycle: 70/30 latest+5yr median, latest 8.3% → smoothed 7.3%]</t>
        </is>
      </c>
      <c r="E16" s="135" t="inlineStr">
        <is>
          <t>MOD-LOW</t>
        </is>
      </c>
      <c r="F16" s="131" t="n">
        <v>3.86</v>
      </c>
      <c r="G16" s="132">
        <f>IF(F16="",0,C16*F16*10)</f>
        <v/>
      </c>
      <c r="H16" s="133" t="inlineStr">
        <is>
          <t>7.3%  [through-cycle: 70/30 latest+5yr median, latest 8.3% → smoothed 7.3%]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2.7x  [through-cycle: 70/30 latest+5yr median, latest 2.2x → smoothed 2.7x]</t>
        </is>
      </c>
      <c r="E18" s="134" t="inlineStr">
        <is>
          <t>MOD-HIGH</t>
        </is>
      </c>
      <c r="F18" s="131" t="n">
        <v>7.59</v>
      </c>
      <c r="G18" s="132">
        <f>IF(F18="",0,C18*F18*10)</f>
        <v/>
      </c>
      <c r="H18" s="133" t="inlineStr">
        <is>
          <t>2.7x  [through-cycle: 70/30 latest+5yr median, latest 2.2x → smoothed 2.7x]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7.6x</t>
        </is>
      </c>
      <c r="E19" s="134" t="inlineStr">
        <is>
          <t>MOD-HIGH</t>
        </is>
      </c>
      <c r="F19" s="131" t="n">
        <v>8.82</v>
      </c>
      <c r="G19" s="132">
        <f>IF(F19="",0,C19*F19*10)</f>
        <v/>
      </c>
      <c r="H19" s="133" t="inlineStr">
        <is>
          <t>7.6x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σ=8.1%  |  OM trend +9.2%, σ=3.3%  [quality = direction + stability]</t>
        </is>
      </c>
      <c r="E20" s="134" t="inlineStr">
        <is>
          <t>MOD-HIGH</t>
        </is>
      </c>
      <c r="F20" s="131" t="n">
        <v>6.67</v>
      </c>
      <c r="G20" s="132">
        <f>IF(F20="",0,C20*F20*10)</f>
        <v/>
      </c>
      <c r="H20" s="133" t="inlineStr">
        <is>
          <t>Rev growth σ=8.1%  |  OM trend +9.2%, σ=3.3%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15.2x (scoring basis)  |  5yr avg 65.9x  |  DCF-implied 14.3x [ref only — not used as benchmark]  [-70% vs benchmark]  [trail=10.00 | fwd_pe=15.2x→10.00 | abs=10.0 → blended 40/40/20=10.00]  PEG≈337.07 (trailing_pe=15.2x / rev_cagr=5%, revenue proxy)</t>
        </is>
      </c>
      <c r="E22" s="136" t="inlineStr">
        <is>
          <t>HIGH</t>
        </is>
      </c>
      <c r="F22" s="131" t="n">
        <v>10</v>
      </c>
      <c r="G22" s="132">
        <f>IF(F22="",0,C22*F22*10)</f>
        <v/>
      </c>
      <c r="H22" s="133" t="inlineStr">
        <is>
          <t>Fwd P/E 15.2x (scoring basis)  |  5yr avg 65.9x  |  DCF-implied 14.3x [ref only — not used as benchmark]  [-70% vs benchmark]  [trail=10.00 | fwd_pe=15.2x→10.00 | abs=10.0 → blended 40/40/20=10.00]  PEG≈337.07 (trailing_pe=15.2x / rev_cagr=5%, revenue proxy)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20.3x  |  5yr avg 78.6x  |  DCF-implied 17.6x [ref only — not used as benchmark]  [-59% vs benchmark]  [trail=10.00 | fwd_pfcf=17.2x→10.00 | abs=7.5 → blended 40/40/20=9.50]</t>
        </is>
      </c>
      <c r="E23" s="136" t="inlineStr">
        <is>
          <t>HIGH</t>
        </is>
      </c>
      <c r="F23" s="131" t="n">
        <v>9.5</v>
      </c>
      <c r="G23" s="132">
        <f>IF(F23="",0,C23*F23*10)</f>
        <v/>
      </c>
      <c r="H23" s="133" t="inlineStr">
        <is>
          <t>Current 20.3x  |  5yr avg 78.6x  |  DCF-implied 17.6x [ref only — not used as benchmark]  [-59% vs benchmark]  [trail=10.00 | fwd_pfcf=17.2x→10.00 | abs=7.5 → blended 40/40/20=9.50]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2026-05-29T03:30:35Z</dcterms:created>
  <dcterms:modified xmlns:dcterms="http://purl.org/dc/terms/" xmlns:xsi="http://www.w3.org/2001/XMLSchema-instance" xsi:type="dcterms:W3CDTF">2026-05-29T03:31:53Z</dcterms:modified>
</cp:coreProperties>
</file>