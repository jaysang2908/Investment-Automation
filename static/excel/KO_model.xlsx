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i val="1"/>
      <color rgb="00E65100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1B5E20"/>
      <sz val="10"/>
    </font>
    <font>
      <name val="Arial"/>
      <b val="1"/>
      <color rgb="001565C0"/>
      <sz val="10"/>
    </font>
    <font>
      <name val="Arial"/>
      <b val="1"/>
      <color rgb="00E65100"/>
      <sz val="10"/>
    </font>
    <font>
      <name val="Arial"/>
      <b val="1"/>
      <color rgb="00B71C1C"/>
      <sz val="10"/>
    </font>
    <font>
      <name val="Arial"/>
      <color rgb="001B5E20"/>
      <sz val="10"/>
    </font>
    <font>
      <name val="Arial"/>
      <color rgb="00444444"/>
      <sz val="8"/>
    </font>
  </fonts>
  <fills count="21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BBDEFB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4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indent="2"/>
    </xf>
    <xf numFmtId="0" fontId="3" fillId="14" borderId="1" applyAlignment="1" pivotButton="0" quotePrefix="0" xfId="0">
      <alignment horizontal="left" vertical="center" indent="1"/>
    </xf>
    <xf numFmtId="49" fontId="17" fillId="15" borderId="1" applyAlignment="1" pivotButton="0" quotePrefix="0" xfId="0">
      <alignment horizontal="right" vertical="center"/>
    </xf>
    <xf numFmtId="165" fontId="17" fillId="15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wrapText="1" indent="1"/>
    </xf>
    <xf numFmtId="0" fontId="3" fillId="13" borderId="1" applyAlignment="1" pivotButton="0" quotePrefix="0" xfId="0">
      <alignment horizontal="left" vertical="center" indent="1"/>
    </xf>
    <xf numFmtId="164" fontId="7" fillId="15" borderId="1" applyAlignment="1" pivotButton="0" quotePrefix="0" xfId="0">
      <alignment horizontal="right" vertical="center"/>
    </xf>
    <xf numFmtId="164" fontId="18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wrapText="1" indent="1"/>
    </xf>
    <xf numFmtId="0" fontId="20" fillId="5" borderId="1" applyAlignment="1" pivotButton="0" quotePrefix="0" xfId="0">
      <alignment horizontal="left" vertical="center" indent="2"/>
    </xf>
    <xf numFmtId="0" fontId="13" fillId="13" borderId="1" applyAlignment="1" pivotButton="0" quotePrefix="0" xfId="0">
      <alignment horizontal="right" vertical="center"/>
    </xf>
    <xf numFmtId="0" fontId="21" fillId="14" borderId="1" applyAlignment="1" pivotButton="0" quotePrefix="0" xfId="0">
      <alignment horizontal="right" vertical="center"/>
    </xf>
    <xf numFmtId="3" fontId="20" fillId="13" borderId="1" applyAlignment="1" pivotButton="0" quotePrefix="0" xfId="0">
      <alignment horizontal="right" vertical="center"/>
    </xf>
    <xf numFmtId="3" fontId="22" fillId="13" borderId="1" applyAlignment="1" pivotButton="0" quotePrefix="0" xfId="0">
      <alignment horizontal="right" vertical="center"/>
    </xf>
    <xf numFmtId="0" fontId="21" fillId="15" borderId="1" applyAlignment="1" pivotButton="0" quotePrefix="0" xfId="0">
      <alignment horizontal="right" vertical="center"/>
    </xf>
    <xf numFmtId="165" fontId="20" fillId="15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165" fontId="20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3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5" fontId="20" fillId="5" borderId="1" applyAlignment="1" pivotButton="0" quotePrefix="0" xfId="0">
      <alignment horizontal="right" vertical="center"/>
    </xf>
    <xf numFmtId="171" fontId="23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1" fontId="5" fillId="14" borderId="1" applyAlignment="1" pivotButton="0" quotePrefix="0" xfId="0">
      <alignment horizontal="right" vertical="center"/>
    </xf>
    <xf numFmtId="173" fontId="5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4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4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3" borderId="1" applyAlignment="1" pivotButton="0" quotePrefix="0" xfId="0">
      <alignment horizontal="right" vertical="center"/>
    </xf>
    <xf numFmtId="167" fontId="24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5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6" fillId="16" borderId="0" applyAlignment="1" pivotButton="0" quotePrefix="0" xfId="0">
      <alignment horizontal="left" vertical="center" wrapText="1" indent="1"/>
    </xf>
    <xf numFmtId="0" fontId="27" fillId="7" borderId="1" applyAlignment="1" pivotButton="0" quotePrefix="0" xfId="0">
      <alignment horizontal="left" vertical="center" indent="1"/>
    </xf>
    <xf numFmtId="0" fontId="27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8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28" fillId="14" borderId="1" applyAlignment="1" pivotButton="0" quotePrefix="0" xfId="0">
      <alignment horizontal="center" vertical="center"/>
    </xf>
    <xf numFmtId="168" fontId="6" fillId="14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left" vertical="center"/>
    </xf>
    <xf numFmtId="0" fontId="30" fillId="16" borderId="1" applyAlignment="1" pivotButton="0" quotePrefix="0" xfId="0">
      <alignment horizontal="center" vertical="center"/>
    </xf>
    <xf numFmtId="176" fontId="3" fillId="14" borderId="1" applyAlignment="1" pivotButton="0" quotePrefix="0" xfId="0">
      <alignment horizontal="center" vertical="center"/>
    </xf>
    <xf numFmtId="176" fontId="6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31" fillId="18" borderId="1" applyAlignment="1" pivotButton="0" quotePrefix="0" xfId="0">
      <alignment horizontal="center" vertical="center"/>
    </xf>
    <xf numFmtId="0" fontId="32" fillId="19" borderId="1" applyAlignment="1" pivotButton="0" quotePrefix="0" xfId="0">
      <alignment horizontal="center" vertical="center"/>
    </xf>
    <xf numFmtId="0" fontId="33" fillId="2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4" fillId="3" borderId="1" applyAlignment="1" pivotButton="0" quotePrefix="0" xfId="0">
      <alignment horizontal="left" vertical="center" indent="1"/>
    </xf>
    <xf numFmtId="0" fontId="25" fillId="4" borderId="0" applyAlignment="1" pivotButton="0" quotePrefix="0" xfId="0">
      <alignment horizontal="center" vertical="center"/>
    </xf>
    <xf numFmtId="0" fontId="35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KO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47941</v>
      </c>
    </row>
    <row r="8">
      <c r="A8" s="3" t="inlineStr">
        <is>
          <t>Gross Profit ($mm)</t>
        </is>
      </c>
      <c r="B8" s="7" t="n">
        <v>29544</v>
      </c>
    </row>
    <row r="9">
      <c r="A9" s="3" t="inlineStr">
        <is>
          <t>EBITDA ($mm)</t>
        </is>
      </c>
      <c r="B9" s="7" t="n">
        <v>18702</v>
      </c>
    </row>
    <row r="10">
      <c r="A10" s="3" t="inlineStr">
        <is>
          <t>EBIT ($mm)</t>
        </is>
      </c>
      <c r="B10" s="7" t="n">
        <v>13762</v>
      </c>
    </row>
    <row r="11">
      <c r="A11" s="3" t="inlineStr">
        <is>
          <t>Net Income ($mm)</t>
        </is>
      </c>
      <c r="B11" s="7" t="n">
        <v>13107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KO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38655</v>
      </c>
      <c r="C5" s="16" t="n">
        <v>43004</v>
      </c>
      <c r="D5" s="16" t="n">
        <v>45754</v>
      </c>
      <c r="E5" s="16" t="n">
        <v>47061</v>
      </c>
      <c r="F5" s="16" t="n">
        <v>47941</v>
      </c>
    </row>
    <row r="6">
      <c r="A6" s="17" t="inlineStr">
        <is>
          <t>(2)  Cost of Revenue (COGS)</t>
        </is>
      </c>
      <c r="B6" s="18" t="n">
        <v>15357</v>
      </c>
      <c r="C6" s="18" t="n">
        <v>18000</v>
      </c>
      <c r="D6" s="18" t="n">
        <v>18520</v>
      </c>
      <c r="E6" s="18" t="n">
        <v>18324</v>
      </c>
      <c r="F6" s="18" t="n">
        <v>18397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11865</v>
      </c>
      <c r="C9" s="18" t="n">
        <v>12665</v>
      </c>
      <c r="D9" s="18" t="n">
        <v>13988</v>
      </c>
      <c r="E9" s="18" t="n">
        <v>14442</v>
      </c>
      <c r="F9" s="18" t="n">
        <v>14521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12990</v>
      </c>
      <c r="C11" s="18" t="n">
        <v>14095</v>
      </c>
      <c r="D11" s="18" t="n">
        <v>15923</v>
      </c>
      <c r="E11" s="18" t="n">
        <v>18745</v>
      </c>
      <c r="F11" s="18" t="n">
        <v>15782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1452</v>
      </c>
      <c r="C14" s="18" t="n">
        <v>1260</v>
      </c>
      <c r="D14" s="18" t="n">
        <v>1128</v>
      </c>
      <c r="E14" s="18" t="n">
        <v>1075</v>
      </c>
      <c r="F14" s="18" t="n">
        <v>1050</v>
      </c>
    </row>
    <row r="15">
      <c r="A15" s="19" t="inlineStr">
        <is>
          <t>(8)  EBIT (Operating Income)</t>
        </is>
      </c>
      <c r="B15" s="24" t="n">
        <v>10308</v>
      </c>
      <c r="C15" s="24" t="n">
        <v>10909</v>
      </c>
      <c r="D15" s="24" t="n">
        <v>11311</v>
      </c>
      <c r="E15" s="24" t="n">
        <v>9992</v>
      </c>
      <c r="F15" s="24" t="n">
        <v>13762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1597</v>
      </c>
      <c r="C17" s="18" t="n">
        <v>882</v>
      </c>
      <c r="D17" s="18" t="n">
        <v>1527</v>
      </c>
      <c r="E17" s="18" t="n">
        <v>1656</v>
      </c>
      <c r="F17" s="18" t="n">
        <v>1654</v>
      </c>
    </row>
    <row r="18">
      <c r="A18" s="21" t="inlineStr">
        <is>
          <t xml:space="preserve">     Interest Income</t>
        </is>
      </c>
      <c r="B18" s="18" t="n">
        <v>276</v>
      </c>
      <c r="C18" s="18" t="n">
        <v>449</v>
      </c>
      <c r="D18" s="18" t="n">
        <v>907</v>
      </c>
      <c r="E18" s="18" t="n">
        <v>988</v>
      </c>
      <c r="F18" s="18" t="n">
        <v>786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12425</v>
      </c>
      <c r="C21" s="24" t="n">
        <v>11686</v>
      </c>
      <c r="D21" s="24" t="n">
        <v>12952</v>
      </c>
      <c r="E21" s="24" t="n">
        <v>13086</v>
      </c>
      <c r="F21" s="24" t="n">
        <v>15998</v>
      </c>
    </row>
    <row r="22">
      <c r="A22" s="17" t="inlineStr">
        <is>
          <t>(11) Income Tax Expense</t>
        </is>
      </c>
      <c r="B22" s="18" t="n">
        <v>2621</v>
      </c>
      <c r="C22" s="18" t="n">
        <v>2115</v>
      </c>
      <c r="D22" s="18" t="n">
        <v>2249</v>
      </c>
      <c r="E22" s="18" t="n">
        <v>2437</v>
      </c>
      <c r="F22" s="18" t="n">
        <v>2861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9771</v>
      </c>
      <c r="C24" s="24" t="n">
        <v>9542</v>
      </c>
      <c r="D24" s="24" t="n">
        <v>10714</v>
      </c>
      <c r="E24" s="24" t="n">
        <v>10631</v>
      </c>
      <c r="F24" s="24" t="n">
        <v>13107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38655</v>
      </c>
      <c r="C30" s="16" t="n">
        <v>43004</v>
      </c>
      <c r="D30" s="16" t="n">
        <v>45754</v>
      </c>
      <c r="E30" s="16" t="n">
        <v>47061</v>
      </c>
      <c r="F30" s="16" t="n">
        <v>47941</v>
      </c>
    </row>
    <row r="31">
      <c r="A31" s="17" t="inlineStr">
        <is>
          <t>Cost of Revenue</t>
        </is>
      </c>
      <c r="B31" s="18" t="n">
        <v>15357</v>
      </c>
      <c r="C31" s="18" t="n">
        <v>18000</v>
      </c>
      <c r="D31" s="18" t="n">
        <v>18520</v>
      </c>
      <c r="E31" s="18" t="n">
        <v>18324</v>
      </c>
      <c r="F31" s="18" t="n">
        <v>18397</v>
      </c>
    </row>
    <row r="32">
      <c r="A32" s="26" t="inlineStr">
        <is>
          <t>Gross Profit</t>
        </is>
      </c>
      <c r="B32" s="27" t="n">
        <v>23298</v>
      </c>
      <c r="C32" s="27" t="n">
        <v>25004</v>
      </c>
      <c r="D32" s="27" t="n">
        <v>27234</v>
      </c>
      <c r="E32" s="27" t="n">
        <v>28737</v>
      </c>
      <c r="F32" s="27" t="n">
        <v>29544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0</v>
      </c>
      <c r="C34" s="18" t="n">
        <v>0</v>
      </c>
      <c r="D34" s="18" t="n">
        <v>0</v>
      </c>
      <c r="E34" s="18" t="n">
        <v>0</v>
      </c>
      <c r="F34" s="18" t="n">
        <v>0</v>
      </c>
    </row>
    <row r="35">
      <c r="A35" s="17" t="inlineStr">
        <is>
          <t>General &amp; Administrative</t>
        </is>
      </c>
      <c r="B35" s="18" t="n">
        <v>7865</v>
      </c>
      <c r="C35" s="18" t="n">
        <v>8665</v>
      </c>
      <c r="D35" s="18" t="n">
        <v>8978</v>
      </c>
      <c r="E35" s="18" t="n">
        <v>9296</v>
      </c>
      <c r="F35" s="18" t="n">
        <v>9121</v>
      </c>
    </row>
    <row r="36">
      <c r="A36" s="17" t="inlineStr">
        <is>
          <t>Selling &amp; Marketing</t>
        </is>
      </c>
      <c r="B36" s="18" t="n">
        <v>4000</v>
      </c>
      <c r="C36" s="18" t="n">
        <v>4000</v>
      </c>
      <c r="D36" s="18" t="n">
        <v>5010</v>
      </c>
      <c r="E36" s="18" t="n">
        <v>5146</v>
      </c>
      <c r="F36" s="18" t="n">
        <v>5400</v>
      </c>
    </row>
    <row r="37">
      <c r="A37" s="17" t="inlineStr">
        <is>
          <t>SG&amp;A (Combined)</t>
        </is>
      </c>
      <c r="B37" s="18" t="n">
        <v>11865</v>
      </c>
      <c r="C37" s="18" t="n">
        <v>12665</v>
      </c>
      <c r="D37" s="18" t="n">
        <v>13988</v>
      </c>
      <c r="E37" s="18" t="n">
        <v>14442</v>
      </c>
      <c r="F37" s="18" t="n">
        <v>14521</v>
      </c>
    </row>
    <row r="38">
      <c r="A38" s="17" t="inlineStr">
        <is>
          <t>Other Expenses</t>
        </is>
      </c>
      <c r="B38" s="18" t="n">
        <v>1125</v>
      </c>
      <c r="C38" s="18" t="n">
        <v>1430</v>
      </c>
      <c r="D38" s="18" t="n">
        <v>1935</v>
      </c>
      <c r="E38" s="18" t="n">
        <v>4303</v>
      </c>
      <c r="F38" s="18" t="n">
        <v>1261</v>
      </c>
    </row>
    <row r="39">
      <c r="A39" s="26" t="inlineStr">
        <is>
          <t>Total Operating Expenses</t>
        </is>
      </c>
      <c r="B39" s="27" t="n">
        <v>12990</v>
      </c>
      <c r="C39" s="27" t="n">
        <v>14095</v>
      </c>
      <c r="D39" s="27" t="n">
        <v>15923</v>
      </c>
      <c r="E39" s="27" t="n">
        <v>18745</v>
      </c>
      <c r="F39" s="27" t="n">
        <v>15782</v>
      </c>
    </row>
    <row r="40">
      <c r="A40" s="17" t="inlineStr">
        <is>
          <t>Cost &amp; Expenses (COGS + Opex)</t>
        </is>
      </c>
      <c r="B40" s="18" t="n">
        <v>28347</v>
      </c>
      <c r="C40" s="18" t="n">
        <v>32095</v>
      </c>
      <c r="D40" s="18" t="n">
        <v>34443</v>
      </c>
      <c r="E40" s="18" t="n">
        <v>37069</v>
      </c>
      <c r="F40" s="18" t="n">
        <v>34179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10308</v>
      </c>
      <c r="C42" s="16" t="n">
        <v>10909</v>
      </c>
      <c r="D42" s="16" t="n">
        <v>11311</v>
      </c>
      <c r="E42" s="16" t="n">
        <v>9992</v>
      </c>
      <c r="F42" s="16" t="n">
        <v>13762</v>
      </c>
    </row>
    <row r="43">
      <c r="A43" s="17" t="inlineStr">
        <is>
          <t>EBIT (FMP field)</t>
        </is>
      </c>
      <c r="B43" s="18" t="n">
        <v>14022</v>
      </c>
      <c r="C43" s="18" t="n">
        <v>12568</v>
      </c>
      <c r="D43" s="18" t="n">
        <v>14479</v>
      </c>
      <c r="E43" s="18" t="n">
        <v>14742</v>
      </c>
      <c r="F43" s="18" t="n">
        <v>17652</v>
      </c>
    </row>
    <row r="44">
      <c r="A44" s="26" t="inlineStr">
        <is>
          <t>EBITDA</t>
        </is>
      </c>
      <c r="B44" s="27" t="n">
        <v>15474</v>
      </c>
      <c r="C44" s="27" t="n">
        <v>13828</v>
      </c>
      <c r="D44" s="27" t="n">
        <v>15607</v>
      </c>
      <c r="E44" s="27" t="n">
        <v>15817</v>
      </c>
      <c r="F44" s="27" t="n">
        <v>18702</v>
      </c>
    </row>
    <row r="45">
      <c r="A45" s="17" t="inlineStr">
        <is>
          <t>Depreciation &amp; Amortisation</t>
        </is>
      </c>
      <c r="B45" s="18" t="n">
        <v>1452</v>
      </c>
      <c r="C45" s="18" t="n">
        <v>1260</v>
      </c>
      <c r="D45" s="18" t="n">
        <v>1128</v>
      </c>
      <c r="E45" s="18" t="n">
        <v>1075</v>
      </c>
      <c r="F45" s="18" t="n">
        <v>1050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276</v>
      </c>
      <c r="C47" s="18" t="n">
        <v>449</v>
      </c>
      <c r="D47" s="18" t="n">
        <v>907</v>
      </c>
      <c r="E47" s="18" t="n">
        <v>988</v>
      </c>
      <c r="F47" s="18" t="n">
        <v>786</v>
      </c>
    </row>
    <row r="48">
      <c r="A48" s="17" t="inlineStr">
        <is>
          <t>Interest Expense</t>
        </is>
      </c>
      <c r="B48" s="18" t="n">
        <v>1597</v>
      </c>
      <c r="C48" s="18" t="n">
        <v>882</v>
      </c>
      <c r="D48" s="18" t="n">
        <v>1527</v>
      </c>
      <c r="E48" s="18" t="n">
        <v>1656</v>
      </c>
      <c r="F48" s="18" t="n">
        <v>1654</v>
      </c>
    </row>
    <row r="49">
      <c r="A49" s="17" t="inlineStr">
        <is>
          <t>Net Interest Income</t>
        </is>
      </c>
      <c r="B49" s="18" t="n">
        <v>-1321</v>
      </c>
      <c r="C49" s="18" t="n">
        <v>-433</v>
      </c>
      <c r="D49" s="18" t="n">
        <v>-620</v>
      </c>
      <c r="E49" s="18" t="n">
        <v>-668</v>
      </c>
      <c r="F49" s="18" t="n">
        <v>-868</v>
      </c>
    </row>
    <row r="50">
      <c r="A50" s="17" t="inlineStr">
        <is>
          <t>Non-Operating Income (ex-interest)</t>
        </is>
      </c>
      <c r="B50" s="18" t="n">
        <v>-3714</v>
      </c>
      <c r="C50" s="18" t="n">
        <v>-1659</v>
      </c>
      <c r="D50" s="18" t="n">
        <v>-3168</v>
      </c>
      <c r="E50" s="18" t="n">
        <v>-4750</v>
      </c>
      <c r="F50" s="18" t="n">
        <v>-3890</v>
      </c>
    </row>
    <row r="51">
      <c r="A51" s="17" t="inlineStr">
        <is>
          <t>Total Other Income / (Expenses)</t>
        </is>
      </c>
      <c r="B51" s="18" t="n">
        <v>2117</v>
      </c>
      <c r="C51" s="18" t="n">
        <v>777</v>
      </c>
      <c r="D51" s="18" t="n">
        <v>1641</v>
      </c>
      <c r="E51" s="18" t="n">
        <v>3094</v>
      </c>
      <c r="F51" s="18" t="n">
        <v>2236</v>
      </c>
    </row>
    <row r="52">
      <c r="A52" s="26" t="inlineStr">
        <is>
          <t>EBT / Income Before Tax</t>
        </is>
      </c>
      <c r="B52" s="27" t="n">
        <v>12425</v>
      </c>
      <c r="C52" s="27" t="n">
        <v>11686</v>
      </c>
      <c r="D52" s="27" t="n">
        <v>12952</v>
      </c>
      <c r="E52" s="27" t="n">
        <v>13086</v>
      </c>
      <c r="F52" s="27" t="n">
        <v>15998</v>
      </c>
    </row>
    <row r="53">
      <c r="A53" s="17" t="inlineStr">
        <is>
          <t>Income Tax Expense</t>
        </is>
      </c>
      <c r="B53" s="18" t="n">
        <v>2621</v>
      </c>
      <c r="C53" s="18" t="n">
        <v>2115</v>
      </c>
      <c r="D53" s="18" t="n">
        <v>2249</v>
      </c>
      <c r="E53" s="18" t="n">
        <v>2437</v>
      </c>
      <c r="F53" s="18" t="n">
        <v>2861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9804</v>
      </c>
      <c r="C55" s="18" t="n">
        <v>9571</v>
      </c>
      <c r="D55" s="18" t="n">
        <v>10703</v>
      </c>
      <c r="E55" s="18" t="n">
        <v>10649</v>
      </c>
      <c r="F55" s="18" t="n">
        <v>13137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9771</v>
      </c>
      <c r="C59" s="27" t="n">
        <v>9542</v>
      </c>
      <c r="D59" s="27" t="n">
        <v>10714</v>
      </c>
      <c r="E59" s="27" t="n">
        <v>10631</v>
      </c>
      <c r="F59" s="27" t="n">
        <v>13107</v>
      </c>
    </row>
    <row r="60">
      <c r="A60" s="15" t="inlineStr">
        <is>
          <t>Bottom Line Net Income</t>
        </is>
      </c>
      <c r="B60" s="16" t="n">
        <v>9771</v>
      </c>
      <c r="C60" s="16" t="n">
        <v>9542</v>
      </c>
      <c r="D60" s="16" t="n">
        <v>10714</v>
      </c>
      <c r="E60" s="16" t="n">
        <v>10631</v>
      </c>
      <c r="F60" s="16" t="n">
        <v>13107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2.26</v>
      </c>
      <c r="C62" s="18" t="n">
        <v>2.2</v>
      </c>
      <c r="D62" s="18" t="n">
        <v>2.48</v>
      </c>
      <c r="E62" s="18" t="n">
        <v>2.47</v>
      </c>
      <c r="F62" s="18" t="n">
        <v>3.05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4315</v>
      </c>
      <c r="C64" s="18" t="n">
        <v>4328</v>
      </c>
      <c r="D64" s="18" t="n">
        <v>4323</v>
      </c>
      <c r="E64" s="18" t="n">
        <v>4309</v>
      </c>
      <c r="F64" s="18" t="n">
        <v>4303</v>
      </c>
    </row>
    <row r="65">
      <c r="A65" s="17" t="inlineStr">
        <is>
          <t>Shares Outstanding — Diluted (mm)</t>
        </is>
      </c>
      <c r="B65" s="18" t="n">
        <v>4340</v>
      </c>
      <c r="C65" s="18" t="n">
        <v>4350</v>
      </c>
      <c r="D65" s="18" t="n">
        <v>4339</v>
      </c>
      <c r="E65" s="18" t="n">
        <v>4320</v>
      </c>
      <c r="F65" s="18" t="n">
        <v>4313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KO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9684</v>
      </c>
      <c r="C5" s="18" t="n">
        <v>9519</v>
      </c>
      <c r="D5" s="18" t="n">
        <v>9366</v>
      </c>
      <c r="E5" s="18" t="n">
        <v>10828</v>
      </c>
      <c r="F5" s="18" t="n">
        <v>10270</v>
      </c>
    </row>
    <row r="6">
      <c r="A6" s="17" t="inlineStr">
        <is>
          <t>(2)  Receivables</t>
        </is>
      </c>
      <c r="B6" s="18" t="n">
        <v>3512</v>
      </c>
      <c r="C6" s="18" t="n">
        <v>3487</v>
      </c>
      <c r="D6" s="18" t="n">
        <v>3410</v>
      </c>
      <c r="E6" s="18" t="n">
        <v>3569</v>
      </c>
      <c r="F6" s="18" t="n">
        <v>3038</v>
      </c>
    </row>
    <row r="7">
      <c r="A7" s="17" t="inlineStr">
        <is>
          <t>(3)  Inventory</t>
        </is>
      </c>
      <c r="B7" s="18" t="n">
        <v>3414</v>
      </c>
      <c r="C7" s="18" t="n">
        <v>4233</v>
      </c>
      <c r="D7" s="18" t="n">
        <v>4424</v>
      </c>
      <c r="E7" s="18" t="n">
        <v>4728</v>
      </c>
      <c r="F7" s="18" t="n">
        <v>4425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22545</v>
      </c>
      <c r="C9" s="24" t="n">
        <v>22591</v>
      </c>
      <c r="D9" s="24" t="n">
        <v>26732</v>
      </c>
      <c r="E9" s="24" t="n">
        <v>25997</v>
      </c>
      <c r="F9" s="24" t="n">
        <v>31044</v>
      </c>
    </row>
    <row r="10">
      <c r="A10" s="17" t="inlineStr">
        <is>
          <t>(6)  PP&amp;E (Net)</t>
        </is>
      </c>
      <c r="B10" s="18" t="n">
        <v>9920</v>
      </c>
      <c r="C10" s="18" t="n">
        <v>9841</v>
      </c>
      <c r="D10" s="18" t="n">
        <v>9236</v>
      </c>
      <c r="E10" s="18" t="n">
        <v>11485</v>
      </c>
      <c r="F10" s="18" t="n">
        <v>9613</v>
      </c>
    </row>
    <row r="11">
      <c r="A11" s="17" t="inlineStr">
        <is>
          <t>(7)  Goodwill</t>
        </is>
      </c>
      <c r="B11" s="18" t="n">
        <v>19363</v>
      </c>
      <c r="C11" s="18" t="n">
        <v>18782</v>
      </c>
      <c r="D11" s="18" t="n">
        <v>18358</v>
      </c>
      <c r="E11" s="18" t="n">
        <v>18139</v>
      </c>
      <c r="F11" s="18" t="n">
        <v>15491</v>
      </c>
    </row>
    <row r="12">
      <c r="A12" s="17" t="inlineStr">
        <is>
          <t>(8)  Deferred Tax Assets</t>
        </is>
      </c>
      <c r="B12" s="18" t="n">
        <v>2129</v>
      </c>
      <c r="C12" s="18" t="n">
        <v>1746</v>
      </c>
      <c r="D12" s="18" t="n">
        <v>1561</v>
      </c>
      <c r="E12" s="18" t="n">
        <v>1319</v>
      </c>
      <c r="F12" s="18" t="n">
        <v>1206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71809</v>
      </c>
      <c r="C14" s="24" t="n">
        <v>70172</v>
      </c>
      <c r="D14" s="24" t="n">
        <v>70971</v>
      </c>
      <c r="E14" s="24" t="n">
        <v>74552</v>
      </c>
      <c r="F14" s="24" t="n">
        <v>73772</v>
      </c>
    </row>
    <row r="15">
      <c r="A15" s="19" t="inlineStr">
        <is>
          <t>(11) Total Assets</t>
        </is>
      </c>
      <c r="B15" s="24" t="n">
        <v>94354</v>
      </c>
      <c r="C15" s="24" t="n">
        <v>92763</v>
      </c>
      <c r="D15" s="24" t="n">
        <v>97703</v>
      </c>
      <c r="E15" s="24" t="n">
        <v>100549</v>
      </c>
      <c r="F15" s="24" t="n">
        <v>104816</v>
      </c>
    </row>
    <row r="16" ht="6" customHeight="1"/>
    <row r="17">
      <c r="A17" s="17" t="inlineStr">
        <is>
          <t>(12) Accounts Payable</t>
        </is>
      </c>
      <c r="B17" s="18" t="n">
        <v>4602</v>
      </c>
      <c r="C17" s="18" t="n">
        <v>5307</v>
      </c>
      <c r="D17" s="18" t="n">
        <v>5590</v>
      </c>
      <c r="E17" s="18" t="n">
        <v>5468</v>
      </c>
      <c r="F17" s="18" t="n">
        <v>14813</v>
      </c>
    </row>
    <row r="18">
      <c r="A18" s="17" t="inlineStr">
        <is>
          <t>(13) Short-Term Borrowings</t>
        </is>
      </c>
      <c r="B18" s="18" t="n">
        <v>4955</v>
      </c>
      <c r="C18" s="18" t="n">
        <v>3113</v>
      </c>
      <c r="D18" s="18" t="n">
        <v>6878</v>
      </c>
      <c r="E18" s="18" t="n">
        <v>2437</v>
      </c>
      <c r="F18" s="18" t="n">
        <v>3373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19950</v>
      </c>
      <c r="C21" s="24" t="n">
        <v>19724</v>
      </c>
      <c r="D21" s="24" t="n">
        <v>23571</v>
      </c>
      <c r="E21" s="24" t="n">
        <v>25249</v>
      </c>
      <c r="F21" s="24" t="n">
        <v>21281</v>
      </c>
    </row>
    <row r="22">
      <c r="A22" s="17" t="inlineStr">
        <is>
          <t>(17) Long-Term Debt</t>
        </is>
      </c>
      <c r="B22" s="18" t="n">
        <v>38116</v>
      </c>
      <c r="C22" s="18" t="n">
        <v>36377</v>
      </c>
      <c r="D22" s="18" t="n">
        <v>35547</v>
      </c>
      <c r="E22" s="18" t="n">
        <v>42375</v>
      </c>
      <c r="F22" s="18" t="n">
        <v>42119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69494</v>
      </c>
      <c r="C25" s="24" t="n">
        <v>66937</v>
      </c>
      <c r="D25" s="24" t="n">
        <v>70223</v>
      </c>
      <c r="E25" s="24" t="n">
        <v>74177</v>
      </c>
      <c r="F25" s="24" t="n">
        <v>70541</v>
      </c>
    </row>
    <row r="26" ht="6" customHeight="1"/>
    <row r="27">
      <c r="A27" s="17" t="inlineStr">
        <is>
          <t>(21) Common Stock &amp; APIC</t>
        </is>
      </c>
      <c r="B27" s="18" t="n">
        <v>1760</v>
      </c>
      <c r="C27" s="18" t="n">
        <v>1760</v>
      </c>
      <c r="D27" s="18" t="n">
        <v>1760</v>
      </c>
      <c r="E27" s="18" t="n">
        <v>1760</v>
      </c>
      <c r="F27" s="18" t="n">
        <v>1760</v>
      </c>
    </row>
    <row r="28">
      <c r="A28" s="17" t="inlineStr">
        <is>
          <t>(22) Retained Earnings</t>
        </is>
      </c>
      <c r="B28" s="18" t="n">
        <v>69094</v>
      </c>
      <c r="C28" s="18" t="n">
        <v>71019</v>
      </c>
      <c r="D28" s="18" t="n">
        <v>73782</v>
      </c>
      <c r="E28" s="18" t="n">
        <v>76054</v>
      </c>
      <c r="F28" s="18" t="n">
        <v>80382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22999</v>
      </c>
      <c r="C30" s="24" t="n">
        <v>24105</v>
      </c>
      <c r="D30" s="24" t="n">
        <v>25941</v>
      </c>
      <c r="E30" s="24" t="n">
        <v>24856</v>
      </c>
      <c r="F30" s="24" t="n">
        <v>32169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9684</v>
      </c>
      <c r="C36" s="18" t="n">
        <v>9519</v>
      </c>
      <c r="D36" s="18" t="n">
        <v>9366</v>
      </c>
      <c r="E36" s="18" t="n">
        <v>10828</v>
      </c>
      <c r="F36" s="18" t="n">
        <v>10270</v>
      </c>
    </row>
    <row r="37">
      <c r="A37" s="17" t="inlineStr">
        <is>
          <t>Short-Term Investments</t>
        </is>
      </c>
      <c r="B37" s="18" t="n">
        <v>2941</v>
      </c>
      <c r="C37" s="18" t="n">
        <v>2112</v>
      </c>
      <c r="D37" s="18" t="n">
        <v>4297</v>
      </c>
      <c r="E37" s="18" t="n">
        <v>3743</v>
      </c>
      <c r="F37" s="18" t="n">
        <v>3602</v>
      </c>
    </row>
    <row r="38">
      <c r="A38" s="28" t="inlineStr">
        <is>
          <t>Cash &amp; Short-Term Investments</t>
        </is>
      </c>
      <c r="B38" s="29" t="n">
        <v>12625</v>
      </c>
      <c r="C38" s="29" t="n">
        <v>11631</v>
      </c>
      <c r="D38" s="29" t="n">
        <v>13663</v>
      </c>
      <c r="E38" s="29" t="n">
        <v>14571</v>
      </c>
      <c r="F38" s="29" t="n">
        <v>13872</v>
      </c>
    </row>
    <row r="39">
      <c r="A39" s="17" t="inlineStr">
        <is>
          <t>Accounts Receivable (Trade)</t>
        </is>
      </c>
      <c r="B39" s="18" t="n">
        <v>3512</v>
      </c>
      <c r="C39" s="18" t="n">
        <v>3487</v>
      </c>
      <c r="D39" s="18" t="n">
        <v>3410</v>
      </c>
      <c r="E39" s="18" t="n">
        <v>3569</v>
      </c>
      <c r="F39" s="18" t="n">
        <v>3038</v>
      </c>
    </row>
    <row r="40">
      <c r="A40" s="17" t="inlineStr">
        <is>
          <t>Other Receivables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</row>
    <row r="41">
      <c r="A41" s="28" t="inlineStr">
        <is>
          <t>Net Receivables (Total)</t>
        </is>
      </c>
      <c r="B41" s="29" t="n">
        <v>3512</v>
      </c>
      <c r="C41" s="29" t="n">
        <v>3487</v>
      </c>
      <c r="D41" s="29" t="n">
        <v>3410</v>
      </c>
      <c r="E41" s="29" t="n">
        <v>3569</v>
      </c>
      <c r="F41" s="29" t="n">
        <v>3038</v>
      </c>
    </row>
    <row r="42">
      <c r="A42" s="17" t="inlineStr">
        <is>
          <t>Inventory</t>
        </is>
      </c>
      <c r="B42" s="18" t="n">
        <v>3414</v>
      </c>
      <c r="C42" s="18" t="n">
        <v>4233</v>
      </c>
      <c r="D42" s="18" t="n">
        <v>4424</v>
      </c>
      <c r="E42" s="18" t="n">
        <v>4728</v>
      </c>
      <c r="F42" s="18" t="n">
        <v>4425</v>
      </c>
    </row>
    <row r="43">
      <c r="A43" s="17" t="inlineStr">
        <is>
          <t>Prepaids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2994</v>
      </c>
      <c r="C44" s="18" t="n">
        <v>3240</v>
      </c>
      <c r="D44" s="18" t="n">
        <v>5235</v>
      </c>
      <c r="E44" s="18" t="n">
        <v>3129</v>
      </c>
      <c r="F44" s="18" t="n">
        <v>9709</v>
      </c>
    </row>
    <row r="45">
      <c r="A45" s="26" t="inlineStr">
        <is>
          <t>Total Current Assets</t>
        </is>
      </c>
      <c r="B45" s="27" t="n">
        <v>22545</v>
      </c>
      <c r="C45" s="27" t="n">
        <v>22591</v>
      </c>
      <c r="D45" s="27" t="n">
        <v>26732</v>
      </c>
      <c r="E45" s="27" t="n">
        <v>25997</v>
      </c>
      <c r="F45" s="27" t="n">
        <v>31044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9920</v>
      </c>
      <c r="C47" s="18" t="n">
        <v>9841</v>
      </c>
      <c r="D47" s="18" t="n">
        <v>9236</v>
      </c>
      <c r="E47" s="18" t="n">
        <v>11485</v>
      </c>
      <c r="F47" s="18" t="n">
        <v>9613</v>
      </c>
    </row>
    <row r="48">
      <c r="A48" s="17" t="inlineStr">
        <is>
          <t>Goodwill</t>
        </is>
      </c>
      <c r="B48" s="18" t="n">
        <v>19363</v>
      </c>
      <c r="C48" s="18" t="n">
        <v>18782</v>
      </c>
      <c r="D48" s="18" t="n">
        <v>18358</v>
      </c>
      <c r="E48" s="18" t="n">
        <v>18139</v>
      </c>
      <c r="F48" s="18" t="n">
        <v>15491</v>
      </c>
    </row>
    <row r="49">
      <c r="A49" s="17" t="inlineStr">
        <is>
          <t>Intangible Assets</t>
        </is>
      </c>
      <c r="B49" s="18" t="n">
        <v>15250</v>
      </c>
      <c r="C49" s="18" t="n">
        <v>14849</v>
      </c>
      <c r="D49" s="18" t="n">
        <v>14865</v>
      </c>
      <c r="E49" s="18" t="n">
        <v>13301</v>
      </c>
      <c r="F49" s="18" t="n">
        <v>12531</v>
      </c>
    </row>
    <row r="50">
      <c r="A50" s="17" t="inlineStr">
        <is>
          <t>Long-Term Investments</t>
        </is>
      </c>
      <c r="B50" s="18" t="n">
        <v>18416</v>
      </c>
      <c r="C50" s="18" t="n">
        <v>18765</v>
      </c>
      <c r="D50" s="18" t="n">
        <v>19789</v>
      </c>
      <c r="E50" s="18" t="n">
        <v>19275</v>
      </c>
      <c r="F50" s="18" t="n">
        <v>20235</v>
      </c>
    </row>
    <row r="51">
      <c r="A51" s="17" t="inlineStr">
        <is>
          <t>Tax Assets (Deferred)</t>
        </is>
      </c>
      <c r="B51" s="18" t="n">
        <v>2129</v>
      </c>
      <c r="C51" s="18" t="n">
        <v>1746</v>
      </c>
      <c r="D51" s="18" t="n">
        <v>1561</v>
      </c>
      <c r="E51" s="18" t="n">
        <v>1319</v>
      </c>
      <c r="F51" s="18" t="n">
        <v>1206</v>
      </c>
    </row>
    <row r="52">
      <c r="A52" s="17" t="inlineStr">
        <is>
          <t>Total Investments</t>
        </is>
      </c>
      <c r="B52" s="18" t="n">
        <v>21357</v>
      </c>
      <c r="C52" s="18" t="n">
        <v>20877</v>
      </c>
      <c r="D52" s="18" t="n">
        <v>24086</v>
      </c>
      <c r="E52" s="18" t="n">
        <v>23018</v>
      </c>
      <c r="F52" s="18" t="n">
        <v>23837</v>
      </c>
    </row>
    <row r="53">
      <c r="A53" s="17" t="inlineStr">
        <is>
          <t>Other Non-Current Assets</t>
        </is>
      </c>
      <c r="B53" s="18" t="n">
        <v>6731</v>
      </c>
      <c r="C53" s="18" t="n">
        <v>6189</v>
      </c>
      <c r="D53" s="18" t="n">
        <v>7162</v>
      </c>
      <c r="E53" s="18" t="n">
        <v>11033</v>
      </c>
      <c r="F53" s="18" t="n">
        <v>14696</v>
      </c>
    </row>
    <row r="54">
      <c r="A54" s="26" t="inlineStr">
        <is>
          <t>Total Non-Current Assets</t>
        </is>
      </c>
      <c r="B54" s="27" t="n">
        <v>71809</v>
      </c>
      <c r="C54" s="27" t="n">
        <v>70172</v>
      </c>
      <c r="D54" s="27" t="n">
        <v>70971</v>
      </c>
      <c r="E54" s="27" t="n">
        <v>74552</v>
      </c>
      <c r="F54" s="27" t="n">
        <v>73772</v>
      </c>
    </row>
    <row r="55">
      <c r="A55" s="13" t="inlineStr">
        <is>
          <t>TOTAL ASSETS</t>
        </is>
      </c>
      <c r="B55" s="30" t="n">
        <v>94354</v>
      </c>
      <c r="C55" s="30" t="n">
        <v>92763</v>
      </c>
      <c r="D55" s="30" t="n">
        <v>97703</v>
      </c>
      <c r="E55" s="30" t="n">
        <v>100549</v>
      </c>
      <c r="F55" s="30" t="n">
        <v>104816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4602</v>
      </c>
      <c r="C57" s="18" t="n">
        <v>5307</v>
      </c>
      <c r="D57" s="18" t="n">
        <v>5590</v>
      </c>
      <c r="E57" s="18" t="n">
        <v>5468</v>
      </c>
      <c r="F57" s="18" t="n">
        <v>14813</v>
      </c>
    </row>
    <row r="58">
      <c r="A58" s="17" t="inlineStr">
        <is>
          <t>Short-Term Debt</t>
        </is>
      </c>
      <c r="B58" s="18" t="n">
        <v>4955</v>
      </c>
      <c r="C58" s="18" t="n">
        <v>3113</v>
      </c>
      <c r="D58" s="18" t="n">
        <v>6878</v>
      </c>
      <c r="E58" s="18" t="n">
        <v>2437</v>
      </c>
      <c r="F58" s="18" t="n">
        <v>3373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0</v>
      </c>
      <c r="C60" s="18" t="n">
        <v>0</v>
      </c>
      <c r="D60" s="18" t="n">
        <v>0</v>
      </c>
      <c r="E60" s="18" t="n">
        <v>0</v>
      </c>
      <c r="F60" s="18" t="n">
        <v>0</v>
      </c>
    </row>
    <row r="61">
      <c r="A61" s="17" t="inlineStr">
        <is>
          <t>Accrued &amp; Other Current Liabilities</t>
        </is>
      </c>
      <c r="B61" s="18" t="n">
        <v>8656</v>
      </c>
      <c r="C61" s="18" t="n">
        <v>9014</v>
      </c>
      <c r="D61" s="18" t="n">
        <v>8069</v>
      </c>
      <c r="E61" s="18" t="n">
        <v>14492</v>
      </c>
      <c r="F61" s="18" t="n">
        <v>2570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19950</v>
      </c>
      <c r="C63" s="27" t="n">
        <v>19724</v>
      </c>
      <c r="D63" s="27" t="n">
        <v>23571</v>
      </c>
      <c r="E63" s="27" t="n">
        <v>25249</v>
      </c>
      <c r="F63" s="27" t="n">
        <v>21281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38116</v>
      </c>
      <c r="C65" s="18" t="n">
        <v>36377</v>
      </c>
      <c r="D65" s="18" t="n">
        <v>35547</v>
      </c>
      <c r="E65" s="18" t="n">
        <v>42375</v>
      </c>
      <c r="F65" s="18" t="n">
        <v>42119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0</v>
      </c>
      <c r="C67" s="18" t="n">
        <v>0</v>
      </c>
      <c r="D67" s="18" t="n">
        <v>0</v>
      </c>
      <c r="E67" s="18" t="n">
        <v>0</v>
      </c>
      <c r="F67" s="18" t="n">
        <v>0</v>
      </c>
    </row>
    <row r="68">
      <c r="A68" s="17" t="inlineStr">
        <is>
          <t>Deferred Tax Liabilities</t>
        </is>
      </c>
      <c r="B68" s="18" t="n">
        <v>2821</v>
      </c>
      <c r="C68" s="18" t="n">
        <v>2914</v>
      </c>
      <c r="D68" s="18" t="n">
        <v>2639</v>
      </c>
      <c r="E68" s="18" t="n">
        <v>2469</v>
      </c>
      <c r="F68" s="18" t="n">
        <v>2406</v>
      </c>
    </row>
    <row r="69">
      <c r="A69" s="17" t="inlineStr">
        <is>
          <t>Other Non-Current Liabilities</t>
        </is>
      </c>
      <c r="B69" s="18" t="n">
        <v>7446</v>
      </c>
      <c r="C69" s="18" t="n">
        <v>6809</v>
      </c>
      <c r="D69" s="18" t="n">
        <v>7465</v>
      </c>
      <c r="E69" s="18" t="n">
        <v>3161</v>
      </c>
      <c r="F69" s="18" t="n">
        <v>4735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69494</v>
      </c>
      <c r="C71" s="30" t="n">
        <v>66937</v>
      </c>
      <c r="D71" s="30" t="n">
        <v>70223</v>
      </c>
      <c r="E71" s="30" t="n">
        <v>74177</v>
      </c>
      <c r="F71" s="30" t="n">
        <v>70541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1760</v>
      </c>
      <c r="C73" s="18" t="n">
        <v>1760</v>
      </c>
      <c r="D73" s="18" t="n">
        <v>1760</v>
      </c>
      <c r="E73" s="18" t="n">
        <v>1760</v>
      </c>
      <c r="F73" s="18" t="n">
        <v>1760</v>
      </c>
    </row>
    <row r="74">
      <c r="A74" s="17" t="inlineStr">
        <is>
          <t>Retained Earnings</t>
        </is>
      </c>
      <c r="B74" s="18" t="n">
        <v>69094</v>
      </c>
      <c r="C74" s="18" t="n">
        <v>71019</v>
      </c>
      <c r="D74" s="18" t="n">
        <v>73782</v>
      </c>
      <c r="E74" s="18" t="n">
        <v>76054</v>
      </c>
      <c r="F74" s="18" t="n">
        <v>80382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1861</v>
      </c>
      <c r="C77" s="18" t="n">
        <v>1721</v>
      </c>
      <c r="D77" s="18" t="n">
        <v>1539</v>
      </c>
      <c r="E77" s="18" t="n">
        <v>1516</v>
      </c>
      <c r="F77" s="18" t="n">
        <v>2106</v>
      </c>
    </row>
    <row r="78">
      <c r="A78" s="26" t="inlineStr">
        <is>
          <t>Total Equity (inc. Minority)</t>
        </is>
      </c>
      <c r="B78" s="27" t="n">
        <v>24860</v>
      </c>
      <c r="C78" s="27" t="n">
        <v>25826</v>
      </c>
      <c r="D78" s="27" t="n">
        <v>27480</v>
      </c>
      <c r="E78" s="27" t="n">
        <v>26372</v>
      </c>
      <c r="F78" s="27" t="n">
        <v>34275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KO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12625</v>
      </c>
      <c r="C5" s="24" t="n">
        <v>11018</v>
      </c>
      <c r="D5" s="24" t="n">
        <v>11599</v>
      </c>
      <c r="E5" s="24" t="n">
        <v>6805</v>
      </c>
      <c r="F5" s="24" t="n">
        <v>7408</v>
      </c>
    </row>
    <row r="6">
      <c r="A6" s="17" t="inlineStr">
        <is>
          <t>(2)  Capital Expenditures</t>
        </is>
      </c>
      <c r="B6" s="18" t="n">
        <v>-1367</v>
      </c>
      <c r="C6" s="18" t="n">
        <v>-1484</v>
      </c>
      <c r="D6" s="18" t="n">
        <v>-1852</v>
      </c>
      <c r="E6" s="18" t="n">
        <v>-2064</v>
      </c>
      <c r="F6" s="18" t="n">
        <v>-2112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228</v>
      </c>
      <c r="C9" s="18" t="n">
        <v>-958</v>
      </c>
      <c r="D9" s="18" t="n">
        <v>1857</v>
      </c>
      <c r="E9" s="18" t="n">
        <v>2528</v>
      </c>
      <c r="F9" s="18" t="n">
        <v>13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702</v>
      </c>
      <c r="C11" s="18" t="n">
        <v>837</v>
      </c>
      <c r="D11" s="18" t="n">
        <v>539</v>
      </c>
      <c r="E11" s="18" t="n">
        <v>747</v>
      </c>
      <c r="F11" s="18" t="n">
        <v>313</v>
      </c>
    </row>
    <row r="12">
      <c r="A12" s="17" t="inlineStr">
        <is>
          <t>(7)  Dividends Paid</t>
        </is>
      </c>
      <c r="B12" s="18" t="n">
        <v>-7252</v>
      </c>
      <c r="C12" s="18" t="n">
        <v>-7616</v>
      </c>
      <c r="D12" s="18" t="n">
        <v>-7952</v>
      </c>
      <c r="E12" s="18" t="n">
        <v>-8359</v>
      </c>
      <c r="F12" s="18" t="n">
        <v>-8779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11258</v>
      </c>
      <c r="C15" s="24" t="n">
        <v>9534</v>
      </c>
      <c r="D15" s="24" t="n">
        <v>9747</v>
      </c>
      <c r="E15" s="24" t="n">
        <v>4741</v>
      </c>
      <c r="F15" s="24" t="n">
        <v>5296</v>
      </c>
    </row>
    <row r="16">
      <c r="A16" s="15" t="inlineStr">
        <is>
          <t xml:space="preserve">     Net Change in Cash</t>
        </is>
      </c>
      <c r="B16" s="16" t="n">
        <v>2915</v>
      </c>
      <c r="C16" s="16" t="n">
        <v>-200</v>
      </c>
      <c r="D16" s="16" t="n">
        <v>-133</v>
      </c>
      <c r="E16" s="16" t="n">
        <v>1796</v>
      </c>
      <c r="F16" s="16" t="n">
        <v>-478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9804</v>
      </c>
      <c r="C21" s="18" t="n">
        <v>9571</v>
      </c>
      <c r="D21" s="18" t="n">
        <v>10714</v>
      </c>
      <c r="E21" s="18" t="n">
        <v>10631</v>
      </c>
      <c r="F21" s="18" t="n">
        <v>13107</v>
      </c>
    </row>
    <row r="22">
      <c r="A22" s="17" t="inlineStr">
        <is>
          <t>Depreciation &amp; Amortisation</t>
        </is>
      </c>
      <c r="B22" s="18" t="n">
        <v>1452</v>
      </c>
      <c r="C22" s="18" t="n">
        <v>1260</v>
      </c>
      <c r="D22" s="18" t="n">
        <v>1128</v>
      </c>
      <c r="E22" s="18" t="n">
        <v>1075</v>
      </c>
      <c r="F22" s="18" t="n">
        <v>1050</v>
      </c>
    </row>
    <row r="23">
      <c r="A23" s="17" t="inlineStr">
        <is>
          <t>Deferred Income Tax</t>
        </is>
      </c>
      <c r="B23" s="18" t="n">
        <v>894</v>
      </c>
      <c r="C23" s="18" t="n">
        <v>-122</v>
      </c>
      <c r="D23" s="18" t="n">
        <v>-2</v>
      </c>
      <c r="E23" s="18" t="n">
        <v>-11</v>
      </c>
      <c r="F23" s="18" t="n">
        <v>517</v>
      </c>
    </row>
    <row r="24">
      <c r="A24" s="17" t="inlineStr">
        <is>
          <t>Stock-Based Compensation</t>
        </is>
      </c>
      <c r="B24" s="18" t="n">
        <v>337</v>
      </c>
      <c r="C24" s="18" t="n">
        <v>356</v>
      </c>
      <c r="D24" s="18" t="n">
        <v>254</v>
      </c>
      <c r="E24" s="18" t="n">
        <v>286</v>
      </c>
      <c r="F24" s="18" t="n">
        <v>279</v>
      </c>
    </row>
    <row r="25">
      <c r="A25" s="17" t="inlineStr">
        <is>
          <t>Change in Working Capital</t>
        </is>
      </c>
      <c r="B25" s="18" t="n">
        <v>1325</v>
      </c>
      <c r="C25" s="18" t="n">
        <v>-605</v>
      </c>
      <c r="D25" s="18" t="n">
        <v>-846</v>
      </c>
      <c r="E25" s="18" t="n">
        <v>-6234</v>
      </c>
      <c r="F25" s="18" t="n">
        <v>-7208</v>
      </c>
    </row>
    <row r="26">
      <c r="A26" s="21" t="inlineStr">
        <is>
          <t xml:space="preserve">  — Accounts Receivable</t>
        </is>
      </c>
      <c r="B26" s="18" t="n">
        <v>-225</v>
      </c>
      <c r="C26" s="18" t="n">
        <v>-69</v>
      </c>
      <c r="D26" s="18" t="n">
        <v>-2</v>
      </c>
      <c r="E26" s="18" t="n">
        <v>-295</v>
      </c>
      <c r="F26" s="18" t="n">
        <v>0</v>
      </c>
    </row>
    <row r="27">
      <c r="A27" s="21" t="inlineStr">
        <is>
          <t xml:space="preserve">  — Inventory</t>
        </is>
      </c>
      <c r="B27" s="18" t="n">
        <v>-135</v>
      </c>
      <c r="C27" s="18" t="n">
        <v>-960</v>
      </c>
      <c r="D27" s="18" t="n">
        <v>-597</v>
      </c>
      <c r="E27" s="18" t="n">
        <v>-520</v>
      </c>
      <c r="F27" s="18" t="n">
        <v>0</v>
      </c>
    </row>
    <row r="28">
      <c r="A28" s="21" t="inlineStr">
        <is>
          <t xml:space="preserve">  — Accounts Payable</t>
        </is>
      </c>
      <c r="B28" s="18" t="n">
        <v>2843</v>
      </c>
      <c r="C28" s="18" t="n">
        <v>759</v>
      </c>
      <c r="D28" s="18" t="n">
        <v>841</v>
      </c>
      <c r="E28" s="18" t="n">
        <v>1134</v>
      </c>
      <c r="F28" s="18" t="n">
        <v>0</v>
      </c>
    </row>
    <row r="29">
      <c r="A29" s="21" t="inlineStr">
        <is>
          <t xml:space="preserve">  — Other Working Capital</t>
        </is>
      </c>
      <c r="B29" s="18" t="n">
        <v>-1158</v>
      </c>
      <c r="C29" s="18" t="n">
        <v>-335</v>
      </c>
      <c r="D29" s="18" t="n">
        <v>-1088</v>
      </c>
      <c r="E29" s="18" t="n">
        <v>-6553</v>
      </c>
      <c r="F29" s="18" t="n">
        <v>-7208</v>
      </c>
    </row>
    <row r="30">
      <c r="A30" s="17" t="inlineStr">
        <is>
          <t>Other Non-Cash Items</t>
        </is>
      </c>
      <c r="B30" s="18" t="n">
        <v>-1187</v>
      </c>
      <c r="C30" s="18" t="n">
        <v>558</v>
      </c>
      <c r="D30" s="18" t="n">
        <v>351</v>
      </c>
      <c r="E30" s="18" t="n">
        <v>1058</v>
      </c>
      <c r="F30" s="18" t="n">
        <v>-367</v>
      </c>
    </row>
    <row r="31">
      <c r="A31" s="26" t="inlineStr">
        <is>
          <t>Net Cash from Operations (CFO)</t>
        </is>
      </c>
      <c r="B31" s="27" t="n">
        <v>12625</v>
      </c>
      <c r="C31" s="27" t="n">
        <v>11018</v>
      </c>
      <c r="D31" s="27" t="n">
        <v>11599</v>
      </c>
      <c r="E31" s="27" t="n">
        <v>6805</v>
      </c>
      <c r="F31" s="27" t="n">
        <v>7408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-1367</v>
      </c>
      <c r="C33" s="18" t="n">
        <v>-1484</v>
      </c>
      <c r="D33" s="18" t="n">
        <v>-1852</v>
      </c>
      <c r="E33" s="18" t="n">
        <v>-2064</v>
      </c>
      <c r="F33" s="18" t="n">
        <v>-2112</v>
      </c>
    </row>
    <row r="34">
      <c r="A34" s="21" t="inlineStr">
        <is>
          <t xml:space="preserve">  (Alt: Invest. in PP&amp;E)</t>
        </is>
      </c>
      <c r="B34" s="18" t="n">
        <v>-1367</v>
      </c>
      <c r="C34" s="18" t="n">
        <v>-1484</v>
      </c>
      <c r="D34" s="18" t="n">
        <v>-1852</v>
      </c>
      <c r="E34" s="18" t="n">
        <v>-2064</v>
      </c>
      <c r="F34" s="18" t="n">
        <v>-2112</v>
      </c>
    </row>
    <row r="35">
      <c r="A35" s="17" t="inlineStr">
        <is>
          <t>Acquisitions (Net)</t>
        </is>
      </c>
      <c r="B35" s="18" t="n">
        <v>-2586</v>
      </c>
      <c r="C35" s="18" t="n">
        <v>385</v>
      </c>
      <c r="D35" s="18" t="n">
        <v>442</v>
      </c>
      <c r="E35" s="18" t="n">
        <v>3170</v>
      </c>
      <c r="F35" s="18" t="n">
        <v>-461</v>
      </c>
    </row>
    <row r="36">
      <c r="A36" s="17" t="inlineStr">
        <is>
          <t>Purchases of Investments</t>
        </is>
      </c>
      <c r="B36" s="18" t="n">
        <v>-6030</v>
      </c>
      <c r="C36" s="18" t="n">
        <v>-3751</v>
      </c>
      <c r="D36" s="18" t="n">
        <v>-6698</v>
      </c>
      <c r="E36" s="18" t="n">
        <v>-5640</v>
      </c>
      <c r="F36" s="18" t="n">
        <v>-6160</v>
      </c>
    </row>
    <row r="37">
      <c r="A37" s="17" t="inlineStr">
        <is>
          <t>Sales / Maturities of Investments</t>
        </is>
      </c>
      <c r="B37" s="18" t="n">
        <v>7059</v>
      </c>
      <c r="C37" s="18" t="n">
        <v>4771</v>
      </c>
      <c r="D37" s="18" t="n">
        <v>4354</v>
      </c>
      <c r="E37" s="18" t="n">
        <v>6589</v>
      </c>
      <c r="F37" s="18" t="n">
        <v>8232</v>
      </c>
    </row>
    <row r="38">
      <c r="A38" s="17" t="inlineStr">
        <is>
          <t>Other Investing Activities</t>
        </is>
      </c>
      <c r="B38" s="18" t="n">
        <v>159</v>
      </c>
      <c r="C38" s="18" t="n">
        <v>-684</v>
      </c>
      <c r="D38" s="18" t="n">
        <v>405</v>
      </c>
      <c r="E38" s="18" t="n">
        <v>469</v>
      </c>
      <c r="F38" s="18" t="n">
        <v>434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228</v>
      </c>
      <c r="C41" s="18" t="n">
        <v>-958</v>
      </c>
      <c r="D41" s="18" t="n">
        <v>1857</v>
      </c>
      <c r="E41" s="18" t="n">
        <v>2528</v>
      </c>
      <c r="F41" s="18" t="n">
        <v>13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702</v>
      </c>
      <c r="C43" s="18" t="n">
        <v>837</v>
      </c>
      <c r="D43" s="18" t="n">
        <v>539</v>
      </c>
      <c r="E43" s="18" t="n">
        <v>747</v>
      </c>
      <c r="F43" s="18" t="n">
        <v>313</v>
      </c>
    </row>
    <row r="44">
      <c r="A44" s="17" t="inlineStr">
        <is>
          <t>Common Stock Repurchased (Buybacks)</t>
        </is>
      </c>
      <c r="B44" s="18" t="n">
        <v>-111</v>
      </c>
      <c r="C44" s="18" t="n">
        <v>-1418</v>
      </c>
      <c r="D44" s="18" t="n">
        <v>-2289</v>
      </c>
      <c r="E44" s="18" t="n">
        <v>-1795</v>
      </c>
      <c r="F44" s="18" t="n">
        <v>-746</v>
      </c>
    </row>
    <row r="45">
      <c r="A45" s="17" t="inlineStr">
        <is>
          <t>Dividends Paid</t>
        </is>
      </c>
      <c r="B45" s="18" t="n">
        <v>-7252</v>
      </c>
      <c r="C45" s="18" t="n">
        <v>-7616</v>
      </c>
      <c r="D45" s="18" t="n">
        <v>-7952</v>
      </c>
      <c r="E45" s="18" t="n">
        <v>-8359</v>
      </c>
      <c r="F45" s="18" t="n">
        <v>-8779</v>
      </c>
    </row>
    <row r="46">
      <c r="A46" s="17" t="inlineStr">
        <is>
          <t>Other Financing Activities</t>
        </is>
      </c>
      <c r="B46" s="18" t="n">
        <v>-353</v>
      </c>
      <c r="C46" s="18" t="n">
        <v>-1095</v>
      </c>
      <c r="D46" s="18" t="n">
        <v>-465</v>
      </c>
      <c r="E46" s="18" t="n">
        <v>-31</v>
      </c>
      <c r="F46" s="18" t="n">
        <v>1059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-159</v>
      </c>
      <c r="C49" s="18" t="n">
        <v>-205</v>
      </c>
      <c r="D49" s="18" t="n">
        <v>-73</v>
      </c>
      <c r="E49" s="18" t="n">
        <v>-623</v>
      </c>
      <c r="F49" s="18" t="n">
        <v>321</v>
      </c>
    </row>
    <row r="50">
      <c r="A50" s="15" t="inlineStr">
        <is>
          <t>Net Change in Cash</t>
        </is>
      </c>
      <c r="B50" s="16" t="n">
        <v>2915</v>
      </c>
      <c r="C50" s="16" t="n">
        <v>-200</v>
      </c>
      <c r="D50" s="16" t="n">
        <v>-133</v>
      </c>
      <c r="E50" s="16" t="n">
        <v>1796</v>
      </c>
      <c r="F50" s="16" t="n">
        <v>-478</v>
      </c>
    </row>
    <row r="51">
      <c r="A51" s="17" t="inlineStr">
        <is>
          <t>Cash at Beginning of Period</t>
        </is>
      </c>
      <c r="B51" s="18" t="n">
        <v>7110</v>
      </c>
      <c r="C51" s="18" t="n">
        <v>10025</v>
      </c>
      <c r="D51" s="18" t="n">
        <v>9825</v>
      </c>
      <c r="E51" s="18" t="n">
        <v>9692</v>
      </c>
      <c r="F51" s="18" t="n">
        <v>11488</v>
      </c>
    </row>
    <row r="52">
      <c r="A52" s="26" t="inlineStr">
        <is>
          <t>Cash at End of Period</t>
        </is>
      </c>
      <c r="B52" s="27" t="n">
        <v>10025</v>
      </c>
      <c r="C52" s="27" t="n">
        <v>9825</v>
      </c>
      <c r="D52" s="27" t="n">
        <v>9692</v>
      </c>
      <c r="E52" s="27" t="n">
        <v>11488</v>
      </c>
      <c r="F52" s="27" t="n">
        <v>11010</v>
      </c>
    </row>
    <row r="53">
      <c r="A53" s="26" t="inlineStr">
        <is>
          <t>Free Cash Flow</t>
        </is>
      </c>
      <c r="B53" s="27" t="n">
        <v>11258</v>
      </c>
      <c r="C53" s="27" t="n">
        <v>9534</v>
      </c>
      <c r="D53" s="27" t="n">
        <v>9747</v>
      </c>
      <c r="E53" s="27" t="n">
        <v>4741</v>
      </c>
      <c r="F53" s="27" t="n">
        <v>5296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KO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4340</v>
      </c>
      <c r="C61" s="18" t="n">
        <v>4350</v>
      </c>
      <c r="D61" s="18" t="n">
        <v>4339</v>
      </c>
      <c r="E61" s="18" t="n">
        <v>4320</v>
      </c>
      <c r="F61" s="18" t="n">
        <v>4313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KO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2021</t>
        </is>
      </c>
    </row>
    <row r="5">
      <c r="A5" s="17" t="inlineStr">
        <is>
          <t>data</t>
        </is>
      </c>
      <c r="B5" s="18" t="n">
        <v>31558</v>
      </c>
      <c r="C5" s="18" t="n">
        <v>38776</v>
      </c>
      <c r="D5" s="18" t="n">
        <v>7860</v>
      </c>
      <c r="E5" s="18" t="n">
        <v>7891</v>
      </c>
      <c r="F5" s="18" t="n">
        <v>7203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KO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350566.267419</v>
      </c>
      <c r="C5" s="44" t="inlineStr">
        <is>
          <t>FMP marketCap  |  price $81.48</t>
        </is>
      </c>
    </row>
    <row r="6">
      <c r="A6" s="17" t="inlineStr">
        <is>
          <t>Debt  (gross book value, $mm)</t>
        </is>
      </c>
      <c r="B6" s="43" t="n">
        <v>45492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0.04559999999999999</v>
      </c>
      <c r="C12" s="44" t="inlineStr">
        <is>
          <t>FRED series DGS10  |  latest: 2026-05-22</t>
        </is>
      </c>
    </row>
    <row r="13">
      <c r="A13" s="47" t="inlineStr">
        <is>
          <t>► Selected Rf  (override if needed)</t>
        </is>
      </c>
      <c r="B13" s="48" t="n">
        <v>0.0456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0.356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0.569</v>
      </c>
      <c r="C17" s="44" t="inlineStr">
        <is>
          <t>Mean-reversion toward market beta of 1.0</t>
        </is>
      </c>
    </row>
    <row r="18">
      <c r="A18" s="17" t="inlineStr">
        <is>
          <t>Damodaran industry unlevered  (Beverages - Non-Alcoholic)</t>
        </is>
      </c>
      <c r="B18" s="50" t="n">
        <v>1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0.13x,  t = 17.9%)</t>
        </is>
      </c>
      <c r="B19" s="50" t="n">
        <v>1.107</v>
      </c>
      <c r="C19" s="44">
        <f> unlevered × (1 + (1 − t) × D/E)</f>
        <v/>
      </c>
    </row>
    <row r="20">
      <c r="A20" s="47" t="inlineStr">
        <is>
          <t>► Selected beta  (user override)</t>
        </is>
      </c>
      <c r="B20" s="51" t="n">
        <v>0.677</v>
      </c>
      <c r="C20" s="49" t="inlineStr">
        <is>
          <t>Default = average of 3 source(s) above — override freely</t>
        </is>
      </c>
    </row>
    <row r="21">
      <c r="A21" s="42" t="n"/>
      <c r="B21" s="42" t="n"/>
      <c r="C21" s="42" t="n"/>
    </row>
    <row r="22" ht="18" customHeight="1">
      <c r="A22" s="25" t="inlineStr">
        <is>
          <t>STEP 3 — EQUITY RISK PREMIUM  (ERP)</t>
        </is>
      </c>
    </row>
    <row r="23">
      <c r="A23" s="17" t="inlineStr">
        <is>
          <t>Damodaran implied ERP — US market (current)</t>
        </is>
      </c>
      <c r="B23" s="46" t="n">
        <v>0.0472</v>
      </c>
      <c r="C23" s="44" t="inlineStr">
        <is>
          <t>Damodaran.com implied ERP — Jan 2026</t>
        </is>
      </c>
    </row>
    <row r="24">
      <c r="A24" s="17" t="inlineStr">
        <is>
          <t>Damodaran historical avg — US 1928–2025</t>
        </is>
      </c>
      <c r="B24" s="46" t="n">
        <v>0.042</v>
      </c>
      <c r="C24" s="44" t="inlineStr">
        <is>
          <t>Arithmetic average excess return over T-bill</t>
        </is>
      </c>
    </row>
    <row r="25">
      <c r="A25" s="47" t="inlineStr">
        <is>
          <t>► Selected ERP  (user override)</t>
        </is>
      </c>
      <c r="B25" s="48" t="n">
        <v>0.0446</v>
      </c>
      <c r="C25" s="49" t="inlineStr">
        <is>
          <t>Default = average of Damodaran implied &amp; historical avg — override freely</t>
        </is>
      </c>
    </row>
    <row r="26">
      <c r="A26" s="42" t="n"/>
      <c r="B26" s="42" t="n"/>
      <c r="C26" s="42" t="n"/>
    </row>
    <row r="27" ht="18" customHeight="1">
      <c r="A27" s="25" t="inlineStr">
        <is>
          <t>STEP 4 — COST OF EQUITY  (CAPM:  Re = Rf + β × ERP)</t>
        </is>
      </c>
    </row>
    <row r="28">
      <c r="A28" s="19" t="inlineStr">
        <is>
          <t>Cost of equity  (Re)</t>
        </is>
      </c>
      <c r="B28" s="52">
        <f>B13+B20*B25</f>
        <v/>
      </c>
      <c r="C28" s="45" t="inlineStr">
        <is>
          <t>CAPM formula — references selected inputs above</t>
        </is>
      </c>
    </row>
    <row r="29">
      <c r="A29" s="42" t="n"/>
      <c r="B29" s="42" t="n"/>
      <c r="C29" s="42" t="n"/>
    </row>
    <row r="30" ht="18" customHeight="1">
      <c r="A30" s="25" t="inlineStr">
        <is>
          <t>STEP 5 — COST OF DEBT  (Pre-tax Rd)</t>
        </is>
      </c>
    </row>
    <row r="31">
      <c r="A31" s="17" t="inlineStr">
        <is>
          <t>Credit rating  (S&amp;P / Moody's)</t>
        </is>
      </c>
      <c r="B31" s="53" t="inlineStr">
        <is>
          <t>A+</t>
        </is>
      </c>
      <c r="C31" s="44" t="inlineStr">
        <is>
          <t>User input</t>
        </is>
      </c>
    </row>
    <row r="32">
      <c r="A32" s="17" t="inlineStr">
        <is>
          <t>FRED matched yield  (rating-tier index)</t>
        </is>
      </c>
      <c r="B32" s="46" t="n">
        <v>0.0507</v>
      </c>
      <c r="C32" s="44" t="inlineStr">
        <is>
          <t>FRED BAMLC0A3CAEY — A</t>
        </is>
      </c>
    </row>
    <row r="33">
      <c r="A33" s="17" t="inlineStr">
        <is>
          <t>Interest Coverage Ratio  (EBIT / Gross Int Exp)</t>
        </is>
      </c>
      <c r="B33" s="50" t="n">
        <v>8.300000000000001</v>
      </c>
      <c r="C33" s="44" t="inlineStr">
        <is>
          <t>EBIT $13762mm  /  Int Exp $1654mm</t>
        </is>
      </c>
    </row>
    <row r="34">
      <c r="A34" s="17" t="inlineStr">
        <is>
          <t>Synthetic rating  (Damodaran ICR table)</t>
        </is>
      </c>
      <c r="B34" s="53" t="inlineStr">
        <is>
          <t>A+</t>
        </is>
      </c>
      <c r="C34" s="44" t="inlineStr">
        <is>
          <t>ICR 8.3x  →  A+</t>
        </is>
      </c>
    </row>
    <row r="35">
      <c r="A35" s="17" t="inlineStr">
        <is>
          <t>Synthetic Rd  (Rf + Damodaran default spread)</t>
        </is>
      </c>
      <c r="B35" s="46" t="n">
        <v>0.05519999999999999</v>
      </c>
      <c r="C35" s="44" t="inlineStr">
        <is>
          <t>Rf 4.56% + spread 0.96%</t>
        </is>
      </c>
    </row>
    <row r="36">
      <c r="A36" s="17" t="inlineStr">
        <is>
          <t>Accounting Rd  (Gross int exp / Avg gross debt)</t>
        </is>
      </c>
      <c r="B36" s="46" t="n">
        <v>0.0366318214032601</v>
      </c>
      <c r="C36" s="44" t="inlineStr">
        <is>
          <t>Cross-check only — backward-looking</t>
        </is>
      </c>
    </row>
    <row r="37">
      <c r="A37" s="47" t="inlineStr">
        <is>
          <t>► Selected pre-tax Rd  (user override)</t>
        </is>
      </c>
      <c r="B37" s="48" t="n">
        <v>0.0475</v>
      </c>
      <c r="C37" s="49" t="inlineStr">
        <is>
          <t>Default = average of 3 source(s) above — override freely</t>
        </is>
      </c>
    </row>
    <row r="38">
      <c r="A38" s="42" t="n"/>
      <c r="B38" s="42" t="n"/>
      <c r="C38" s="42" t="n"/>
    </row>
    <row r="39" ht="18" customHeight="1">
      <c r="A39" s="25" t="inlineStr">
        <is>
          <t>STEP 6 — TAX RATE</t>
        </is>
      </c>
    </row>
    <row r="40">
      <c r="A40" s="17" t="inlineStr">
        <is>
          <t>Effective tax rate  (tax expense / pre-tax income)</t>
        </is>
      </c>
      <c r="B40" s="46" t="n">
        <v>0.1788</v>
      </c>
      <c r="C40" s="44" t="inlineStr">
        <is>
          <t>FMP: $2861mm  /  $15998mm</t>
        </is>
      </c>
    </row>
    <row r="41">
      <c r="A41" s="47" t="inlineStr">
        <is>
          <t>► Selected tax rate  (user override)</t>
        </is>
      </c>
      <c r="B41" s="48" t="n">
        <v>0.1788</v>
      </c>
      <c r="C41" s="49" t="inlineStr">
        <is>
          <t>Adjust to normalised / marginal rate if preferred</t>
        </is>
      </c>
    </row>
    <row r="42">
      <c r="A42" s="42" t="n"/>
      <c r="B42" s="42" t="n"/>
      <c r="C42" s="42" t="n"/>
    </row>
    <row r="43" ht="18" customHeight="1">
      <c r="A43" s="5" t="inlineStr">
        <is>
          <t>WACC OUTPUT</t>
        </is>
      </c>
    </row>
    <row r="44" ht="22" customHeight="1">
      <c r="A44" s="54" t="inlineStr">
        <is>
          <t>WACC  =  MAX(8.5%, (E/V × Re) + (D/V × Rd × (1 − t)))</t>
        </is>
      </c>
      <c r="B44" s="55">
        <f>MAX(0.085, B8*B28+B9*B37*(1-B41))</f>
        <v/>
      </c>
      <c r="C44" s="56" t="inlineStr">
        <is>
          <t>Floored 8.5% (D-001); raw formula below</t>
        </is>
      </c>
    </row>
    <row r="45">
      <c r="A45" s="42" t="n"/>
      <c r="B45" s="42" t="n"/>
      <c r="C45" s="42" t="n"/>
    </row>
    <row r="46" ht="18" customHeight="1">
      <c r="A46" s="10" t="inlineStr">
        <is>
          <t>SENSITIVITY — WACC (%)  by Beta offset × ERP offset</t>
        </is>
      </c>
    </row>
    <row r="47">
      <c r="A47" s="57" t="inlineStr">
        <is>
          <t>Beta offset  \  ERP offset →</t>
        </is>
      </c>
      <c r="B47" s="57" t="inlineStr">
        <is>
          <t>-1.0%</t>
        </is>
      </c>
      <c r="C47" s="57" t="inlineStr">
        <is>
          <t>-0.5%</t>
        </is>
      </c>
      <c r="D47" s="57" t="inlineStr">
        <is>
          <t>Base ERP</t>
        </is>
      </c>
      <c r="E47" s="57" t="inlineStr">
        <is>
          <t>+0.5%</t>
        </is>
      </c>
      <c r="F47" s="57" t="inlineStr">
        <is>
          <t>+1.0%</t>
        </is>
      </c>
    </row>
    <row r="48">
      <c r="A48" s="58" t="inlineStr">
        <is>
          <t>-1.0</t>
        </is>
      </c>
      <c r="B48" s="59">
        <f>B8*(B13+(B20+(-1.0))*(B25+(-0.01)))+B9*B37*(1-B41)</f>
        <v/>
      </c>
      <c r="C48" s="59">
        <f>B8*(B13+(B20+(-1.0))*(B25+(-0.005)))+B9*B37*(1-B41)</f>
        <v/>
      </c>
      <c r="D48" s="59">
        <f>B8*(B13+(B20+(-1.0))*(B25+(0.0)))+B9*B37*(1-B41)</f>
        <v/>
      </c>
      <c r="E48" s="59">
        <f>B8*(B13+(B20+(-1.0))*(B25+(0.005)))+B9*B37*(1-B41)</f>
        <v/>
      </c>
      <c r="F48" s="59">
        <f>B8*(B13+(B20+(-1.0))*(B25+(0.01)))+B9*B37*(1-B41)</f>
        <v/>
      </c>
    </row>
    <row r="49">
      <c r="A49" s="58" t="inlineStr">
        <is>
          <t>-0.5</t>
        </is>
      </c>
      <c r="B49" s="59">
        <f>B8*(B13+(B20+(-0.5))*(B25+(-0.01)))+B9*B37*(1-B41)</f>
        <v/>
      </c>
      <c r="C49" s="59">
        <f>B8*(B13+(B20+(-0.5))*(B25+(-0.005)))+B9*B37*(1-B41)</f>
        <v/>
      </c>
      <c r="D49" s="59">
        <f>B8*(B13+(B20+(-0.5))*(B25+(0.0)))+B9*B37*(1-B41)</f>
        <v/>
      </c>
      <c r="E49" s="59">
        <f>B8*(B13+(B20+(-0.5))*(B25+(0.005)))+B9*B37*(1-B41)</f>
        <v/>
      </c>
      <c r="F49" s="59">
        <f>B8*(B13+(B20+(-0.5))*(B25+(0.01)))+B9*B37*(1-B41)</f>
        <v/>
      </c>
    </row>
    <row r="50">
      <c r="A50" s="60" t="inlineStr">
        <is>
          <t>Base β</t>
        </is>
      </c>
      <c r="B50" s="61">
        <f>B8*(B13+(B20+(0.0))*(B25+(-0.01)))+B9*B37*(1-B41)</f>
        <v/>
      </c>
      <c r="C50" s="61">
        <f>B8*(B13+(B20+(0.0))*(B25+(-0.005)))+B9*B37*(1-B41)</f>
        <v/>
      </c>
      <c r="D50" s="62">
        <f>B8*(B13+(B20+(0.0))*(B25+(0.0)))+B9*B37*(1-B41)</f>
        <v/>
      </c>
      <c r="E50" s="61">
        <f>B8*(B13+(B20+(0.0))*(B25+(0.005)))+B9*B37*(1-B41)</f>
        <v/>
      </c>
      <c r="F50" s="61">
        <f>B8*(B13+(B20+(0.0))*(B25+(0.01)))+B9*B37*(1-B41)</f>
        <v/>
      </c>
    </row>
    <row r="51">
      <c r="A51" s="58" t="inlineStr">
        <is>
          <t>+0.5</t>
        </is>
      </c>
      <c r="B51" s="59">
        <f>B8*(B13+(B20+(0.5))*(B25+(-0.01)))+B9*B37*(1-B41)</f>
        <v/>
      </c>
      <c r="C51" s="59">
        <f>B8*(B13+(B20+(0.5))*(B25+(-0.005)))+B9*B37*(1-B41)</f>
        <v/>
      </c>
      <c r="D51" s="59">
        <f>B8*(B13+(B20+(0.5))*(B25+(0.0)))+B9*B37*(1-B41)</f>
        <v/>
      </c>
      <c r="E51" s="59">
        <f>B8*(B13+(B20+(0.5))*(B25+(0.005)))+B9*B37*(1-B41)</f>
        <v/>
      </c>
      <c r="F51" s="59">
        <f>B8*(B13+(B20+(0.5))*(B25+(0.01)))+B9*B37*(1-B41)</f>
        <v/>
      </c>
    </row>
    <row r="52">
      <c r="A52" s="58" t="inlineStr">
        <is>
          <t>+1.0</t>
        </is>
      </c>
      <c r="B52" s="59">
        <f>B8*(B13+(B20+(1.0))*(B25+(-0.01)))+B9*B37*(1-B41)</f>
        <v/>
      </c>
      <c r="C52" s="59">
        <f>B8*(B13+(B20+(1.0))*(B25+(-0.005)))+B9*B37*(1-B41)</f>
        <v/>
      </c>
      <c r="D52" s="59">
        <f>B8*(B13+(B20+(1.0))*(B25+(0.0)))+B9*B37*(1-B41)</f>
        <v/>
      </c>
      <c r="E52" s="59">
        <f>B8*(B13+(B20+(1.0))*(B25+(0.005)))+B9*B37*(1-B41)</f>
        <v/>
      </c>
      <c r="F52" s="59">
        <f>B8*(B13+(B20+(1.0))*(B25+(0.01)))+B9*B37*(1-B41)</f>
        <v/>
      </c>
    </row>
  </sheetData>
  <mergeCells count="11">
    <mergeCell ref="A11:C11"/>
    <mergeCell ref="A1:C1"/>
    <mergeCell ref="A46:C46"/>
    <mergeCell ref="A22:C22"/>
    <mergeCell ref="A27:C27"/>
    <mergeCell ref="A30:C30"/>
    <mergeCell ref="A39:C39"/>
    <mergeCell ref="A15:C15"/>
    <mergeCell ref="A4:C4"/>
    <mergeCell ref="A43:C43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KO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5" t="inlineStr">
        <is>
          <t>2029E</t>
        </is>
      </c>
      <c r="K3" s="65" t="inlineStr">
        <is>
          <t>2030E</t>
        </is>
      </c>
      <c r="L3" s="66" t="inlineStr">
        <is>
          <t>Terminal</t>
        </is>
      </c>
      <c r="M3" s="63" t="inlineStr">
        <is>
          <t>Source / Notes</t>
        </is>
      </c>
    </row>
    <row r="4" ht="16" customHeight="1">
      <c r="A4" s="67" t="inlineStr">
        <is>
          <t>FMP analyst consensus: 2026E – 2030E  (5 years)   |   User estimates required from: N/AE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8" t="inlineStr">
        <is>
          <t>Revenue Growth %</t>
        </is>
      </c>
      <c r="B7" s="69" t="inlineStr">
        <is>
          <t>—</t>
        </is>
      </c>
      <c r="C7" s="70">
        <f>'P&amp;L'!C5/'P&amp;L'!B5-1</f>
        <v/>
      </c>
      <c r="D7" s="70">
        <f>'P&amp;L'!D5/'P&amp;L'!C5-1</f>
        <v/>
      </c>
      <c r="E7" s="70">
        <f>'P&amp;L'!E5/'P&amp;L'!D5-1</f>
        <v/>
      </c>
      <c r="F7" s="70">
        <f>'P&amp;L'!F5/'P&amp;L'!E5-1</f>
        <v/>
      </c>
      <c r="G7" s="71" t="n">
        <v>0.0243</v>
      </c>
      <c r="H7" s="71" t="n">
        <v>0.0135</v>
      </c>
      <c r="I7" s="71" t="n">
        <v>0.0554</v>
      </c>
      <c r="J7" s="72">
        <f>I7</f>
        <v/>
      </c>
      <c r="K7" s="72">
        <f>I7</f>
        <v/>
      </c>
      <c r="L7" s="73" t="n">
        <v>0.03</v>
      </c>
      <c r="M7" s="74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8" t="inlineStr">
        <is>
          <t>EBITDA Margin %</t>
        </is>
      </c>
      <c r="B8" s="70">
        <f>'P&amp;L'!B12/'P&amp;L'!B5</f>
        <v/>
      </c>
      <c r="C8" s="70">
        <f>'P&amp;L'!C12/'P&amp;L'!C5</f>
        <v/>
      </c>
      <c r="D8" s="70">
        <f>'P&amp;L'!D12/'P&amp;L'!D5</f>
        <v/>
      </c>
      <c r="E8" s="70">
        <f>'P&amp;L'!E12/'P&amp;L'!E5</f>
        <v/>
      </c>
      <c r="F8" s="70">
        <f>'P&amp;L'!F12/'P&amp;L'!F5</f>
        <v/>
      </c>
      <c r="G8" s="71" t="n">
        <v>0.3578</v>
      </c>
      <c r="H8" s="71" t="n">
        <v>0.3578</v>
      </c>
      <c r="I8" s="71" t="n">
        <v>0.3578</v>
      </c>
      <c r="J8" s="72">
        <f>I8</f>
        <v/>
      </c>
      <c r="K8" s="72">
        <f>I8</f>
        <v/>
      </c>
      <c r="L8" s="73" t="n">
        <v>0.3901</v>
      </c>
      <c r="M8" s="74" t="inlineStr">
        <is>
          <t>Yrs 1-3: FMP analyst consensus margin.  Yrs 4-5: = Yr 3 margin.  Terminal: long-run normalised EBITDA margin (user input).</t>
        </is>
      </c>
    </row>
    <row r="9" ht="20" customHeight="1">
      <c r="A9" s="68" t="inlineStr">
        <is>
          <t>D&amp;A as % of Revenue</t>
        </is>
      </c>
      <c r="B9" s="70">
        <f>'P&amp;L'!B14/'P&amp;L'!B5</f>
        <v/>
      </c>
      <c r="C9" s="70">
        <f>'P&amp;L'!C14/'P&amp;L'!C5</f>
        <v/>
      </c>
      <c r="D9" s="70">
        <f>'P&amp;L'!D14/'P&amp;L'!D5</f>
        <v/>
      </c>
      <c r="E9" s="70">
        <f>'P&amp;L'!E14/'P&amp;L'!E5</f>
        <v/>
      </c>
      <c r="F9" s="70">
        <f>'P&amp;L'!F14/'P&amp;L'!F5</f>
        <v/>
      </c>
      <c r="G9" s="72">
        <f>AVERAGE(B9:F9)</f>
        <v/>
      </c>
      <c r="H9" s="72">
        <f>G9</f>
        <v/>
      </c>
      <c r="I9" s="72">
        <f>G9</f>
        <v/>
      </c>
      <c r="J9" s="72">
        <f>G9</f>
        <v/>
      </c>
      <c r="K9" s="72">
        <f>G9</f>
        <v/>
      </c>
      <c r="L9" s="73">
        <f>G9</f>
        <v/>
      </c>
      <c r="M9" s="74" t="inlineStr">
        <is>
          <t>Historical linked from P&amp;L.  Yr 1 = avg of historicals; Yrs 2-5 &amp; terminal = Yr 1.</t>
        </is>
      </c>
    </row>
    <row r="10" ht="20" customHeight="1">
      <c r="A10" s="68" t="inlineStr">
        <is>
          <t>CapEx as % of Revenue</t>
        </is>
      </c>
      <c r="B10" s="70">
        <f>-'Cash Flow'!B6/'P&amp;L'!B5</f>
        <v/>
      </c>
      <c r="C10" s="70">
        <f>-'Cash Flow'!C6/'P&amp;L'!C5</f>
        <v/>
      </c>
      <c r="D10" s="70">
        <f>-'Cash Flow'!D6/'P&amp;L'!D5</f>
        <v/>
      </c>
      <c r="E10" s="70">
        <f>-'Cash Flow'!E6/'P&amp;L'!E5</f>
        <v/>
      </c>
      <c r="F10" s="70">
        <f>-'Cash Flow'!F6/'P&amp;L'!F5</f>
        <v/>
      </c>
      <c r="G10" s="72">
        <f>AVERAGE(B10:F10)</f>
        <v/>
      </c>
      <c r="H10" s="72">
        <f>G10</f>
        <v/>
      </c>
      <c r="I10" s="72">
        <f>G10</f>
        <v/>
      </c>
      <c r="J10" s="72">
        <f>G10</f>
        <v/>
      </c>
      <c r="K10" s="72">
        <f>G10</f>
        <v/>
      </c>
      <c r="L10" s="73">
        <f>G10</f>
        <v/>
      </c>
      <c r="M10" s="74" t="inlineStr">
        <is>
          <t>Historical linked from Cash Flow.  Yr 1 = avg of historicals; Yrs 2-5 &amp; terminal = Yr 1.</t>
        </is>
      </c>
    </row>
    <row r="11" ht="20" customHeight="1">
      <c r="A11" s="68" t="inlineStr">
        <is>
          <t>Change in NWC as % of Revenue</t>
        </is>
      </c>
      <c r="B11" s="69" t="inlineStr">
        <is>
          <t>—</t>
        </is>
      </c>
      <c r="C11" s="70">
        <f>(('Balance Sheet'!C9-'Balance Sheet'!C21)-('Balance Sheet'!B9-'Balance Sheet'!B21))/'P&amp;L'!C5</f>
        <v/>
      </c>
      <c r="D11" s="70">
        <f>(('Balance Sheet'!D9-'Balance Sheet'!D21)-('Balance Sheet'!C9-'Balance Sheet'!C21))/'P&amp;L'!D5</f>
        <v/>
      </c>
      <c r="E11" s="70">
        <f>(('Balance Sheet'!E9-'Balance Sheet'!E21)-('Balance Sheet'!D9-'Balance Sheet'!D21))/'P&amp;L'!E5</f>
        <v/>
      </c>
      <c r="F11" s="70">
        <f>(('Balance Sheet'!F9-'Balance Sheet'!F21)-('Balance Sheet'!E9-'Balance Sheet'!E21))/'P&amp;L'!F5</f>
        <v/>
      </c>
      <c r="G11" s="72">
        <f>MAX(-0.02,MIN(0.05,AVERAGE(C11:F11)))</f>
        <v/>
      </c>
      <c r="H11" s="72">
        <f>G11*4/5</f>
        <v/>
      </c>
      <c r="I11" s="72">
        <f>G11*3/5</f>
        <v/>
      </c>
      <c r="J11" s="72">
        <f>G11*2/5</f>
        <v/>
      </c>
      <c r="K11" s="72">
        <f>G11*1/5</f>
        <v/>
      </c>
      <c r="L11" s="73" t="n">
        <v>0</v>
      </c>
      <c r="M11" s="74" t="inlineStr">
        <is>
          <t>Yr 1 = clamped avg of historicals [-2%, +5%]. Yrs 2-5 fade linearly to 0. Terminal = 0 (steady-state: NWC tracks revenue).</t>
        </is>
      </c>
    </row>
    <row r="12" ht="20" customHeight="1">
      <c r="A12" s="68" t="inlineStr">
        <is>
          <t>Effective Tax Rate</t>
        </is>
      </c>
      <c r="B12" s="70">
        <f>IFERROR(MAX(0,MIN(0.5,'P&amp;L'!B22/'P&amp;L'!B21)),0)</f>
        <v/>
      </c>
      <c r="C12" s="70">
        <f>IFERROR(MAX(0,MIN(0.5,'P&amp;L'!C22/'P&amp;L'!C21)),0)</f>
        <v/>
      </c>
      <c r="D12" s="70">
        <f>IFERROR(MAX(0,MIN(0.5,'P&amp;L'!D22/'P&amp;L'!D21)),0)</f>
        <v/>
      </c>
      <c r="E12" s="70">
        <f>IFERROR(MAX(0,MIN(0.5,'P&amp;L'!E22/'P&amp;L'!E21)),0)</f>
        <v/>
      </c>
      <c r="F12" s="70">
        <f>IFERROR(MAX(0,MIN(0.5,'P&amp;L'!F22/'P&amp;L'!F21)),0)</f>
        <v/>
      </c>
      <c r="G12" s="72">
        <f>AVERAGE(B12:F12)</f>
        <v/>
      </c>
      <c r="H12" s="72">
        <f>G12</f>
        <v/>
      </c>
      <c r="I12" s="72">
        <f>G12</f>
        <v/>
      </c>
      <c r="J12" s="72">
        <f>G12</f>
        <v/>
      </c>
      <c r="K12" s="72">
        <f>G12</f>
        <v/>
      </c>
      <c r="L12" s="73">
        <f>G12</f>
        <v/>
      </c>
      <c r="M12" s="74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5" t="inlineStr">
        <is>
          <t>Revenue</t>
        </is>
      </c>
      <c r="B15" s="76">
        <f>'P&amp;L'!B5</f>
        <v/>
      </c>
      <c r="C15" s="76">
        <f>'P&amp;L'!C5</f>
        <v/>
      </c>
      <c r="D15" s="76">
        <f>'P&amp;L'!D5</f>
        <v/>
      </c>
      <c r="E15" s="76">
        <f>'P&amp;L'!E5</f>
        <v/>
      </c>
      <c r="F15" s="76">
        <f>'P&amp;L'!F5</f>
        <v/>
      </c>
      <c r="G15" s="77" t="n">
        <v>49105.5</v>
      </c>
      <c r="H15" s="77" t="n">
        <v>49768.6</v>
      </c>
      <c r="I15" s="77" t="n">
        <v>52524</v>
      </c>
      <c r="J15" s="78">
        <f>I15*(1+J7)</f>
        <v/>
      </c>
      <c r="K15" s="78">
        <f>J15*(1+K7)</f>
        <v/>
      </c>
      <c r="L15" s="79">
        <f>K15*(1+L7)</f>
        <v/>
      </c>
      <c r="M15" s="80" t="inlineStr">
        <is>
          <t>FMP consensus years: analyst revenue average ($mm).  Range: Low–High shown below.  User years: prior × (1+growth).</t>
        </is>
      </c>
    </row>
    <row r="16" ht="20" customHeight="1">
      <c r="A16" s="81" t="inlineStr">
        <is>
          <t xml:space="preserve">  Analyst Range:  Low — High  ($mm)</t>
        </is>
      </c>
      <c r="G16" s="82" t="inlineStr">
        <is>
          <t>48,518 — 50,569</t>
        </is>
      </c>
      <c r="H16" s="82" t="inlineStr">
        <is>
          <t>48,552 — 53,232</t>
        </is>
      </c>
      <c r="I16" s="82" t="inlineStr">
        <is>
          <t>52,433 — 52,615</t>
        </is>
      </c>
      <c r="J16" s="82" t="inlineStr">
        <is>
          <t>52,703 — 56,526</t>
        </is>
      </c>
      <c r="K16" s="82" t="inlineStr">
        <is>
          <t>55,776 — 59,821</t>
        </is>
      </c>
      <c r="L16" s="83" t="inlineStr">
        <is>
          <t>—</t>
        </is>
      </c>
      <c r="M16" s="80" t="inlineStr">
        <is>
          <t>Sell-side analyst low / high revenue estimates for consensus years</t>
        </is>
      </c>
    </row>
    <row r="17" ht="20" customHeight="1">
      <c r="A17" s="81" t="inlineStr">
        <is>
          <t xml:space="preserve">  Number of Analysts</t>
        </is>
      </c>
      <c r="G17" s="84" t="n">
        <v>14</v>
      </c>
      <c r="H17" s="84" t="n">
        <v>15</v>
      </c>
      <c r="I17" s="84" t="n">
        <v>11</v>
      </c>
      <c r="J17" s="85" t="n">
        <v>5</v>
      </c>
      <c r="K17" s="85" t="n">
        <v>5</v>
      </c>
      <c r="L17" s="83" t="inlineStr">
        <is>
          <t>—</t>
        </is>
      </c>
      <c r="M17" s="80" t="inlineStr">
        <is>
          <t>Red &lt; 5 analysts — treat estimate with caution.  Orange &lt; 10.</t>
        </is>
      </c>
    </row>
    <row r="18" ht="20" customHeight="1">
      <c r="A18" s="81" t="inlineStr">
        <is>
          <t xml:space="preserve">  YoY Revenue Growth %</t>
        </is>
      </c>
      <c r="B18" s="86" t="inlineStr">
        <is>
          <t>—</t>
        </is>
      </c>
      <c r="C18" s="87">
        <f>IFERROR(C15/B15-1,"")</f>
        <v/>
      </c>
      <c r="D18" s="87">
        <f>IFERROR(D15/C15-1,"")</f>
        <v/>
      </c>
      <c r="E18" s="87">
        <f>IFERROR(E15/D15-1,"")</f>
        <v/>
      </c>
      <c r="F18" s="87">
        <f>IFERROR(F15/E15-1,"")</f>
        <v/>
      </c>
      <c r="G18" s="88">
        <f>IFERROR(G15/F15-1,"")</f>
        <v/>
      </c>
      <c r="H18" s="88">
        <f>IFERROR(H15/G15-1,"")</f>
        <v/>
      </c>
      <c r="I18" s="88">
        <f>IFERROR(I15/H15-1,"")</f>
        <v/>
      </c>
      <c r="J18" s="88">
        <f>IFERROR(J15/I15-1,"")</f>
        <v/>
      </c>
      <c r="K18" s="88">
        <f>IFERROR(K15/J15-1,"")</f>
        <v/>
      </c>
      <c r="L18" s="89">
        <f>L7</f>
        <v/>
      </c>
      <c r="M18" s="80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5" t="inlineStr">
        <is>
          <t>EBITDA</t>
        </is>
      </c>
      <c r="B20" s="76">
        <f>'P&amp;L'!B12</f>
        <v/>
      </c>
      <c r="C20" s="76">
        <f>'P&amp;L'!C12</f>
        <v/>
      </c>
      <c r="D20" s="76">
        <f>'P&amp;L'!D12</f>
        <v/>
      </c>
      <c r="E20" s="76">
        <f>'P&amp;L'!E12</f>
        <v/>
      </c>
      <c r="F20" s="76">
        <f>'P&amp;L'!F12</f>
        <v/>
      </c>
      <c r="G20" s="77" t="n">
        <v>17571.6</v>
      </c>
      <c r="H20" s="77" t="n">
        <v>17808.9</v>
      </c>
      <c r="I20" s="77" t="n">
        <v>18794.9</v>
      </c>
      <c r="J20" s="78">
        <f>J15*J8</f>
        <v/>
      </c>
      <c r="K20" s="78">
        <f>K15*K8</f>
        <v/>
      </c>
      <c r="L20" s="79">
        <f>L15*L8</f>
        <v/>
      </c>
      <c r="M20" s="80" t="inlineStr">
        <is>
          <t>FMP consensus years: analyst EBITDA average.  User years: Revenue × EBITDA margin assumption.</t>
        </is>
      </c>
    </row>
    <row r="21" ht="20" customHeight="1">
      <c r="A21" s="81" t="inlineStr">
        <is>
          <t xml:space="preserve">  Analyst Range:  Low — High  ($mm)</t>
        </is>
      </c>
      <c r="G21" s="82" t="inlineStr">
        <is>
          <t>17,361 — 18,095</t>
        </is>
      </c>
      <c r="H21" s="82" t="inlineStr">
        <is>
          <t>17,373 — 19,048</t>
        </is>
      </c>
      <c r="I21" s="82" t="inlineStr">
        <is>
          <t>18,762 — 18,827</t>
        </is>
      </c>
      <c r="J21" s="82" t="inlineStr">
        <is>
          <t>18,859 — 20,227</t>
        </is>
      </c>
      <c r="K21" s="82" t="inlineStr">
        <is>
          <t>19,959 — 21,406</t>
        </is>
      </c>
      <c r="L21" s="83" t="inlineStr">
        <is>
          <t>—</t>
        </is>
      </c>
      <c r="M21" s="80" t="inlineStr">
        <is>
          <t>Sell-side analyst low / high EBITDA estimates for consensus years</t>
        </is>
      </c>
    </row>
    <row r="22" ht="20" customHeight="1">
      <c r="A22" s="81" t="inlineStr">
        <is>
          <t xml:space="preserve">  EBITDA Margin %</t>
        </is>
      </c>
      <c r="B22" s="87">
        <f>IFERROR(B20/B15,"")</f>
        <v/>
      </c>
      <c r="C22" s="87">
        <f>IFERROR(C20/C15,"")</f>
        <v/>
      </c>
      <c r="D22" s="87">
        <f>IFERROR(D20/D15,"")</f>
        <v/>
      </c>
      <c r="E22" s="87">
        <f>IFERROR(E20/E15,"")</f>
        <v/>
      </c>
      <c r="F22" s="87">
        <f>IFERROR(F20/F15,"")</f>
        <v/>
      </c>
      <c r="G22" s="88">
        <f>IFERROR(G20/G15,"")</f>
        <v/>
      </c>
      <c r="H22" s="88">
        <f>IFERROR(H20/H15,"")</f>
        <v/>
      </c>
      <c r="I22" s="88">
        <f>IFERROR(I20/I15,"")</f>
        <v/>
      </c>
      <c r="J22" s="88">
        <f>IFERROR(J20/J15,"")</f>
        <v/>
      </c>
      <c r="K22" s="88">
        <f>IFERROR(K20/K15,"")</f>
        <v/>
      </c>
      <c r="L22" s="89">
        <f>IFERROR(L20/L15,"")</f>
        <v/>
      </c>
      <c r="M22" s="80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90" t="inlineStr">
        <is>
          <t xml:space="preserve">  Less: D&amp;A</t>
        </is>
      </c>
      <c r="B25" s="76">
        <f>-'P&amp;L'!B14</f>
        <v/>
      </c>
      <c r="C25" s="76">
        <f>-'P&amp;L'!C14</f>
        <v/>
      </c>
      <c r="D25" s="76">
        <f>-'P&amp;L'!D14</f>
        <v/>
      </c>
      <c r="E25" s="76">
        <f>-'P&amp;L'!E14</f>
        <v/>
      </c>
      <c r="F25" s="76">
        <f>-'P&amp;L'!F14</f>
        <v/>
      </c>
      <c r="G25" s="91">
        <f>-G15*G9</f>
        <v/>
      </c>
      <c r="H25" s="91">
        <f>-H15*H9</f>
        <v/>
      </c>
      <c r="I25" s="91">
        <f>-I15*I9</f>
        <v/>
      </c>
      <c r="J25" s="91">
        <f>-J15*J9</f>
        <v/>
      </c>
      <c r="K25" s="91">
        <f>-K15*K9</f>
        <v/>
      </c>
      <c r="L25" s="79">
        <f>-L15*L9</f>
        <v/>
      </c>
      <c r="M25" s="80">
        <f> Revenue × D&amp;A % assumption  (negative = P&amp;L charge)</f>
        <v/>
      </c>
    </row>
    <row r="26" ht="20" customHeight="1">
      <c r="A26" s="63" t="inlineStr">
        <is>
          <t>EBIT  (Operating Profit)</t>
        </is>
      </c>
      <c r="B26" s="92">
        <f>B20+B25</f>
        <v/>
      </c>
      <c r="C26" s="92">
        <f>C20+C25</f>
        <v/>
      </c>
      <c r="D26" s="92">
        <f>D20+D25</f>
        <v/>
      </c>
      <c r="E26" s="92">
        <f>E20+E25</f>
        <v/>
      </c>
      <c r="F26" s="92">
        <f>F20+F25</f>
        <v/>
      </c>
      <c r="G26" s="93">
        <f>G20+G25</f>
        <v/>
      </c>
      <c r="H26" s="93">
        <f>H20+H25</f>
        <v/>
      </c>
      <c r="I26" s="93">
        <f>I20+I25</f>
        <v/>
      </c>
      <c r="J26" s="93">
        <f>J20+J25</f>
        <v/>
      </c>
      <c r="K26" s="93">
        <f>K20+K25</f>
        <v/>
      </c>
      <c r="L26" s="93">
        <f>L20+L25</f>
        <v/>
      </c>
      <c r="M26" s="80">
        <f> EBITDA + D&amp;A  (GAAP operating income, EBIT)</f>
        <v/>
      </c>
    </row>
    <row r="27" ht="20" customHeight="1">
      <c r="A27" s="90" t="inlineStr">
        <is>
          <t xml:space="preserve">  Less: Tax on EBIT  (unlevered)</t>
        </is>
      </c>
      <c r="B27" s="94">
        <f>-B26*B12</f>
        <v/>
      </c>
      <c r="C27" s="94">
        <f>-C26*C12</f>
        <v/>
      </c>
      <c r="D27" s="94">
        <f>-D26*D12</f>
        <v/>
      </c>
      <c r="E27" s="94">
        <f>-E26*E12</f>
        <v/>
      </c>
      <c r="F27" s="94">
        <f>-F26*F12</f>
        <v/>
      </c>
      <c r="G27" s="95">
        <f>-G26*G12</f>
        <v/>
      </c>
      <c r="H27" s="95">
        <f>-H26*H12</f>
        <v/>
      </c>
      <c r="I27" s="95">
        <f>-I26*I12</f>
        <v/>
      </c>
      <c r="J27" s="95">
        <f>-J26*J12</f>
        <v/>
      </c>
      <c r="K27" s="95">
        <f>-K26*K12</f>
        <v/>
      </c>
      <c r="L27" s="95">
        <f>-L26*L12</f>
        <v/>
      </c>
      <c r="M27" s="80">
        <f> EBIT × tax rate  (no interest tax shield — UFCF is pre-debt)</f>
        <v/>
      </c>
    </row>
    <row r="28" ht="20" customHeight="1">
      <c r="A28" s="75" t="inlineStr">
        <is>
          <t>NOPAT</t>
        </is>
      </c>
      <c r="B28" s="92">
        <f>B26+B27</f>
        <v/>
      </c>
      <c r="C28" s="92">
        <f>C26+C27</f>
        <v/>
      </c>
      <c r="D28" s="92">
        <f>D26+D27</f>
        <v/>
      </c>
      <c r="E28" s="92">
        <f>E26+E27</f>
        <v/>
      </c>
      <c r="F28" s="92">
        <f>F26+F27</f>
        <v/>
      </c>
      <c r="G28" s="96">
        <f>G26+G27</f>
        <v/>
      </c>
      <c r="H28" s="96">
        <f>H26+H27</f>
        <v/>
      </c>
      <c r="I28" s="96">
        <f>I26+I27</f>
        <v/>
      </c>
      <c r="J28" s="96">
        <f>J26+J27</f>
        <v/>
      </c>
      <c r="K28" s="96">
        <f>K26+K27</f>
        <v/>
      </c>
      <c r="L28" s="96">
        <f>L26+L27</f>
        <v/>
      </c>
      <c r="M28" s="80">
        <f> EBIT × (1 − tax rate)</f>
        <v/>
      </c>
    </row>
    <row r="29" ht="20" customHeight="1">
      <c r="A29" s="90" t="inlineStr">
        <is>
          <t xml:space="preserve">  (+) D&amp;A add-back  (non-cash)</t>
        </is>
      </c>
      <c r="B29" s="94">
        <f>-B25</f>
        <v/>
      </c>
      <c r="C29" s="94">
        <f>-C25</f>
        <v/>
      </c>
      <c r="D29" s="94">
        <f>-D25</f>
        <v/>
      </c>
      <c r="E29" s="94">
        <f>-E25</f>
        <v/>
      </c>
      <c r="F29" s="94">
        <f>-F25</f>
        <v/>
      </c>
      <c r="G29" s="95">
        <f>-G25</f>
        <v/>
      </c>
      <c r="H29" s="95">
        <f>-H25</f>
        <v/>
      </c>
      <c r="I29" s="95">
        <f>-I25</f>
        <v/>
      </c>
      <c r="J29" s="95">
        <f>-J25</f>
        <v/>
      </c>
      <c r="K29" s="95">
        <f>-K25</f>
        <v/>
      </c>
      <c r="L29" s="95">
        <f>-L25</f>
        <v/>
      </c>
      <c r="M29" s="80">
        <f> D&amp;A added back (non-cash charge — converts NOPAT to cash basis)</f>
        <v/>
      </c>
    </row>
    <row r="30" ht="20" customHeight="1">
      <c r="A30" s="90" t="inlineStr">
        <is>
          <t xml:space="preserve">  (−) Capital Expenditures</t>
        </is>
      </c>
      <c r="B30" s="76">
        <f>'Cash Flow'!B6</f>
        <v/>
      </c>
      <c r="C30" s="76">
        <f>'Cash Flow'!C6</f>
        <v/>
      </c>
      <c r="D30" s="76">
        <f>'Cash Flow'!D6</f>
        <v/>
      </c>
      <c r="E30" s="76">
        <f>'Cash Flow'!E6</f>
        <v/>
      </c>
      <c r="F30" s="76">
        <f>'Cash Flow'!F6</f>
        <v/>
      </c>
      <c r="G30" s="95">
        <f>-G15*G10</f>
        <v/>
      </c>
      <c r="H30" s="95">
        <f>-H15*H10</f>
        <v/>
      </c>
      <c r="I30" s="95">
        <f>-I15*I10</f>
        <v/>
      </c>
      <c r="J30" s="95">
        <f>-J15*J10</f>
        <v/>
      </c>
      <c r="K30" s="95">
        <f>-K15*K10</f>
        <v/>
      </c>
      <c r="L30" s="95">
        <f>-L15*L10</f>
        <v/>
      </c>
      <c r="M30" s="80">
        <f> Revenue × CapEx % assumption  (negative = cash outflow)</f>
        <v/>
      </c>
    </row>
    <row r="31" ht="20" customHeight="1">
      <c r="A31" s="90" t="inlineStr">
        <is>
          <t xml:space="preserve">  (−) Increase in Net Working Capital</t>
        </is>
      </c>
      <c r="B31" s="94" t="n"/>
      <c r="C31" s="94">
        <f>-(('Balance Sheet'!C9-'Balance Sheet'!C21)-('Balance Sheet'!B9-'Balance Sheet'!B21))</f>
        <v/>
      </c>
      <c r="D31" s="94">
        <f>-(('Balance Sheet'!D9-'Balance Sheet'!D21)-('Balance Sheet'!C9-'Balance Sheet'!C21))</f>
        <v/>
      </c>
      <c r="E31" s="94">
        <f>-(('Balance Sheet'!E9-'Balance Sheet'!E21)-('Balance Sheet'!D9-'Balance Sheet'!D21))</f>
        <v/>
      </c>
      <c r="F31" s="94">
        <f>-(('Balance Sheet'!F9-'Balance Sheet'!F21)-('Balance Sheet'!E9-'Balance Sheet'!E21))</f>
        <v/>
      </c>
      <c r="G31" s="95">
        <f>-G15*G11</f>
        <v/>
      </c>
      <c r="H31" s="95">
        <f>-H15*H11</f>
        <v/>
      </c>
      <c r="I31" s="95">
        <f>-I15*I11</f>
        <v/>
      </c>
      <c r="J31" s="95">
        <f>-J15*J11</f>
        <v/>
      </c>
      <c r="K31" s="95">
        <f>-K15*K11</f>
        <v/>
      </c>
      <c r="L31" s="95">
        <f>-L15*L11</f>
        <v/>
      </c>
      <c r="M31" s="80">
        <f> −Revenue × NWC%  (positive NWC% → cash outflow, reduces UFCF)</f>
        <v/>
      </c>
    </row>
    <row r="32" ht="20" customHeight="1">
      <c r="A32" s="75" t="inlineStr">
        <is>
          <t>UNLEVERED FREE CASH FLOW  (UFCF)</t>
        </is>
      </c>
      <c r="B32" s="92">
        <f>B28+B29+B30+B31</f>
        <v/>
      </c>
      <c r="C32" s="92">
        <f>C28+C29+C30+C31</f>
        <v/>
      </c>
      <c r="D32" s="92">
        <f>D28+D29+D30+D31</f>
        <v/>
      </c>
      <c r="E32" s="92">
        <f>E28+E29+E30+E31</f>
        <v/>
      </c>
      <c r="F32" s="92">
        <f>F28+F29+F30+F31</f>
        <v/>
      </c>
      <c r="G32" s="96">
        <f>G28+G29+G30+G31</f>
        <v/>
      </c>
      <c r="H32" s="96">
        <f>H28+H29+H30+H31</f>
        <v/>
      </c>
      <c r="I32" s="96">
        <f>I28+I29+I30+I31</f>
        <v/>
      </c>
      <c r="J32" s="96">
        <f>J28+J29+J30+J31</f>
        <v/>
      </c>
      <c r="K32" s="96">
        <f>K28+K29+K30+K31</f>
        <v/>
      </c>
      <c r="L32" s="96">
        <f>L28+L29+L30+L31</f>
        <v/>
      </c>
      <c r="M32" s="80">
        <f> NOPAT + D&amp;A − CapEx − ΔNWC  (pre-debt, pre-interest free cash flow)</f>
        <v/>
      </c>
    </row>
    <row r="33" ht="20" customHeight="1">
      <c r="A33" s="81" t="inlineStr">
        <is>
          <t xml:space="preserve">  UFCF Margin %</t>
        </is>
      </c>
      <c r="B33" s="87">
        <f>B32/B15</f>
        <v/>
      </c>
      <c r="C33" s="87">
        <f>C32/C15</f>
        <v/>
      </c>
      <c r="D33" s="87">
        <f>D32/D15</f>
        <v/>
      </c>
      <c r="E33" s="87">
        <f>E32/E15</f>
        <v/>
      </c>
      <c r="F33" s="87">
        <f>F32/F15</f>
        <v/>
      </c>
      <c r="G33" s="97">
        <f>IFERROR(G32/G15,"")</f>
        <v/>
      </c>
      <c r="H33" s="97">
        <f>IFERROR(H32/H15,"")</f>
        <v/>
      </c>
      <c r="I33" s="97">
        <f>IFERROR(I32/I15,"")</f>
        <v/>
      </c>
      <c r="J33" s="97">
        <f>IFERROR(J32/J15,"")</f>
        <v/>
      </c>
      <c r="K33" s="97">
        <f>IFERROR(K32/K15,"")</f>
        <v/>
      </c>
      <c r="L33" s="97">
        <f>IFERROR(L32/L15,"")</f>
        <v/>
      </c>
      <c r="M33" s="80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68" t="inlineStr">
        <is>
          <t>WACC  (from WACC tab)</t>
        </is>
      </c>
      <c r="B36" s="98">
        <f>WACC!B44</f>
        <v/>
      </c>
      <c r="C36" s="99" t="n"/>
      <c r="D36" s="99" t="n"/>
      <c r="E36" s="99" t="n"/>
      <c r="F36" s="99" t="n"/>
      <c r="G36" s="99" t="n"/>
      <c r="H36" s="99" t="n"/>
      <c r="I36" s="99" t="n"/>
      <c r="J36" s="99" t="n"/>
      <c r="K36" s="99" t="n"/>
      <c r="L36" s="99" t="n"/>
      <c r="M36" s="74" t="inlineStr">
        <is>
          <t>Auto-linked from WACC tab selected output.  Override manually if needed.</t>
        </is>
      </c>
    </row>
    <row r="37" ht="20" customHeight="1">
      <c r="A37" s="68" t="inlineStr">
        <is>
          <t>Terminal Growth Rate  (g)</t>
        </is>
      </c>
      <c r="B37" s="100" t="n">
        <v>0.025</v>
      </c>
      <c r="C37" s="99" t="n"/>
      <c r="D37" s="99" t="n"/>
      <c r="E37" s="99" t="n"/>
      <c r="F37" s="99" t="n"/>
      <c r="G37" s="99" t="n"/>
      <c r="H37" s="99" t="n"/>
      <c r="I37" s="99" t="n"/>
      <c r="J37" s="99" t="n"/>
      <c r="K37" s="99" t="n"/>
      <c r="L37" s="99" t="n"/>
      <c r="M37" s="74" t="inlineStr">
        <is>
          <t>Growth tier: LOW (3.7% 3yr avg rev growth).  Bear 2.00% / Base 2.5% / Bull 3.00%.  Keep below WACC.</t>
        </is>
      </c>
    </row>
    <row r="38" ht="20" customHeight="1">
      <c r="A38" s="68" t="inlineStr">
        <is>
          <t>Terminal EV/EBITDA Multiple  (exit multiple method)</t>
        </is>
      </c>
      <c r="B38" s="101" t="n">
        <v>15.4</v>
      </c>
      <c r="C38" s="99" t="n"/>
      <c r="D38" s="99" t="n"/>
      <c r="E38" s="99" t="n"/>
      <c r="F38" s="99" t="n"/>
      <c r="G38" s="99" t="n"/>
      <c r="H38" s="99" t="n"/>
      <c r="I38" s="99" t="n"/>
      <c r="J38" s="99" t="n"/>
      <c r="K38" s="99" t="n"/>
      <c r="L38" s="99" t="n"/>
      <c r="M38" s="74" t="inlineStr">
        <is>
          <t>Growth tier: LOW (3.7% 3yr avg rev growth).  Bear 12x / Base 15x / Bull 18x.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2" t="inlineStr">
        <is>
          <t>Terminal Year UFCF  (grown by g)</t>
        </is>
      </c>
      <c r="B40" s="103">
        <f>L32</f>
        <v/>
      </c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80" t="inlineStr">
        <is>
          <t>Cross-ref from Section 3 — terminal year UFCF (already grown by g in assumptions)</t>
        </is>
      </c>
    </row>
    <row r="41" ht="20" customHeight="1">
      <c r="A41" s="75" t="inlineStr">
        <is>
          <t>Terminal Value  [Gordon Growth:  UFCF / (WACC − g)]</t>
        </is>
      </c>
      <c r="B41" s="96">
        <f>B40/(B36-B37)</f>
        <v/>
      </c>
      <c r="C41" s="105" t="n"/>
      <c r="D41" s="105" t="n"/>
      <c r="E41" s="105" t="n"/>
      <c r="F41" s="105" t="n"/>
      <c r="G41" s="105" t="n"/>
      <c r="H41" s="105" t="n"/>
      <c r="I41" s="105" t="n"/>
      <c r="J41" s="105" t="n"/>
      <c r="K41" s="105" t="n"/>
      <c r="L41" s="105" t="n"/>
      <c r="M41" s="80" t="inlineStr">
        <is>
          <t>Sensitive to g — always cross-check vs Exit Multiple below</t>
        </is>
      </c>
    </row>
    <row r="42" ht="20" customHeight="1">
      <c r="A42" s="75" t="inlineStr">
        <is>
          <t>Terminal Value  [Exit Multiple:  Terminal EBITDA × Multiple]</t>
        </is>
      </c>
      <c r="B42" s="96">
        <f>L20*B38</f>
        <v/>
      </c>
      <c r="C42" s="105" t="n"/>
      <c r="D42" s="105" t="n"/>
      <c r="E42" s="105" t="n"/>
      <c r="F42" s="105" t="n"/>
      <c r="G42" s="105" t="n"/>
      <c r="H42" s="105" t="n"/>
      <c r="I42" s="105" t="n"/>
      <c r="J42" s="105" t="n"/>
      <c r="K42" s="105" t="n"/>
      <c r="L42" s="105" t="n"/>
      <c r="M42" s="80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2" t="inlineStr">
        <is>
          <t>Discount Period  (mid-year convention)</t>
        </is>
      </c>
      <c r="G45" s="106" t="n">
        <v>0.5</v>
      </c>
      <c r="H45" s="106" t="n">
        <v>1.5</v>
      </c>
      <c r="I45" s="106" t="n">
        <v>2.5</v>
      </c>
      <c r="J45" s="106" t="n">
        <v>3.5</v>
      </c>
      <c r="K45" s="106" t="n">
        <v>4.5</v>
      </c>
      <c r="L45" s="107" t="n">
        <v>5</v>
      </c>
      <c r="M45" s="80" t="inlineStr">
        <is>
          <t>Mid-year: 0.5, 1.5, 2.5...  assumes FCF received evenly through each year</t>
        </is>
      </c>
    </row>
    <row r="46" ht="20" customHeight="1">
      <c r="A46" s="102" t="inlineStr">
        <is>
          <t>Discount Factor  =  1 / (1 + WACC) ^ period</t>
        </is>
      </c>
      <c r="G46" s="108">
        <f>1/(1+B36)^G45</f>
        <v/>
      </c>
      <c r="H46" s="108">
        <f>1/(1+B36)^H45</f>
        <v/>
      </c>
      <c r="I46" s="108">
        <f>1/(1+B36)^I45</f>
        <v/>
      </c>
      <c r="J46" s="108">
        <f>1/(1+B36)^J45</f>
        <v/>
      </c>
      <c r="K46" s="108">
        <f>1/(1+B36)^K45</f>
        <v/>
      </c>
      <c r="L46" s="109">
        <f>1/(1+B36)^L45</f>
        <v/>
      </c>
      <c r="M46" s="80">
        <f> 1 / (1 + WACC) ^ discount period</f>
        <v/>
      </c>
    </row>
    <row r="47" ht="20" customHeight="1">
      <c r="A47" s="75" t="inlineStr">
        <is>
          <t>PV of UFCF</t>
        </is>
      </c>
      <c r="G47" s="96">
        <f>G32*G46</f>
        <v/>
      </c>
      <c r="H47" s="96">
        <f>H32*H46</f>
        <v/>
      </c>
      <c r="I47" s="96">
        <f>I32*I46</f>
        <v/>
      </c>
      <c r="J47" s="96">
        <f>J32*J46</f>
        <v/>
      </c>
      <c r="K47" s="96">
        <f>K32*K46</f>
        <v/>
      </c>
      <c r="L47" s="105" t="n"/>
      <c r="M47" s="80">
        <f> UFCF × discount factor</f>
        <v/>
      </c>
    </row>
    <row r="48" ht="20" customHeight="1">
      <c r="A48" s="63" t="inlineStr">
        <is>
          <t>Sum of PV of FCFs  (explicit period)</t>
        </is>
      </c>
      <c r="B48" s="93">
        <f>G47+H47+I47+J47+K47</f>
        <v/>
      </c>
      <c r="C48" s="110" t="n"/>
      <c r="D48" s="110" t="n"/>
      <c r="E48" s="110" t="n"/>
      <c r="F48" s="110" t="n"/>
      <c r="G48" s="110" t="n"/>
      <c r="H48" s="110" t="n"/>
      <c r="I48" s="110" t="n"/>
      <c r="J48" s="110" t="n"/>
      <c r="K48" s="110" t="n"/>
      <c r="L48" s="110" t="n"/>
      <c r="M48" s="80" t="inlineStr">
        <is>
          <t>Sum of 5 discounted annual FCFs</t>
        </is>
      </c>
    </row>
    <row r="49" ht="20" customHeight="1">
      <c r="A49" s="63" t="inlineStr">
        <is>
          <t>PV of Terminal Value  [Gordon Growth]</t>
        </is>
      </c>
      <c r="B49" s="93">
        <f>B41*L46</f>
        <v/>
      </c>
      <c r="C49" s="110" t="n"/>
      <c r="D49" s="110" t="n"/>
      <c r="E49" s="110" t="n"/>
      <c r="F49" s="110" t="n"/>
      <c r="G49" s="110" t="n"/>
      <c r="H49" s="110" t="n"/>
      <c r="I49" s="110" t="n"/>
      <c r="J49" s="110" t="n"/>
      <c r="K49" s="110" t="n"/>
      <c r="L49" s="110" t="n"/>
      <c r="M49" s="80" t="inlineStr">
        <is>
          <t>Terminal value × terminal-year discount factor</t>
        </is>
      </c>
    </row>
    <row r="50" ht="20" customHeight="1">
      <c r="A50" s="63" t="inlineStr">
        <is>
          <t>PV of Terminal Value  [Exit Multiple]</t>
        </is>
      </c>
      <c r="B50" s="93">
        <f>B42*L46</f>
        <v/>
      </c>
      <c r="C50" s="110" t="n"/>
      <c r="D50" s="110" t="n"/>
      <c r="E50" s="110" t="n"/>
      <c r="F50" s="110" t="n"/>
      <c r="G50" s="110" t="n"/>
      <c r="H50" s="110" t="n"/>
      <c r="I50" s="110" t="n"/>
      <c r="J50" s="110" t="n"/>
      <c r="K50" s="110" t="n"/>
      <c r="L50" s="110" t="n"/>
      <c r="M50" s="80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5" t="inlineStr">
        <is>
          <t>Enterprise Value  [Gordon Growth]</t>
        </is>
      </c>
      <c r="B53" s="96">
        <f>B48+B49</f>
        <v/>
      </c>
      <c r="C53" s="105" t="n"/>
      <c r="D53" s="105" t="n"/>
      <c r="E53" s="105" t="n"/>
      <c r="F53" s="105" t="n"/>
      <c r="G53" s="105" t="n"/>
      <c r="H53" s="105" t="n"/>
      <c r="I53" s="105" t="n"/>
      <c r="J53" s="105" t="n"/>
      <c r="K53" s="105" t="n"/>
      <c r="L53" s="105" t="n"/>
      <c r="M53" s="105" t="n"/>
    </row>
    <row r="54">
      <c r="A54" s="75" t="inlineStr">
        <is>
          <t>Enterprise Value  [Exit Multiple]</t>
        </is>
      </c>
      <c r="B54" s="96">
        <f>B48+B50</f>
        <v/>
      </c>
      <c r="C54" s="105" t="n"/>
      <c r="D54" s="105" t="n"/>
      <c r="E54" s="105" t="n"/>
      <c r="F54" s="105" t="n"/>
      <c r="G54" s="105" t="n"/>
      <c r="H54" s="105" t="n"/>
      <c r="I54" s="105" t="n"/>
      <c r="J54" s="105" t="n"/>
      <c r="K54" s="105" t="n"/>
      <c r="L54" s="105" t="n"/>
      <c r="M54" s="105" t="n"/>
    </row>
    <row r="55" ht="20" customHeight="1">
      <c r="A55" s="90" t="inlineStr">
        <is>
          <t xml:space="preserve">  Less: Net Debt  (Debt − Cash)</t>
        </is>
      </c>
      <c r="B55" s="103">
        <f>'Balance Sheet'!F81</f>
        <v/>
      </c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80" t="inlineStr">
        <is>
          <t>Linked from Balance Sheet: Total Debt (ST+LT) − Cash &amp; Equivalents  (negative = net cash)</t>
        </is>
      </c>
    </row>
    <row r="56" ht="20" customHeight="1">
      <c r="A56" s="90" t="inlineStr">
        <is>
          <t xml:space="preserve">  Less: Minority Interest</t>
        </is>
      </c>
      <c r="B56" s="103" t="n">
        <v>2106</v>
      </c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80" t="inlineStr">
        <is>
          <t>Auto-linked from Balance Sheet: minorityInterest</t>
        </is>
      </c>
    </row>
    <row r="57" ht="20" customHeight="1">
      <c r="A57" s="90" t="inlineStr">
        <is>
          <t xml:space="preserve">  Shares Outstanding — Diluted  (mm)</t>
        </is>
      </c>
      <c r="B57" s="103" t="n">
        <v>4313</v>
      </c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80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5" t="inlineStr">
        <is>
          <t>Implied Share Price  [Gordon Growth]  ($)</t>
        </is>
      </c>
      <c r="B59" s="111">
        <f>IFERROR((B53-B55-B56)/B57,"")</f>
        <v/>
      </c>
      <c r="C59" s="105" t="n"/>
      <c r="D59" s="105" t="n"/>
      <c r="E59" s="105" t="n"/>
      <c r="F59" s="105" t="n"/>
      <c r="G59" s="105" t="n"/>
      <c r="H59" s="105" t="n"/>
      <c r="I59" s="105" t="n"/>
      <c r="J59" s="105" t="n"/>
      <c r="K59" s="105" t="n"/>
      <c r="L59" s="105" t="n"/>
      <c r="M59" s="105" t="n"/>
    </row>
    <row r="60">
      <c r="A60" s="75" t="inlineStr">
        <is>
          <t>Implied Share Price  [Exit Multiple]  ($)</t>
        </is>
      </c>
      <c r="B60" s="111">
        <f>IFERROR((B54-B55-B56)/B57,"")</f>
        <v/>
      </c>
      <c r="C60" s="105" t="n"/>
      <c r="D60" s="105" t="n"/>
      <c r="E60" s="105" t="n"/>
      <c r="F60" s="105" t="n"/>
      <c r="G60" s="105" t="n"/>
      <c r="H60" s="105" t="n"/>
      <c r="I60" s="105" t="n"/>
      <c r="J60" s="105" t="n"/>
      <c r="K60" s="105" t="n"/>
      <c r="L60" s="105" t="n"/>
      <c r="M60" s="105" t="n"/>
    </row>
    <row r="61" ht="20" customHeight="1">
      <c r="A61" s="102" t="inlineStr">
        <is>
          <t>Current Market Price  ($)</t>
        </is>
      </c>
      <c r="B61" s="112" t="n">
        <v>81.48</v>
      </c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80" t="inlineStr">
        <is>
          <t>Auto-linked from FMP company profile — price</t>
        </is>
      </c>
    </row>
    <row r="62">
      <c r="A62" s="63" t="inlineStr">
        <is>
          <t>Upside / (Downside)  [Gordon Growth]</t>
        </is>
      </c>
      <c r="B62" s="113">
        <f>IFERROR(B59/B61-1,"")</f>
        <v/>
      </c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M62" s="110" t="n"/>
    </row>
    <row r="63">
      <c r="A63" s="63" t="inlineStr">
        <is>
          <t>Upside / (Downside)  [Exit Multiple]</t>
        </is>
      </c>
      <c r="B63" s="113">
        <f>IFERROR(B60/B61-1,"")</f>
        <v/>
      </c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  <c r="M63" s="110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4" t="inlineStr">
        <is>
          <t>JS SCORECARD — KO  |  Master Prompt v2  |  27 May 2026  |  Sector bucket: Stable Compounder</t>
        </is>
      </c>
    </row>
    <row r="2" ht="18" customHeight="1">
      <c r="A2" s="115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6" t="inlineStr">
        <is>
          <t>✓  No floor cap (D/EBITDA and EBIT/Interest within safe thresholds)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7" t="inlineStr">
        <is>
          <t>CRITERION</t>
        </is>
      </c>
      <c r="B6" s="118" t="inlineStr">
        <is>
          <t>PART</t>
        </is>
      </c>
      <c r="C6" s="118" t="inlineStr">
        <is>
          <t>WEIGHT %</t>
        </is>
      </c>
      <c r="D6" s="118" t="inlineStr">
        <is>
          <t>CALCULATED VALUE</t>
        </is>
      </c>
      <c r="E6" s="118" t="inlineStr">
        <is>
          <t>TIER  ▼</t>
        </is>
      </c>
      <c r="F6" s="118" t="inlineStr">
        <is>
          <t>SCORE</t>
        </is>
      </c>
      <c r="G6" s="118" t="inlineStr">
        <is>
          <t>WTD SCORE</t>
        </is>
      </c>
      <c r="H6" s="117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19" t="inlineStr">
        <is>
          <t xml:space="preserve">  Business Clarity</t>
        </is>
      </c>
      <c r="B8" s="120" t="inlineStr">
        <is>
          <t>P1</t>
        </is>
      </c>
      <c r="C8" s="121" t="n">
        <v>0.025</v>
      </c>
      <c r="D8" s="122" t="inlineStr">
        <is>
          <t>— user input required</t>
        </is>
      </c>
      <c r="E8" s="123" t="n"/>
      <c r="F8" s="124">
        <f>IF(E8="HIGH",10,IF(E8="MOD-HIGH",7,IF(E8="MOD-LOW",3,IF(E8="LOW",0,""))))</f>
        <v/>
      </c>
      <c r="G8" s="125">
        <f>IF(F8="",0,C8*F8*10)</f>
        <v/>
      </c>
      <c r="H8" s="126" t="inlineStr"/>
    </row>
    <row r="9" ht="18" customHeight="1">
      <c r="A9" s="127" t="inlineStr">
        <is>
          <t xml:space="preserve">  Moat Profile</t>
        </is>
      </c>
      <c r="B9" s="128" t="inlineStr">
        <is>
          <t>P1</t>
        </is>
      </c>
      <c r="C9" s="129" t="n">
        <v>0.1</v>
      </c>
      <c r="D9" s="130" t="inlineStr">
        <is>
          <t>GM 61.6% ✓ (&gt;40%)  |  GM trend +3.5% ✓ (&gt;+1pp)  |  ROIC-WACC +11.2% ✓ (&gt;+5pp)  |  Rev consistency σ=3.7% ✓ (&lt;8%)  [4/4 indicators positive — proxy score]</t>
        </is>
      </c>
      <c r="E9" s="131" t="inlineStr">
        <is>
          <t>HIGH</t>
        </is>
      </c>
      <c r="F9" s="132" t="n">
        <v>10</v>
      </c>
      <c r="G9" s="133">
        <f>IF(F9="",0,C9*F9*10)</f>
        <v/>
      </c>
      <c r="H9" s="134" t="inlineStr">
        <is>
          <t>GM 61.6% ✓ (&gt;40%)  |  GM trend +3.5% ✓ (&gt;+1pp)  |  ROIC-WACC +11.2% ✓ (&gt;+5pp)  |  Rev consistency σ=3.7% ✓ (&lt;8%)  [4/4 indicators positive — proxy score]</t>
        </is>
      </c>
    </row>
    <row r="10" ht="18" customHeight="1">
      <c r="A10" s="119" t="inlineStr">
        <is>
          <t xml:space="preserve">  Long-Term Potential</t>
        </is>
      </c>
      <c r="B10" s="120" t="inlineStr">
        <is>
          <t>P1</t>
        </is>
      </c>
      <c r="C10" s="121" t="n">
        <v>0.1</v>
      </c>
      <c r="D10" s="122" t="inlineStr">
        <is>
          <t>— user input required</t>
        </is>
      </c>
      <c r="E10" s="123" t="n"/>
      <c r="F10" s="124">
        <f>IF(E10="HIGH",10,IF(E10="MOD-HIGH",7,IF(E10="MOD-LOW",3,IF(E10="LOW",0,""))))</f>
        <v/>
      </c>
      <c r="G10" s="125">
        <f>IF(F10="",0,C10*F10*10)</f>
        <v/>
      </c>
      <c r="H10" s="126" t="inlineStr"/>
    </row>
    <row r="11" ht="18" customHeight="1">
      <c r="A11" s="127" t="inlineStr">
        <is>
          <t xml:space="preserve">  Management</t>
        </is>
      </c>
      <c r="B11" s="128" t="inlineStr">
        <is>
          <t>P1</t>
        </is>
      </c>
      <c r="C11" s="129" t="n">
        <v>0.075</v>
      </c>
      <c r="D11" s="130" t="inlineStr">
        <is>
          <t>ROIC trend +0.2% ✓ (&gt;=-2pp)  |  GM maintained +3.5% ✓  |  Op margin +3.3% ✓ (≥-2pp)  |  Capital returns HIGH ✓  |  Share count -0.1%/yr ✓ (net buyback)  |  Goodwill/Equity 48% ✗ (&lt;40%)  [5/6 indicators positive — proxy score]</t>
        </is>
      </c>
      <c r="E11" s="135" t="inlineStr">
        <is>
          <t>MOD-HIGH</t>
        </is>
      </c>
      <c r="F11" s="132" t="n">
        <v>8.33</v>
      </c>
      <c r="G11" s="133">
        <f>IF(F11="",0,C11*F11*10)</f>
        <v/>
      </c>
      <c r="H11" s="134" t="inlineStr">
        <is>
          <t>ROIC trend +0.2% ✓ (&gt;=-2pp)  |  GM maintained +3.5% ✓  |  Op margin +3.3% ✓ (≥-2pp)  |  Capital returns HIGH ✓  |  Share count -0.1%/yr ✓ (net buyback)  |  Goodwill/Equity 48% ✗ (&lt;40%)  [5/6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7" t="inlineStr">
        <is>
          <t xml:space="preserve">  Revenue 3yr CAGR</t>
        </is>
      </c>
      <c r="B13" s="128" t="inlineStr">
        <is>
          <t>P2</t>
        </is>
      </c>
      <c r="C13" s="129" t="n">
        <v>0.1</v>
      </c>
      <c r="D13" s="130" t="inlineStr">
        <is>
          <t>3.7%</t>
        </is>
      </c>
      <c r="E13" s="136" t="inlineStr">
        <is>
          <t>MOD-LOW</t>
        </is>
      </c>
      <c r="F13" s="132" t="n">
        <v>4.38</v>
      </c>
      <c r="G13" s="133">
        <f>IF(F13="",0,C13*F13*10)</f>
        <v/>
      </c>
      <c r="H13" s="134" t="inlineStr">
        <is>
          <t>3.7%</t>
        </is>
      </c>
    </row>
    <row r="14" ht="18" customHeight="1">
      <c r="A14" s="127" t="inlineStr">
        <is>
          <t xml:space="preserve">  Cash Quality  (FCF / Net Income)</t>
        </is>
      </c>
      <c r="B14" s="128" t="inlineStr">
        <is>
          <t>P2</t>
        </is>
      </c>
      <c r="C14" s="129" t="n">
        <v>0.1</v>
      </c>
      <c r="D14" s="130" t="inlineStr">
        <is>
          <t>56%  [trend penalty: declined &gt;15pp vs 3yr ago]  [through-cycle: 70/30 latest+5yr median, latest 40.4% → smoothed 55.6%]</t>
        </is>
      </c>
      <c r="E14" s="137" t="inlineStr">
        <is>
          <t>LOW</t>
        </is>
      </c>
      <c r="F14" s="132" t="n">
        <v>0.62</v>
      </c>
      <c r="G14" s="133">
        <f>IF(F14="",0,C14*F14*10)</f>
        <v/>
      </c>
      <c r="H14" s="134" t="inlineStr">
        <is>
          <t>56%  [trend penalty: declined &gt;15pp vs 3yr ago]  [through-cycle: 70/30 latest+5yr median, latest 40.4% → smoothed 55.6%]</t>
        </is>
      </c>
    </row>
    <row r="15" ht="18" customHeight="1">
      <c r="A15" s="127" t="inlineStr">
        <is>
          <t xml:space="preserve">  Capital Returns</t>
        </is>
      </c>
      <c r="B15" s="128" t="inlineStr">
        <is>
          <t>P2</t>
        </is>
      </c>
      <c r="C15" s="129" t="n">
        <v>0.05</v>
      </c>
      <c r="D15" s="130" t="inlineStr">
        <is>
          <t>$746mm latest FY — 5yr+ consistent equity-funded  [payout 14% of FCF — low, building cash]</t>
        </is>
      </c>
      <c r="E15" s="131" t="inlineStr">
        <is>
          <t>HIGH</t>
        </is>
      </c>
      <c r="F15" s="132" t="n">
        <v>10</v>
      </c>
      <c r="G15" s="133">
        <f>IF(F15="",0,C15*F15*10)</f>
        <v/>
      </c>
      <c r="H15" s="134" t="inlineStr">
        <is>
          <t>$746mm latest FY — 5yr+ consistent equity-funded  [payout 14% of FCF — low, building cash]</t>
        </is>
      </c>
    </row>
    <row r="16" ht="18" customHeight="1">
      <c r="A16" s="127" t="inlineStr">
        <is>
          <t xml:space="preserve">  ROIC</t>
        </is>
      </c>
      <c r="B16" s="128" t="inlineStr">
        <is>
          <t>P2</t>
        </is>
      </c>
      <c r="C16" s="129" t="n">
        <v>0.075</v>
      </c>
      <c r="D16" s="130" t="inlineStr">
        <is>
          <t>16.5%  [QoE: CFO/NI 76% 3yr avg — cash conv weak]</t>
        </is>
      </c>
      <c r="E16" s="135" t="inlineStr">
        <is>
          <t>MOD-HIGH</t>
        </is>
      </c>
      <c r="F16" s="132" t="n">
        <v>7.18</v>
      </c>
      <c r="G16" s="133">
        <f>IF(F16="",0,C16*F16*10)</f>
        <v/>
      </c>
      <c r="H16" s="134" t="inlineStr">
        <is>
          <t>16.5%  [QoE: CFO/NI 76% 3yr avg — cash conv weak]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7" t="inlineStr">
        <is>
          <t xml:space="preserve">  Credit Risk  (D / EBITDA)</t>
        </is>
      </c>
      <c r="B18" s="128" t="inlineStr">
        <is>
          <t>P3</t>
        </is>
      </c>
      <c r="C18" s="129" t="n">
        <v>0.05</v>
      </c>
      <c r="D18" s="130" t="inlineStr">
        <is>
          <t>2.5x  [through-cycle: 70/30 latest+5yr median, latest 2.4x → smoothed 2.5x]</t>
        </is>
      </c>
      <c r="E18" s="135" t="inlineStr">
        <is>
          <t>MOD-HIGH</t>
        </is>
      </c>
      <c r="F18" s="132" t="n">
        <v>7.92</v>
      </c>
      <c r="G18" s="133">
        <f>IF(F18="",0,C18*F18*10)</f>
        <v/>
      </c>
      <c r="H18" s="134" t="inlineStr">
        <is>
          <t>2.5x  [through-cycle: 70/30 latest+5yr median, latest 2.4x → smoothed 2.5x]</t>
        </is>
      </c>
    </row>
    <row r="19" ht="18" customHeight="1">
      <c r="A19" s="127" t="inlineStr">
        <is>
          <t xml:space="preserve">  Interest Cover  (EBIT / Interest)</t>
        </is>
      </c>
      <c r="B19" s="128" t="inlineStr">
        <is>
          <t>P3</t>
        </is>
      </c>
      <c r="C19" s="129" t="n">
        <v>0.075</v>
      </c>
      <c r="D19" s="130" t="inlineStr">
        <is>
          <t>8.3x</t>
        </is>
      </c>
      <c r="E19" s="135" t="inlineStr">
        <is>
          <t>MOD-HIGH</t>
        </is>
      </c>
      <c r="F19" s="132" t="n">
        <v>9.16</v>
      </c>
      <c r="G19" s="133">
        <f>IF(F19="",0,C19*F19*10)</f>
        <v/>
      </c>
      <c r="H19" s="134" t="inlineStr">
        <is>
          <t>8.3x</t>
        </is>
      </c>
    </row>
    <row r="20" ht="18" customHeight="1">
      <c r="A20" s="127" t="inlineStr">
        <is>
          <t xml:space="preserve">  Execution Risk</t>
        </is>
      </c>
      <c r="B20" s="128" t="inlineStr">
        <is>
          <t>P3</t>
        </is>
      </c>
      <c r="C20" s="129" t="n">
        <v>0.05</v>
      </c>
      <c r="D20" s="130" t="inlineStr">
        <is>
          <t>Rev growth σ=3.7%  |  OM trend +2.0%, σ=2.5%  [quality = direction + stability]</t>
        </is>
      </c>
      <c r="E20" s="135" t="inlineStr">
        <is>
          <t>MOD-HIGH</t>
        </is>
      </c>
      <c r="F20" s="132" t="n">
        <v>6.67</v>
      </c>
      <c r="G20" s="133">
        <f>IF(F20="",0,C20*F20*10)</f>
        <v/>
      </c>
      <c r="H20" s="134" t="inlineStr">
        <is>
          <t>Rev growth σ=3.7%  |  OM trend +2.0%, σ=2.5%  [quality = direction + stability]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27" t="inlineStr">
        <is>
          <t xml:space="preserve">  Valuation vs Median  (P/E)</t>
        </is>
      </c>
      <c r="B22" s="128" t="inlineStr">
        <is>
          <t>P4</t>
        </is>
      </c>
      <c r="C22" s="129" t="n">
        <v>0.1</v>
      </c>
      <c r="D22" s="130" t="inlineStr">
        <is>
          <t>Fwd P/E 24.9x (scoring basis)  |  5yr avg 24.9x  |  DCF-implied 15.3x [ref only — not used as benchmark]  [+0% vs benchmark]  [trail=7.00 | fwd_pe=24.9x→7.00 | abs=7.0 → blended 40/40/20=7.00]  PEG=339.89 (fwd_pe=24.9x / eps_growth=7%)  [revision:Modest upgrade expected→+0.25]</t>
        </is>
      </c>
      <c r="E22" s="135" t="inlineStr">
        <is>
          <t>MOD-HIGH</t>
        </is>
      </c>
      <c r="F22" s="132" t="n">
        <v>7.25</v>
      </c>
      <c r="G22" s="133">
        <f>IF(F22="",0,C22*F22*10)</f>
        <v/>
      </c>
      <c r="H22" s="134" t="inlineStr">
        <is>
          <t>Fwd P/E 24.9x (scoring basis)  |  5yr avg 24.9x  |  DCF-implied 15.3x [ref only — not used as benchmark]  [+0% vs benchmark]  [trail=7.00 | fwd_pe=24.9x→7.00 | abs=7.0 → blended 40/40/20=7.00]  PEG=339.89 (fwd_pe=24.9x / eps_growth=7%)  [revision:Modest upgrade expected→+0.25]</t>
        </is>
      </c>
    </row>
    <row r="23" ht="18" customHeight="1">
      <c r="A23" s="127" t="inlineStr">
        <is>
          <t xml:space="preserve">  Valuation vs Median  (P/FCF)</t>
        </is>
      </c>
      <c r="B23" s="128" t="inlineStr">
        <is>
          <t>P4</t>
        </is>
      </c>
      <c r="C23" s="129" t="n">
        <v>0.1</v>
      </c>
      <c r="D23" s="130" t="inlineStr">
        <is>
          <t>Current 56.8x  |  5yr avg 41.9x  |  DCF-implied 37.9x [ref only — not used as benchmark]  [+36% vs benchmark]  [trail=1.73 | fwd_pfcf=64.6x→0.00 | abs=0.0 → blended 40/40/20=0.69]  [fcf_yield=1.8% vs rf=4.6%  spread=-2.8%→modifier=-0.50]</t>
        </is>
      </c>
      <c r="E23" s="137" t="inlineStr">
        <is>
          <t>LOW</t>
        </is>
      </c>
      <c r="F23" s="132" t="n">
        <v>0.19</v>
      </c>
      <c r="G23" s="133">
        <f>IF(F23="",0,C23*F23*10)</f>
        <v/>
      </c>
      <c r="H23" s="134" t="inlineStr">
        <is>
          <t>Current 56.8x  |  5yr avg 41.9x  |  DCF-implied 37.9x [ref only — not used as benchmark]  [+36% vs benchmark]  [trail=1.73 | fwd_pfcf=64.6x→0.00 | abs=0.0 → blended 40/40/20=0.69]  [fcf_yield=1.8% vs rf=4.6%  spread=-2.8%→modifier=-0.50]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38" t="inlineStr">
        <is>
          <t>TOTAL SCORE  (max = 100.0)</t>
        </is>
      </c>
      <c r="B25" s="139" t="n"/>
      <c r="C25" s="139" t="n"/>
      <c r="D25" s="139" t="n"/>
      <c r="E25" s="139" t="n"/>
      <c r="F25" s="139" t="n"/>
      <c r="G25" s="140">
        <f>G8+G9+G10+G11+G13+G14+G15+G16+G18+G19+G20+G22+G23</f>
        <v/>
      </c>
      <c r="H25" s="141" t="inlineStr">
        <is>
          <t>No floor cap.</t>
        </is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 ht="24" customHeight="1">
      <c r="A27" s="142">
        <f>IF(G25="","Score incomplete — fill qualitative tiers above",IF(G25&gt;=80,"STRONG BUY",IF(G25&gt;=65,"BUY",IF(G25&gt;=50,"HOLD",IF(G25&gt;=35,"REDUCE","SELL")))))</f>
        <v/>
      </c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  <row r="29" ht="18" customHeight="1">
      <c r="A29" s="143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29:H29"/>
    <mergeCell ref="A7:H7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2026-05-27T02:23:56Z</dcterms:created>
  <dcterms:modified xmlns:dcterms="http://purl.org/dc/terms/" xmlns:xsi="http://www.w3.org/2001/XMLSchema-instance" xsi:type="dcterms:W3CDTF">2026-05-27T02:24:06Z</dcterms:modified>
</cp:coreProperties>
</file>