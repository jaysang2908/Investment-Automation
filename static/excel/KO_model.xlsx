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8" borderId="1" applyAlignment="1" pivotButton="0" quotePrefix="0" xfId="0">
      <alignment horizontal="center" vertical="center"/>
    </xf>
    <xf numFmtId="0" fontId="32" fillId="19" borderId="1" applyAlignment="1" pivotButton="0" quotePrefix="0" xfId="0">
      <alignment horizontal="center" vertical="center"/>
    </xf>
    <xf numFmtId="0" fontId="33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KO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47941</v>
      </c>
    </row>
    <row r="8">
      <c r="A8" s="3" t="inlineStr">
        <is>
          <t>Gross Profit ($mm)</t>
        </is>
      </c>
      <c r="B8" s="7" t="n">
        <v>29544</v>
      </c>
    </row>
    <row r="9">
      <c r="A9" s="3" t="inlineStr">
        <is>
          <t>EBITDA ($mm)</t>
        </is>
      </c>
      <c r="B9" s="7" t="n">
        <v>18702</v>
      </c>
    </row>
    <row r="10">
      <c r="A10" s="3" t="inlineStr">
        <is>
          <t>EBIT ($mm)</t>
        </is>
      </c>
      <c r="B10" s="7" t="n">
        <v>13762</v>
      </c>
    </row>
    <row r="11">
      <c r="A11" s="3" t="inlineStr">
        <is>
          <t>Net Income ($mm)</t>
        </is>
      </c>
      <c r="B11" s="7" t="n">
        <v>13107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38655</v>
      </c>
      <c r="C5" s="16" t="n">
        <v>43004</v>
      </c>
      <c r="D5" s="16" t="n">
        <v>45754</v>
      </c>
      <c r="E5" s="16" t="n">
        <v>47061</v>
      </c>
      <c r="F5" s="16" t="n">
        <v>47941</v>
      </c>
    </row>
    <row r="6">
      <c r="A6" s="17" t="inlineStr">
        <is>
          <t>(2)  Cost of Revenue (COGS)</t>
        </is>
      </c>
      <c r="B6" s="18" t="n">
        <v>15357</v>
      </c>
      <c r="C6" s="18" t="n">
        <v>18000</v>
      </c>
      <c r="D6" s="18" t="n">
        <v>18520</v>
      </c>
      <c r="E6" s="18" t="n">
        <v>18324</v>
      </c>
      <c r="F6" s="18" t="n">
        <v>18397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11865</v>
      </c>
      <c r="C9" s="18" t="n">
        <v>12665</v>
      </c>
      <c r="D9" s="18" t="n">
        <v>13988</v>
      </c>
      <c r="E9" s="18" t="n">
        <v>14442</v>
      </c>
      <c r="F9" s="18" t="n">
        <v>14521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12990</v>
      </c>
      <c r="C11" s="18" t="n">
        <v>14095</v>
      </c>
      <c r="D11" s="18" t="n">
        <v>15923</v>
      </c>
      <c r="E11" s="18" t="n">
        <v>18745</v>
      </c>
      <c r="F11" s="18" t="n">
        <v>15782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1452</v>
      </c>
      <c r="C14" s="18" t="n">
        <v>1260</v>
      </c>
      <c r="D14" s="18" t="n">
        <v>1128</v>
      </c>
      <c r="E14" s="18" t="n">
        <v>1075</v>
      </c>
      <c r="F14" s="18" t="n">
        <v>1050</v>
      </c>
    </row>
    <row r="15">
      <c r="A15" s="19" t="inlineStr">
        <is>
          <t>(8)  EBIT (Operating Income)</t>
        </is>
      </c>
      <c r="B15" s="24" t="n">
        <v>10308</v>
      </c>
      <c r="C15" s="24" t="n">
        <v>10909</v>
      </c>
      <c r="D15" s="24" t="n">
        <v>11311</v>
      </c>
      <c r="E15" s="24" t="n">
        <v>9992</v>
      </c>
      <c r="F15" s="24" t="n">
        <v>13762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1597</v>
      </c>
      <c r="C17" s="18" t="n">
        <v>882</v>
      </c>
      <c r="D17" s="18" t="n">
        <v>1527</v>
      </c>
      <c r="E17" s="18" t="n">
        <v>1656</v>
      </c>
      <c r="F17" s="18" t="n">
        <v>1654</v>
      </c>
    </row>
    <row r="18">
      <c r="A18" s="21" t="inlineStr">
        <is>
          <t xml:space="preserve">     Interest Income</t>
        </is>
      </c>
      <c r="B18" s="18" t="n">
        <v>276</v>
      </c>
      <c r="C18" s="18" t="n">
        <v>449</v>
      </c>
      <c r="D18" s="18" t="n">
        <v>907</v>
      </c>
      <c r="E18" s="18" t="n">
        <v>988</v>
      </c>
      <c r="F18" s="18" t="n">
        <v>786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12425</v>
      </c>
      <c r="C21" s="24" t="n">
        <v>11686</v>
      </c>
      <c r="D21" s="24" t="n">
        <v>12952</v>
      </c>
      <c r="E21" s="24" t="n">
        <v>13086</v>
      </c>
      <c r="F21" s="24" t="n">
        <v>15998</v>
      </c>
    </row>
    <row r="22">
      <c r="A22" s="17" t="inlineStr">
        <is>
          <t>(11) Income Tax Expense</t>
        </is>
      </c>
      <c r="B22" s="18" t="n">
        <v>2621</v>
      </c>
      <c r="C22" s="18" t="n">
        <v>2115</v>
      </c>
      <c r="D22" s="18" t="n">
        <v>2249</v>
      </c>
      <c r="E22" s="18" t="n">
        <v>2437</v>
      </c>
      <c r="F22" s="18" t="n">
        <v>2861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9771</v>
      </c>
      <c r="C24" s="24" t="n">
        <v>9542</v>
      </c>
      <c r="D24" s="24" t="n">
        <v>10714</v>
      </c>
      <c r="E24" s="24" t="n">
        <v>10631</v>
      </c>
      <c r="F24" s="24" t="n">
        <v>13107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38655</v>
      </c>
      <c r="C30" s="16" t="n">
        <v>43004</v>
      </c>
      <c r="D30" s="16" t="n">
        <v>45754</v>
      </c>
      <c r="E30" s="16" t="n">
        <v>47061</v>
      </c>
      <c r="F30" s="16" t="n">
        <v>47941</v>
      </c>
    </row>
    <row r="31">
      <c r="A31" s="17" t="inlineStr">
        <is>
          <t>Cost of Revenue</t>
        </is>
      </c>
      <c r="B31" s="18" t="n">
        <v>15357</v>
      </c>
      <c r="C31" s="18" t="n">
        <v>18000</v>
      </c>
      <c r="D31" s="18" t="n">
        <v>18520</v>
      </c>
      <c r="E31" s="18" t="n">
        <v>18324</v>
      </c>
      <c r="F31" s="18" t="n">
        <v>18397</v>
      </c>
    </row>
    <row r="32">
      <c r="A32" s="26" t="inlineStr">
        <is>
          <t>Gross Profit</t>
        </is>
      </c>
      <c r="B32" s="27" t="n">
        <v>23298</v>
      </c>
      <c r="C32" s="27" t="n">
        <v>25004</v>
      </c>
      <c r="D32" s="27" t="n">
        <v>27234</v>
      </c>
      <c r="E32" s="27" t="n">
        <v>28737</v>
      </c>
      <c r="F32" s="27" t="n">
        <v>29544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7865</v>
      </c>
      <c r="C35" s="18" t="n">
        <v>8665</v>
      </c>
      <c r="D35" s="18" t="n">
        <v>8978</v>
      </c>
      <c r="E35" s="18" t="n">
        <v>9296</v>
      </c>
      <c r="F35" s="18" t="n">
        <v>9121</v>
      </c>
    </row>
    <row r="36">
      <c r="A36" s="17" t="inlineStr">
        <is>
          <t>Selling &amp; Marketing</t>
        </is>
      </c>
      <c r="B36" s="18" t="n">
        <v>4000</v>
      </c>
      <c r="C36" s="18" t="n">
        <v>4000</v>
      </c>
      <c r="D36" s="18" t="n">
        <v>5010</v>
      </c>
      <c r="E36" s="18" t="n">
        <v>5146</v>
      </c>
      <c r="F36" s="18" t="n">
        <v>5400</v>
      </c>
    </row>
    <row r="37">
      <c r="A37" s="17" t="inlineStr">
        <is>
          <t>SG&amp;A (Combined)</t>
        </is>
      </c>
      <c r="B37" s="18" t="n">
        <v>11865</v>
      </c>
      <c r="C37" s="18" t="n">
        <v>12665</v>
      </c>
      <c r="D37" s="18" t="n">
        <v>13988</v>
      </c>
      <c r="E37" s="18" t="n">
        <v>14442</v>
      </c>
      <c r="F37" s="18" t="n">
        <v>14521</v>
      </c>
    </row>
    <row r="38">
      <c r="A38" s="17" t="inlineStr">
        <is>
          <t>Other Expenses</t>
        </is>
      </c>
      <c r="B38" s="18" t="n">
        <v>1125</v>
      </c>
      <c r="C38" s="18" t="n">
        <v>1430</v>
      </c>
      <c r="D38" s="18" t="n">
        <v>1935</v>
      </c>
      <c r="E38" s="18" t="n">
        <v>4303</v>
      </c>
      <c r="F38" s="18" t="n">
        <v>1261</v>
      </c>
    </row>
    <row r="39">
      <c r="A39" s="26" t="inlineStr">
        <is>
          <t>Total Operating Expenses</t>
        </is>
      </c>
      <c r="B39" s="27" t="n">
        <v>12990</v>
      </c>
      <c r="C39" s="27" t="n">
        <v>14095</v>
      </c>
      <c r="D39" s="27" t="n">
        <v>15923</v>
      </c>
      <c r="E39" s="27" t="n">
        <v>18745</v>
      </c>
      <c r="F39" s="27" t="n">
        <v>15782</v>
      </c>
    </row>
    <row r="40">
      <c r="A40" s="17" t="inlineStr">
        <is>
          <t>Cost &amp; Expenses (COGS + Opex)</t>
        </is>
      </c>
      <c r="B40" s="18" t="n">
        <v>28347</v>
      </c>
      <c r="C40" s="18" t="n">
        <v>32095</v>
      </c>
      <c r="D40" s="18" t="n">
        <v>34443</v>
      </c>
      <c r="E40" s="18" t="n">
        <v>37069</v>
      </c>
      <c r="F40" s="18" t="n">
        <v>34179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10308</v>
      </c>
      <c r="C42" s="16" t="n">
        <v>10909</v>
      </c>
      <c r="D42" s="16" t="n">
        <v>11311</v>
      </c>
      <c r="E42" s="16" t="n">
        <v>9992</v>
      </c>
      <c r="F42" s="16" t="n">
        <v>13762</v>
      </c>
    </row>
    <row r="43">
      <c r="A43" s="17" t="inlineStr">
        <is>
          <t>EBIT (FMP field)</t>
        </is>
      </c>
      <c r="B43" s="18" t="n">
        <v>14022</v>
      </c>
      <c r="C43" s="18" t="n">
        <v>12568</v>
      </c>
      <c r="D43" s="18" t="n">
        <v>14479</v>
      </c>
      <c r="E43" s="18" t="n">
        <v>14742</v>
      </c>
      <c r="F43" s="18" t="n">
        <v>17652</v>
      </c>
    </row>
    <row r="44">
      <c r="A44" s="26" t="inlineStr">
        <is>
          <t>EBITDA</t>
        </is>
      </c>
      <c r="B44" s="27" t="n">
        <v>15474</v>
      </c>
      <c r="C44" s="27" t="n">
        <v>13828</v>
      </c>
      <c r="D44" s="27" t="n">
        <v>15607</v>
      </c>
      <c r="E44" s="27" t="n">
        <v>15817</v>
      </c>
      <c r="F44" s="27" t="n">
        <v>18702</v>
      </c>
    </row>
    <row r="45">
      <c r="A45" s="17" t="inlineStr">
        <is>
          <t>Depreciation &amp; Amortisation</t>
        </is>
      </c>
      <c r="B45" s="18" t="n">
        <v>1452</v>
      </c>
      <c r="C45" s="18" t="n">
        <v>1260</v>
      </c>
      <c r="D45" s="18" t="n">
        <v>1128</v>
      </c>
      <c r="E45" s="18" t="n">
        <v>1075</v>
      </c>
      <c r="F45" s="18" t="n">
        <v>1050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276</v>
      </c>
      <c r="C47" s="18" t="n">
        <v>449</v>
      </c>
      <c r="D47" s="18" t="n">
        <v>907</v>
      </c>
      <c r="E47" s="18" t="n">
        <v>988</v>
      </c>
      <c r="F47" s="18" t="n">
        <v>786</v>
      </c>
    </row>
    <row r="48">
      <c r="A48" s="17" t="inlineStr">
        <is>
          <t>Interest Expense</t>
        </is>
      </c>
      <c r="B48" s="18" t="n">
        <v>1597</v>
      </c>
      <c r="C48" s="18" t="n">
        <v>882</v>
      </c>
      <c r="D48" s="18" t="n">
        <v>1527</v>
      </c>
      <c r="E48" s="18" t="n">
        <v>1656</v>
      </c>
      <c r="F48" s="18" t="n">
        <v>1654</v>
      </c>
    </row>
    <row r="49">
      <c r="A49" s="17" t="inlineStr">
        <is>
          <t>Net Interest Income</t>
        </is>
      </c>
      <c r="B49" s="18" t="n">
        <v>-1321</v>
      </c>
      <c r="C49" s="18" t="n">
        <v>-433</v>
      </c>
      <c r="D49" s="18" t="n">
        <v>-620</v>
      </c>
      <c r="E49" s="18" t="n">
        <v>-668</v>
      </c>
      <c r="F49" s="18" t="n">
        <v>-868</v>
      </c>
    </row>
    <row r="50">
      <c r="A50" s="17" t="inlineStr">
        <is>
          <t>Non-Operating Income (ex-interest)</t>
        </is>
      </c>
      <c r="B50" s="18" t="n">
        <v>-3714</v>
      </c>
      <c r="C50" s="18" t="n">
        <v>-1659</v>
      </c>
      <c r="D50" s="18" t="n">
        <v>-3168</v>
      </c>
      <c r="E50" s="18" t="n">
        <v>-4750</v>
      </c>
      <c r="F50" s="18" t="n">
        <v>-3890</v>
      </c>
    </row>
    <row r="51">
      <c r="A51" s="17" t="inlineStr">
        <is>
          <t>Total Other Income / (Expenses)</t>
        </is>
      </c>
      <c r="B51" s="18" t="n">
        <v>2117</v>
      </c>
      <c r="C51" s="18" t="n">
        <v>777</v>
      </c>
      <c r="D51" s="18" t="n">
        <v>1641</v>
      </c>
      <c r="E51" s="18" t="n">
        <v>3094</v>
      </c>
      <c r="F51" s="18" t="n">
        <v>2236</v>
      </c>
    </row>
    <row r="52">
      <c r="A52" s="26" t="inlineStr">
        <is>
          <t>EBT / Income Before Tax</t>
        </is>
      </c>
      <c r="B52" s="27" t="n">
        <v>12425</v>
      </c>
      <c r="C52" s="27" t="n">
        <v>11686</v>
      </c>
      <c r="D52" s="27" t="n">
        <v>12952</v>
      </c>
      <c r="E52" s="27" t="n">
        <v>13086</v>
      </c>
      <c r="F52" s="27" t="n">
        <v>15998</v>
      </c>
    </row>
    <row r="53">
      <c r="A53" s="17" t="inlineStr">
        <is>
          <t>Income Tax Expense</t>
        </is>
      </c>
      <c r="B53" s="18" t="n">
        <v>2621</v>
      </c>
      <c r="C53" s="18" t="n">
        <v>2115</v>
      </c>
      <c r="D53" s="18" t="n">
        <v>2249</v>
      </c>
      <c r="E53" s="18" t="n">
        <v>2437</v>
      </c>
      <c r="F53" s="18" t="n">
        <v>2861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9804</v>
      </c>
      <c r="C55" s="18" t="n">
        <v>9571</v>
      </c>
      <c r="D55" s="18" t="n">
        <v>10703</v>
      </c>
      <c r="E55" s="18" t="n">
        <v>10649</v>
      </c>
      <c r="F55" s="18" t="n">
        <v>13137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9771</v>
      </c>
      <c r="C59" s="27" t="n">
        <v>9542</v>
      </c>
      <c r="D59" s="27" t="n">
        <v>10714</v>
      </c>
      <c r="E59" s="27" t="n">
        <v>10631</v>
      </c>
      <c r="F59" s="27" t="n">
        <v>13107</v>
      </c>
    </row>
    <row r="60">
      <c r="A60" s="15" t="inlineStr">
        <is>
          <t>Bottom Line Net Income</t>
        </is>
      </c>
      <c r="B60" s="16" t="n">
        <v>9771</v>
      </c>
      <c r="C60" s="16" t="n">
        <v>9542</v>
      </c>
      <c r="D60" s="16" t="n">
        <v>10714</v>
      </c>
      <c r="E60" s="16" t="n">
        <v>10631</v>
      </c>
      <c r="F60" s="16" t="n">
        <v>13107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2.26</v>
      </c>
      <c r="C62" s="18" t="n">
        <v>2.2</v>
      </c>
      <c r="D62" s="18" t="n">
        <v>2.48</v>
      </c>
      <c r="E62" s="18" t="n">
        <v>2.47</v>
      </c>
      <c r="F62" s="18" t="n">
        <v>3.05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4315</v>
      </c>
      <c r="C64" s="18" t="n">
        <v>4328</v>
      </c>
      <c r="D64" s="18" t="n">
        <v>4323</v>
      </c>
      <c r="E64" s="18" t="n">
        <v>4309</v>
      </c>
      <c r="F64" s="18" t="n">
        <v>4303</v>
      </c>
    </row>
    <row r="65">
      <c r="A65" s="17" t="inlineStr">
        <is>
          <t>Shares Outstanding — Diluted (mm)</t>
        </is>
      </c>
      <c r="B65" s="18" t="n">
        <v>4340</v>
      </c>
      <c r="C65" s="18" t="n">
        <v>4350</v>
      </c>
      <c r="D65" s="18" t="n">
        <v>4339</v>
      </c>
      <c r="E65" s="18" t="n">
        <v>4320</v>
      </c>
      <c r="F65" s="18" t="n">
        <v>4313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9684</v>
      </c>
      <c r="C5" s="18" t="n">
        <v>9519</v>
      </c>
      <c r="D5" s="18" t="n">
        <v>9366</v>
      </c>
      <c r="E5" s="18" t="n">
        <v>10828</v>
      </c>
      <c r="F5" s="18" t="n">
        <v>10270</v>
      </c>
    </row>
    <row r="6">
      <c r="A6" s="17" t="inlineStr">
        <is>
          <t>(2)  Receivables</t>
        </is>
      </c>
      <c r="B6" s="18" t="n">
        <v>3512</v>
      </c>
      <c r="C6" s="18" t="n">
        <v>3487</v>
      </c>
      <c r="D6" s="18" t="n">
        <v>3410</v>
      </c>
      <c r="E6" s="18" t="n">
        <v>3569</v>
      </c>
      <c r="F6" s="18" t="n">
        <v>3038</v>
      </c>
    </row>
    <row r="7">
      <c r="A7" s="17" t="inlineStr">
        <is>
          <t>(3)  Inventory</t>
        </is>
      </c>
      <c r="B7" s="18" t="n">
        <v>3414</v>
      </c>
      <c r="C7" s="18" t="n">
        <v>4233</v>
      </c>
      <c r="D7" s="18" t="n">
        <v>4424</v>
      </c>
      <c r="E7" s="18" t="n">
        <v>4728</v>
      </c>
      <c r="F7" s="18" t="n">
        <v>4425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22545</v>
      </c>
      <c r="C9" s="24" t="n">
        <v>22591</v>
      </c>
      <c r="D9" s="24" t="n">
        <v>26732</v>
      </c>
      <c r="E9" s="24" t="n">
        <v>25997</v>
      </c>
      <c r="F9" s="24" t="n">
        <v>31044</v>
      </c>
    </row>
    <row r="10">
      <c r="A10" s="17" t="inlineStr">
        <is>
          <t>(6)  PP&amp;E (Net)</t>
        </is>
      </c>
      <c r="B10" s="18" t="n">
        <v>9920</v>
      </c>
      <c r="C10" s="18" t="n">
        <v>9841</v>
      </c>
      <c r="D10" s="18" t="n">
        <v>9236</v>
      </c>
      <c r="E10" s="18" t="n">
        <v>11485</v>
      </c>
      <c r="F10" s="18" t="n">
        <v>9613</v>
      </c>
    </row>
    <row r="11">
      <c r="A11" s="17" t="inlineStr">
        <is>
          <t>(7)  Goodwill</t>
        </is>
      </c>
      <c r="B11" s="18" t="n">
        <v>19363</v>
      </c>
      <c r="C11" s="18" t="n">
        <v>18782</v>
      </c>
      <c r="D11" s="18" t="n">
        <v>18358</v>
      </c>
      <c r="E11" s="18" t="n">
        <v>18139</v>
      </c>
      <c r="F11" s="18" t="n">
        <v>15491</v>
      </c>
    </row>
    <row r="12">
      <c r="A12" s="17" t="inlineStr">
        <is>
          <t>(8)  Deferred Tax Assets</t>
        </is>
      </c>
      <c r="B12" s="18" t="n">
        <v>2129</v>
      </c>
      <c r="C12" s="18" t="n">
        <v>1746</v>
      </c>
      <c r="D12" s="18" t="n">
        <v>1561</v>
      </c>
      <c r="E12" s="18" t="n">
        <v>1319</v>
      </c>
      <c r="F12" s="18" t="n">
        <v>1206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71809</v>
      </c>
      <c r="C14" s="24" t="n">
        <v>70172</v>
      </c>
      <c r="D14" s="24" t="n">
        <v>70971</v>
      </c>
      <c r="E14" s="24" t="n">
        <v>74552</v>
      </c>
      <c r="F14" s="24" t="n">
        <v>73772</v>
      </c>
    </row>
    <row r="15">
      <c r="A15" s="19" t="inlineStr">
        <is>
          <t>(11) Total Assets</t>
        </is>
      </c>
      <c r="B15" s="24" t="n">
        <v>94354</v>
      </c>
      <c r="C15" s="24" t="n">
        <v>92763</v>
      </c>
      <c r="D15" s="24" t="n">
        <v>97703</v>
      </c>
      <c r="E15" s="24" t="n">
        <v>100549</v>
      </c>
      <c r="F15" s="24" t="n">
        <v>104816</v>
      </c>
    </row>
    <row r="16" ht="6" customHeight="1"/>
    <row r="17">
      <c r="A17" s="17" t="inlineStr">
        <is>
          <t>(12) Accounts Payable</t>
        </is>
      </c>
      <c r="B17" s="18" t="n">
        <v>4602</v>
      </c>
      <c r="C17" s="18" t="n">
        <v>5307</v>
      </c>
      <c r="D17" s="18" t="n">
        <v>5590</v>
      </c>
      <c r="E17" s="18" t="n">
        <v>5468</v>
      </c>
      <c r="F17" s="18" t="n">
        <v>14813</v>
      </c>
    </row>
    <row r="18">
      <c r="A18" s="17" t="inlineStr">
        <is>
          <t>(13) Short-Term Borrowings</t>
        </is>
      </c>
      <c r="B18" s="18" t="n">
        <v>4955</v>
      </c>
      <c r="C18" s="18" t="n">
        <v>3113</v>
      </c>
      <c r="D18" s="18" t="n">
        <v>6878</v>
      </c>
      <c r="E18" s="18" t="n">
        <v>2437</v>
      </c>
      <c r="F18" s="18" t="n">
        <v>3373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19950</v>
      </c>
      <c r="C21" s="24" t="n">
        <v>19724</v>
      </c>
      <c r="D21" s="24" t="n">
        <v>23571</v>
      </c>
      <c r="E21" s="24" t="n">
        <v>25249</v>
      </c>
      <c r="F21" s="24" t="n">
        <v>21281</v>
      </c>
    </row>
    <row r="22">
      <c r="A22" s="17" t="inlineStr">
        <is>
          <t>(17) Long-Term Debt</t>
        </is>
      </c>
      <c r="B22" s="18" t="n">
        <v>38116</v>
      </c>
      <c r="C22" s="18" t="n">
        <v>36377</v>
      </c>
      <c r="D22" s="18" t="n">
        <v>35547</v>
      </c>
      <c r="E22" s="18" t="n">
        <v>42375</v>
      </c>
      <c r="F22" s="18" t="n">
        <v>42119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69494</v>
      </c>
      <c r="C25" s="24" t="n">
        <v>66937</v>
      </c>
      <c r="D25" s="24" t="n">
        <v>70223</v>
      </c>
      <c r="E25" s="24" t="n">
        <v>74177</v>
      </c>
      <c r="F25" s="24" t="n">
        <v>70541</v>
      </c>
    </row>
    <row r="26" ht="6" customHeight="1"/>
    <row r="27">
      <c r="A27" s="17" t="inlineStr">
        <is>
          <t>(21) Common Stock &amp; APIC</t>
        </is>
      </c>
      <c r="B27" s="18" t="n">
        <v>1760</v>
      </c>
      <c r="C27" s="18" t="n">
        <v>1760</v>
      </c>
      <c r="D27" s="18" t="n">
        <v>1760</v>
      </c>
      <c r="E27" s="18" t="n">
        <v>1760</v>
      </c>
      <c r="F27" s="18" t="n">
        <v>1760</v>
      </c>
    </row>
    <row r="28">
      <c r="A28" s="17" t="inlineStr">
        <is>
          <t>(22) Retained Earnings</t>
        </is>
      </c>
      <c r="B28" s="18" t="n">
        <v>69094</v>
      </c>
      <c r="C28" s="18" t="n">
        <v>71019</v>
      </c>
      <c r="D28" s="18" t="n">
        <v>73782</v>
      </c>
      <c r="E28" s="18" t="n">
        <v>76054</v>
      </c>
      <c r="F28" s="18" t="n">
        <v>80382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22999</v>
      </c>
      <c r="C30" s="24" t="n">
        <v>24105</v>
      </c>
      <c r="D30" s="24" t="n">
        <v>25941</v>
      </c>
      <c r="E30" s="24" t="n">
        <v>24856</v>
      </c>
      <c r="F30" s="24" t="n">
        <v>32169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9684</v>
      </c>
      <c r="C36" s="18" t="n">
        <v>9519</v>
      </c>
      <c r="D36" s="18" t="n">
        <v>9366</v>
      </c>
      <c r="E36" s="18" t="n">
        <v>10828</v>
      </c>
      <c r="F36" s="18" t="n">
        <v>10270</v>
      </c>
    </row>
    <row r="37">
      <c r="A37" s="17" t="inlineStr">
        <is>
          <t>Short-Term Investments</t>
        </is>
      </c>
      <c r="B37" s="18" t="n">
        <v>2941</v>
      </c>
      <c r="C37" s="18" t="n">
        <v>2112</v>
      </c>
      <c r="D37" s="18" t="n">
        <v>4297</v>
      </c>
      <c r="E37" s="18" t="n">
        <v>3743</v>
      </c>
      <c r="F37" s="18" t="n">
        <v>3602</v>
      </c>
    </row>
    <row r="38">
      <c r="A38" s="28" t="inlineStr">
        <is>
          <t>Cash &amp; Short-Term Investments</t>
        </is>
      </c>
      <c r="B38" s="29" t="n">
        <v>12625</v>
      </c>
      <c r="C38" s="29" t="n">
        <v>11631</v>
      </c>
      <c r="D38" s="29" t="n">
        <v>13663</v>
      </c>
      <c r="E38" s="29" t="n">
        <v>14571</v>
      </c>
      <c r="F38" s="29" t="n">
        <v>13872</v>
      </c>
    </row>
    <row r="39">
      <c r="A39" s="17" t="inlineStr">
        <is>
          <t>Accounts Receivable (Trade)</t>
        </is>
      </c>
      <c r="B39" s="18" t="n">
        <v>3512</v>
      </c>
      <c r="C39" s="18" t="n">
        <v>3487</v>
      </c>
      <c r="D39" s="18" t="n">
        <v>3410</v>
      </c>
      <c r="E39" s="18" t="n">
        <v>3569</v>
      </c>
      <c r="F39" s="18" t="n">
        <v>3038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3512</v>
      </c>
      <c r="C41" s="29" t="n">
        <v>3487</v>
      </c>
      <c r="D41" s="29" t="n">
        <v>3410</v>
      </c>
      <c r="E41" s="29" t="n">
        <v>3569</v>
      </c>
      <c r="F41" s="29" t="n">
        <v>3038</v>
      </c>
    </row>
    <row r="42">
      <c r="A42" s="17" t="inlineStr">
        <is>
          <t>Inventory</t>
        </is>
      </c>
      <c r="B42" s="18" t="n">
        <v>3414</v>
      </c>
      <c r="C42" s="18" t="n">
        <v>4233</v>
      </c>
      <c r="D42" s="18" t="n">
        <v>4424</v>
      </c>
      <c r="E42" s="18" t="n">
        <v>4728</v>
      </c>
      <c r="F42" s="18" t="n">
        <v>4425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2994</v>
      </c>
      <c r="C44" s="18" t="n">
        <v>3240</v>
      </c>
      <c r="D44" s="18" t="n">
        <v>5235</v>
      </c>
      <c r="E44" s="18" t="n">
        <v>3129</v>
      </c>
      <c r="F44" s="18" t="n">
        <v>9709</v>
      </c>
    </row>
    <row r="45">
      <c r="A45" s="26" t="inlineStr">
        <is>
          <t>Total Current Assets</t>
        </is>
      </c>
      <c r="B45" s="27" t="n">
        <v>22545</v>
      </c>
      <c r="C45" s="27" t="n">
        <v>22591</v>
      </c>
      <c r="D45" s="27" t="n">
        <v>26732</v>
      </c>
      <c r="E45" s="27" t="n">
        <v>25997</v>
      </c>
      <c r="F45" s="27" t="n">
        <v>31044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9920</v>
      </c>
      <c r="C47" s="18" t="n">
        <v>9841</v>
      </c>
      <c r="D47" s="18" t="n">
        <v>9236</v>
      </c>
      <c r="E47" s="18" t="n">
        <v>11485</v>
      </c>
      <c r="F47" s="18" t="n">
        <v>9613</v>
      </c>
    </row>
    <row r="48">
      <c r="A48" s="17" t="inlineStr">
        <is>
          <t>Goodwill</t>
        </is>
      </c>
      <c r="B48" s="18" t="n">
        <v>19363</v>
      </c>
      <c r="C48" s="18" t="n">
        <v>18782</v>
      </c>
      <c r="D48" s="18" t="n">
        <v>18358</v>
      </c>
      <c r="E48" s="18" t="n">
        <v>18139</v>
      </c>
      <c r="F48" s="18" t="n">
        <v>15491</v>
      </c>
    </row>
    <row r="49">
      <c r="A49" s="17" t="inlineStr">
        <is>
          <t>Intangible Assets</t>
        </is>
      </c>
      <c r="B49" s="18" t="n">
        <v>15250</v>
      </c>
      <c r="C49" s="18" t="n">
        <v>14849</v>
      </c>
      <c r="D49" s="18" t="n">
        <v>14865</v>
      </c>
      <c r="E49" s="18" t="n">
        <v>13301</v>
      </c>
      <c r="F49" s="18" t="n">
        <v>12531</v>
      </c>
    </row>
    <row r="50">
      <c r="A50" s="17" t="inlineStr">
        <is>
          <t>Long-Term Investments</t>
        </is>
      </c>
      <c r="B50" s="18" t="n">
        <v>18416</v>
      </c>
      <c r="C50" s="18" t="n">
        <v>18765</v>
      </c>
      <c r="D50" s="18" t="n">
        <v>19789</v>
      </c>
      <c r="E50" s="18" t="n">
        <v>19275</v>
      </c>
      <c r="F50" s="18" t="n">
        <v>20235</v>
      </c>
    </row>
    <row r="51">
      <c r="A51" s="17" t="inlineStr">
        <is>
          <t>Tax Assets (Deferred)</t>
        </is>
      </c>
      <c r="B51" s="18" t="n">
        <v>2129</v>
      </c>
      <c r="C51" s="18" t="n">
        <v>1746</v>
      </c>
      <c r="D51" s="18" t="n">
        <v>1561</v>
      </c>
      <c r="E51" s="18" t="n">
        <v>1319</v>
      </c>
      <c r="F51" s="18" t="n">
        <v>1206</v>
      </c>
    </row>
    <row r="52">
      <c r="A52" s="17" t="inlineStr">
        <is>
          <t>Total Investments</t>
        </is>
      </c>
      <c r="B52" s="18" t="n">
        <v>21357</v>
      </c>
      <c r="C52" s="18" t="n">
        <v>20877</v>
      </c>
      <c r="D52" s="18" t="n">
        <v>24086</v>
      </c>
      <c r="E52" s="18" t="n">
        <v>23018</v>
      </c>
      <c r="F52" s="18" t="n">
        <v>23837</v>
      </c>
    </row>
    <row r="53">
      <c r="A53" s="17" t="inlineStr">
        <is>
          <t>Other Non-Current Assets</t>
        </is>
      </c>
      <c r="B53" s="18" t="n">
        <v>6731</v>
      </c>
      <c r="C53" s="18" t="n">
        <v>6189</v>
      </c>
      <c r="D53" s="18" t="n">
        <v>7162</v>
      </c>
      <c r="E53" s="18" t="n">
        <v>11033</v>
      </c>
      <c r="F53" s="18" t="n">
        <v>14696</v>
      </c>
    </row>
    <row r="54">
      <c r="A54" s="26" t="inlineStr">
        <is>
          <t>Total Non-Current Assets</t>
        </is>
      </c>
      <c r="B54" s="27" t="n">
        <v>71809</v>
      </c>
      <c r="C54" s="27" t="n">
        <v>70172</v>
      </c>
      <c r="D54" s="27" t="n">
        <v>70971</v>
      </c>
      <c r="E54" s="27" t="n">
        <v>74552</v>
      </c>
      <c r="F54" s="27" t="n">
        <v>73772</v>
      </c>
    </row>
    <row r="55">
      <c r="A55" s="13" t="inlineStr">
        <is>
          <t>TOTAL ASSETS</t>
        </is>
      </c>
      <c r="B55" s="30" t="n">
        <v>94354</v>
      </c>
      <c r="C55" s="30" t="n">
        <v>92763</v>
      </c>
      <c r="D55" s="30" t="n">
        <v>97703</v>
      </c>
      <c r="E55" s="30" t="n">
        <v>100549</v>
      </c>
      <c r="F55" s="30" t="n">
        <v>104816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4602</v>
      </c>
      <c r="C57" s="18" t="n">
        <v>5307</v>
      </c>
      <c r="D57" s="18" t="n">
        <v>5590</v>
      </c>
      <c r="E57" s="18" t="n">
        <v>5468</v>
      </c>
      <c r="F57" s="18" t="n">
        <v>14813</v>
      </c>
    </row>
    <row r="58">
      <c r="A58" s="17" t="inlineStr">
        <is>
          <t>Short-Term Debt</t>
        </is>
      </c>
      <c r="B58" s="18" t="n">
        <v>4955</v>
      </c>
      <c r="C58" s="18" t="n">
        <v>3113</v>
      </c>
      <c r="D58" s="18" t="n">
        <v>6878</v>
      </c>
      <c r="E58" s="18" t="n">
        <v>2437</v>
      </c>
      <c r="F58" s="18" t="n">
        <v>3373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8656</v>
      </c>
      <c r="C61" s="18" t="n">
        <v>9014</v>
      </c>
      <c r="D61" s="18" t="n">
        <v>8069</v>
      </c>
      <c r="E61" s="18" t="n">
        <v>14492</v>
      </c>
      <c r="F61" s="18" t="n">
        <v>2570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19950</v>
      </c>
      <c r="C63" s="27" t="n">
        <v>19724</v>
      </c>
      <c r="D63" s="27" t="n">
        <v>23571</v>
      </c>
      <c r="E63" s="27" t="n">
        <v>25249</v>
      </c>
      <c r="F63" s="27" t="n">
        <v>21281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38116</v>
      </c>
      <c r="C65" s="18" t="n">
        <v>36377</v>
      </c>
      <c r="D65" s="18" t="n">
        <v>35547</v>
      </c>
      <c r="E65" s="18" t="n">
        <v>42375</v>
      </c>
      <c r="F65" s="18" t="n">
        <v>42119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2821</v>
      </c>
      <c r="C68" s="18" t="n">
        <v>2914</v>
      </c>
      <c r="D68" s="18" t="n">
        <v>2639</v>
      </c>
      <c r="E68" s="18" t="n">
        <v>2469</v>
      </c>
      <c r="F68" s="18" t="n">
        <v>2406</v>
      </c>
    </row>
    <row r="69">
      <c r="A69" s="17" t="inlineStr">
        <is>
          <t>Other Non-Current Liabilities</t>
        </is>
      </c>
      <c r="B69" s="18" t="n">
        <v>7446</v>
      </c>
      <c r="C69" s="18" t="n">
        <v>6809</v>
      </c>
      <c r="D69" s="18" t="n">
        <v>7465</v>
      </c>
      <c r="E69" s="18" t="n">
        <v>3161</v>
      </c>
      <c r="F69" s="18" t="n">
        <v>4735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69494</v>
      </c>
      <c r="C71" s="30" t="n">
        <v>66937</v>
      </c>
      <c r="D71" s="30" t="n">
        <v>70223</v>
      </c>
      <c r="E71" s="30" t="n">
        <v>74177</v>
      </c>
      <c r="F71" s="30" t="n">
        <v>70541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1760</v>
      </c>
      <c r="C73" s="18" t="n">
        <v>1760</v>
      </c>
      <c r="D73" s="18" t="n">
        <v>1760</v>
      </c>
      <c r="E73" s="18" t="n">
        <v>1760</v>
      </c>
      <c r="F73" s="18" t="n">
        <v>1760</v>
      </c>
    </row>
    <row r="74">
      <c r="A74" s="17" t="inlineStr">
        <is>
          <t>Retained Earnings</t>
        </is>
      </c>
      <c r="B74" s="18" t="n">
        <v>69094</v>
      </c>
      <c r="C74" s="18" t="n">
        <v>71019</v>
      </c>
      <c r="D74" s="18" t="n">
        <v>73782</v>
      </c>
      <c r="E74" s="18" t="n">
        <v>76054</v>
      </c>
      <c r="F74" s="18" t="n">
        <v>80382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1861</v>
      </c>
      <c r="C77" s="18" t="n">
        <v>1721</v>
      </c>
      <c r="D77" s="18" t="n">
        <v>1539</v>
      </c>
      <c r="E77" s="18" t="n">
        <v>1516</v>
      </c>
      <c r="F77" s="18" t="n">
        <v>2106</v>
      </c>
    </row>
    <row r="78">
      <c r="A78" s="26" t="inlineStr">
        <is>
          <t>Total Equity (inc. Minority)</t>
        </is>
      </c>
      <c r="B78" s="27" t="n">
        <v>24860</v>
      </c>
      <c r="C78" s="27" t="n">
        <v>25826</v>
      </c>
      <c r="D78" s="27" t="n">
        <v>27480</v>
      </c>
      <c r="E78" s="27" t="n">
        <v>26372</v>
      </c>
      <c r="F78" s="27" t="n">
        <v>34275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12625</v>
      </c>
      <c r="C5" s="24" t="n">
        <v>11018</v>
      </c>
      <c r="D5" s="24" t="n">
        <v>11599</v>
      </c>
      <c r="E5" s="24" t="n">
        <v>6805</v>
      </c>
      <c r="F5" s="24" t="n">
        <v>7408</v>
      </c>
    </row>
    <row r="6">
      <c r="A6" s="17" t="inlineStr">
        <is>
          <t>(2)  Capital Expenditures</t>
        </is>
      </c>
      <c r="B6" s="18" t="n">
        <v>-1367</v>
      </c>
      <c r="C6" s="18" t="n">
        <v>-1484</v>
      </c>
      <c r="D6" s="18" t="n">
        <v>-1852</v>
      </c>
      <c r="E6" s="18" t="n">
        <v>-2064</v>
      </c>
      <c r="F6" s="18" t="n">
        <v>-2112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228</v>
      </c>
      <c r="C9" s="18" t="n">
        <v>-958</v>
      </c>
      <c r="D9" s="18" t="n">
        <v>1857</v>
      </c>
      <c r="E9" s="18" t="n">
        <v>2528</v>
      </c>
      <c r="F9" s="18" t="n">
        <v>13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702</v>
      </c>
      <c r="C11" s="18" t="n">
        <v>837</v>
      </c>
      <c r="D11" s="18" t="n">
        <v>539</v>
      </c>
      <c r="E11" s="18" t="n">
        <v>747</v>
      </c>
      <c r="F11" s="18" t="n">
        <v>313</v>
      </c>
    </row>
    <row r="12">
      <c r="A12" s="17" t="inlineStr">
        <is>
          <t>(7)  Dividends Paid</t>
        </is>
      </c>
      <c r="B12" s="18" t="n">
        <v>-7252</v>
      </c>
      <c r="C12" s="18" t="n">
        <v>-7616</v>
      </c>
      <c r="D12" s="18" t="n">
        <v>-7952</v>
      </c>
      <c r="E12" s="18" t="n">
        <v>-8359</v>
      </c>
      <c r="F12" s="18" t="n">
        <v>-8779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11258</v>
      </c>
      <c r="C15" s="24" t="n">
        <v>9534</v>
      </c>
      <c r="D15" s="24" t="n">
        <v>9747</v>
      </c>
      <c r="E15" s="24" t="n">
        <v>4741</v>
      </c>
      <c r="F15" s="24" t="n">
        <v>5296</v>
      </c>
    </row>
    <row r="16">
      <c r="A16" s="15" t="inlineStr">
        <is>
          <t xml:space="preserve">     Net Change in Cash</t>
        </is>
      </c>
      <c r="B16" s="16" t="n">
        <v>2915</v>
      </c>
      <c r="C16" s="16" t="n">
        <v>-200</v>
      </c>
      <c r="D16" s="16" t="n">
        <v>-133</v>
      </c>
      <c r="E16" s="16" t="n">
        <v>1796</v>
      </c>
      <c r="F16" s="16" t="n">
        <v>-478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9804</v>
      </c>
      <c r="C21" s="18" t="n">
        <v>9571</v>
      </c>
      <c r="D21" s="18" t="n">
        <v>10714</v>
      </c>
      <c r="E21" s="18" t="n">
        <v>10631</v>
      </c>
      <c r="F21" s="18" t="n">
        <v>13107</v>
      </c>
    </row>
    <row r="22">
      <c r="A22" s="17" t="inlineStr">
        <is>
          <t>Depreciation &amp; Amortisation</t>
        </is>
      </c>
      <c r="B22" s="18" t="n">
        <v>1452</v>
      </c>
      <c r="C22" s="18" t="n">
        <v>1260</v>
      </c>
      <c r="D22" s="18" t="n">
        <v>1128</v>
      </c>
      <c r="E22" s="18" t="n">
        <v>1075</v>
      </c>
      <c r="F22" s="18" t="n">
        <v>1050</v>
      </c>
    </row>
    <row r="23">
      <c r="A23" s="17" t="inlineStr">
        <is>
          <t>Deferred Income Tax</t>
        </is>
      </c>
      <c r="B23" s="18" t="n">
        <v>894</v>
      </c>
      <c r="C23" s="18" t="n">
        <v>-122</v>
      </c>
      <c r="D23" s="18" t="n">
        <v>-2</v>
      </c>
      <c r="E23" s="18" t="n">
        <v>-11</v>
      </c>
      <c r="F23" s="18" t="n">
        <v>517</v>
      </c>
    </row>
    <row r="24">
      <c r="A24" s="17" t="inlineStr">
        <is>
          <t>Stock-Based Compensation</t>
        </is>
      </c>
      <c r="B24" s="18" t="n">
        <v>337</v>
      </c>
      <c r="C24" s="18" t="n">
        <v>356</v>
      </c>
      <c r="D24" s="18" t="n">
        <v>254</v>
      </c>
      <c r="E24" s="18" t="n">
        <v>286</v>
      </c>
      <c r="F24" s="18" t="n">
        <v>279</v>
      </c>
    </row>
    <row r="25">
      <c r="A25" s="17" t="inlineStr">
        <is>
          <t>Change in Working Capital</t>
        </is>
      </c>
      <c r="B25" s="18" t="n">
        <v>1325</v>
      </c>
      <c r="C25" s="18" t="n">
        <v>-605</v>
      </c>
      <c r="D25" s="18" t="n">
        <v>-846</v>
      </c>
      <c r="E25" s="18" t="n">
        <v>-6234</v>
      </c>
      <c r="F25" s="18" t="n">
        <v>-7208</v>
      </c>
    </row>
    <row r="26">
      <c r="A26" s="21" t="inlineStr">
        <is>
          <t xml:space="preserve">  — Accounts Receivable</t>
        </is>
      </c>
      <c r="B26" s="18" t="n">
        <v>-225</v>
      </c>
      <c r="C26" s="18" t="n">
        <v>-69</v>
      </c>
      <c r="D26" s="18" t="n">
        <v>-2</v>
      </c>
      <c r="E26" s="18" t="n">
        <v>-295</v>
      </c>
      <c r="F26" s="18" t="n">
        <v>0</v>
      </c>
    </row>
    <row r="27">
      <c r="A27" s="21" t="inlineStr">
        <is>
          <t xml:space="preserve">  — Inventory</t>
        </is>
      </c>
      <c r="B27" s="18" t="n">
        <v>-135</v>
      </c>
      <c r="C27" s="18" t="n">
        <v>-960</v>
      </c>
      <c r="D27" s="18" t="n">
        <v>-597</v>
      </c>
      <c r="E27" s="18" t="n">
        <v>-520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2843</v>
      </c>
      <c r="C28" s="18" t="n">
        <v>759</v>
      </c>
      <c r="D28" s="18" t="n">
        <v>841</v>
      </c>
      <c r="E28" s="18" t="n">
        <v>1134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-1158</v>
      </c>
      <c r="C29" s="18" t="n">
        <v>-335</v>
      </c>
      <c r="D29" s="18" t="n">
        <v>-1088</v>
      </c>
      <c r="E29" s="18" t="n">
        <v>-6553</v>
      </c>
      <c r="F29" s="18" t="n">
        <v>-7208</v>
      </c>
    </row>
    <row r="30">
      <c r="A30" s="17" t="inlineStr">
        <is>
          <t>Other Non-Cash Items</t>
        </is>
      </c>
      <c r="B30" s="18" t="n">
        <v>-1187</v>
      </c>
      <c r="C30" s="18" t="n">
        <v>558</v>
      </c>
      <c r="D30" s="18" t="n">
        <v>351</v>
      </c>
      <c r="E30" s="18" t="n">
        <v>1058</v>
      </c>
      <c r="F30" s="18" t="n">
        <v>-367</v>
      </c>
    </row>
    <row r="31">
      <c r="A31" s="26" t="inlineStr">
        <is>
          <t>Net Cash from Operations (CFO)</t>
        </is>
      </c>
      <c r="B31" s="27" t="n">
        <v>12625</v>
      </c>
      <c r="C31" s="27" t="n">
        <v>11018</v>
      </c>
      <c r="D31" s="27" t="n">
        <v>11599</v>
      </c>
      <c r="E31" s="27" t="n">
        <v>6805</v>
      </c>
      <c r="F31" s="27" t="n">
        <v>7408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-1367</v>
      </c>
      <c r="C33" s="18" t="n">
        <v>-1484</v>
      </c>
      <c r="D33" s="18" t="n">
        <v>-1852</v>
      </c>
      <c r="E33" s="18" t="n">
        <v>-2064</v>
      </c>
      <c r="F33" s="18" t="n">
        <v>-2112</v>
      </c>
    </row>
    <row r="34">
      <c r="A34" s="21" t="inlineStr">
        <is>
          <t xml:space="preserve">  (Alt: Invest. in PP&amp;E)</t>
        </is>
      </c>
      <c r="B34" s="18" t="n">
        <v>-1367</v>
      </c>
      <c r="C34" s="18" t="n">
        <v>-1484</v>
      </c>
      <c r="D34" s="18" t="n">
        <v>-1852</v>
      </c>
      <c r="E34" s="18" t="n">
        <v>-2064</v>
      </c>
      <c r="F34" s="18" t="n">
        <v>-2112</v>
      </c>
    </row>
    <row r="35">
      <c r="A35" s="17" t="inlineStr">
        <is>
          <t>Acquisitions (Net)</t>
        </is>
      </c>
      <c r="B35" s="18" t="n">
        <v>-2586</v>
      </c>
      <c r="C35" s="18" t="n">
        <v>385</v>
      </c>
      <c r="D35" s="18" t="n">
        <v>442</v>
      </c>
      <c r="E35" s="18" t="n">
        <v>3170</v>
      </c>
      <c r="F35" s="18" t="n">
        <v>-461</v>
      </c>
    </row>
    <row r="36">
      <c r="A36" s="17" t="inlineStr">
        <is>
          <t>Purchases of Investments</t>
        </is>
      </c>
      <c r="B36" s="18" t="n">
        <v>-6030</v>
      </c>
      <c r="C36" s="18" t="n">
        <v>-3751</v>
      </c>
      <c r="D36" s="18" t="n">
        <v>-6698</v>
      </c>
      <c r="E36" s="18" t="n">
        <v>-5640</v>
      </c>
      <c r="F36" s="18" t="n">
        <v>-6160</v>
      </c>
    </row>
    <row r="37">
      <c r="A37" s="17" t="inlineStr">
        <is>
          <t>Sales / Maturities of Investments</t>
        </is>
      </c>
      <c r="B37" s="18" t="n">
        <v>7059</v>
      </c>
      <c r="C37" s="18" t="n">
        <v>4771</v>
      </c>
      <c r="D37" s="18" t="n">
        <v>4354</v>
      </c>
      <c r="E37" s="18" t="n">
        <v>6589</v>
      </c>
      <c r="F37" s="18" t="n">
        <v>8232</v>
      </c>
    </row>
    <row r="38">
      <c r="A38" s="17" t="inlineStr">
        <is>
          <t>Other Investing Activities</t>
        </is>
      </c>
      <c r="B38" s="18" t="n">
        <v>159</v>
      </c>
      <c r="C38" s="18" t="n">
        <v>-684</v>
      </c>
      <c r="D38" s="18" t="n">
        <v>405</v>
      </c>
      <c r="E38" s="18" t="n">
        <v>469</v>
      </c>
      <c r="F38" s="18" t="n">
        <v>434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228</v>
      </c>
      <c r="C41" s="18" t="n">
        <v>-958</v>
      </c>
      <c r="D41" s="18" t="n">
        <v>1857</v>
      </c>
      <c r="E41" s="18" t="n">
        <v>2528</v>
      </c>
      <c r="F41" s="18" t="n">
        <v>13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702</v>
      </c>
      <c r="C43" s="18" t="n">
        <v>837</v>
      </c>
      <c r="D43" s="18" t="n">
        <v>539</v>
      </c>
      <c r="E43" s="18" t="n">
        <v>747</v>
      </c>
      <c r="F43" s="18" t="n">
        <v>313</v>
      </c>
    </row>
    <row r="44">
      <c r="A44" s="17" t="inlineStr">
        <is>
          <t>Common Stock Repurchased (Buybacks)</t>
        </is>
      </c>
      <c r="B44" s="18" t="n">
        <v>-111</v>
      </c>
      <c r="C44" s="18" t="n">
        <v>-1418</v>
      </c>
      <c r="D44" s="18" t="n">
        <v>-2289</v>
      </c>
      <c r="E44" s="18" t="n">
        <v>-1795</v>
      </c>
      <c r="F44" s="18" t="n">
        <v>-746</v>
      </c>
    </row>
    <row r="45">
      <c r="A45" s="17" t="inlineStr">
        <is>
          <t>Dividends Paid</t>
        </is>
      </c>
      <c r="B45" s="18" t="n">
        <v>-7252</v>
      </c>
      <c r="C45" s="18" t="n">
        <v>-7616</v>
      </c>
      <c r="D45" s="18" t="n">
        <v>-7952</v>
      </c>
      <c r="E45" s="18" t="n">
        <v>-8359</v>
      </c>
      <c r="F45" s="18" t="n">
        <v>-8779</v>
      </c>
    </row>
    <row r="46">
      <c r="A46" s="17" t="inlineStr">
        <is>
          <t>Other Financing Activities</t>
        </is>
      </c>
      <c r="B46" s="18" t="n">
        <v>-353</v>
      </c>
      <c r="C46" s="18" t="n">
        <v>-1095</v>
      </c>
      <c r="D46" s="18" t="n">
        <v>-465</v>
      </c>
      <c r="E46" s="18" t="n">
        <v>-31</v>
      </c>
      <c r="F46" s="18" t="n">
        <v>1059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-159</v>
      </c>
      <c r="C49" s="18" t="n">
        <v>-205</v>
      </c>
      <c r="D49" s="18" t="n">
        <v>-73</v>
      </c>
      <c r="E49" s="18" t="n">
        <v>-623</v>
      </c>
      <c r="F49" s="18" t="n">
        <v>321</v>
      </c>
    </row>
    <row r="50">
      <c r="A50" s="15" t="inlineStr">
        <is>
          <t>Net Change in Cash</t>
        </is>
      </c>
      <c r="B50" s="16" t="n">
        <v>2915</v>
      </c>
      <c r="C50" s="16" t="n">
        <v>-200</v>
      </c>
      <c r="D50" s="16" t="n">
        <v>-133</v>
      </c>
      <c r="E50" s="16" t="n">
        <v>1796</v>
      </c>
      <c r="F50" s="16" t="n">
        <v>-478</v>
      </c>
    </row>
    <row r="51">
      <c r="A51" s="17" t="inlineStr">
        <is>
          <t>Cash at Beginning of Period</t>
        </is>
      </c>
      <c r="B51" s="18" t="n">
        <v>7110</v>
      </c>
      <c r="C51" s="18" t="n">
        <v>10025</v>
      </c>
      <c r="D51" s="18" t="n">
        <v>9825</v>
      </c>
      <c r="E51" s="18" t="n">
        <v>9692</v>
      </c>
      <c r="F51" s="18" t="n">
        <v>11488</v>
      </c>
    </row>
    <row r="52">
      <c r="A52" s="26" t="inlineStr">
        <is>
          <t>Cash at End of Period</t>
        </is>
      </c>
      <c r="B52" s="27" t="n">
        <v>10025</v>
      </c>
      <c r="C52" s="27" t="n">
        <v>9825</v>
      </c>
      <c r="D52" s="27" t="n">
        <v>9692</v>
      </c>
      <c r="E52" s="27" t="n">
        <v>11488</v>
      </c>
      <c r="F52" s="27" t="n">
        <v>11010</v>
      </c>
    </row>
    <row r="53">
      <c r="A53" s="26" t="inlineStr">
        <is>
          <t>Free Cash Flow</t>
        </is>
      </c>
      <c r="B53" s="27" t="n">
        <v>11258</v>
      </c>
      <c r="C53" s="27" t="n">
        <v>9534</v>
      </c>
      <c r="D53" s="27" t="n">
        <v>9747</v>
      </c>
      <c r="E53" s="27" t="n">
        <v>4741</v>
      </c>
      <c r="F53" s="27" t="n">
        <v>5296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4340</v>
      </c>
      <c r="C61" s="18" t="n">
        <v>4350</v>
      </c>
      <c r="D61" s="18" t="n">
        <v>4339</v>
      </c>
      <c r="E61" s="18" t="n">
        <v>4320</v>
      </c>
      <c r="F61" s="18" t="n">
        <v>4313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31558</v>
      </c>
      <c r="C5" s="18" t="n">
        <v>38776</v>
      </c>
      <c r="D5" s="18" t="n">
        <v>7860</v>
      </c>
      <c r="E5" s="18" t="n">
        <v>7891</v>
      </c>
      <c r="F5" s="18" t="n">
        <v>7203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KO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346134.710528</v>
      </c>
      <c r="C5" s="44" t="inlineStr">
        <is>
          <t>FMP marketCap  |  price $80.45</t>
        </is>
      </c>
    </row>
    <row r="6">
      <c r="A6" s="17" t="inlineStr">
        <is>
          <t>Debt  (gross book value, $mm)</t>
        </is>
      </c>
      <c r="B6" s="43" t="n">
        <v>45492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0.356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0.569</v>
      </c>
      <c r="C17" s="44" t="inlineStr">
        <is>
          <t>Mean-reversion toward market beta of 1.0</t>
        </is>
      </c>
    </row>
    <row r="18">
      <c r="A18" s="17" t="inlineStr">
        <is>
          <t>Damodaran industry unlevered  (Beverages - Non-Alcoholic)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0.13x,  t = 17.9%)</t>
        </is>
      </c>
      <c r="B19" s="50" t="n">
        <v>1.108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0.678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8.300000000000001</v>
      </c>
      <c r="C33" s="44" t="inlineStr">
        <is>
          <t>EBIT $13762mm  /  Int Exp $1654mm</t>
        </is>
      </c>
    </row>
    <row r="34">
      <c r="A34" s="17" t="inlineStr">
        <is>
          <t>Synthetic rating  (Damodaran ICR table)</t>
        </is>
      </c>
      <c r="B34" s="53" t="inlineStr">
        <is>
          <t>A+</t>
        </is>
      </c>
      <c r="C34" s="44" t="inlineStr">
        <is>
          <t>ICR 8.3x  →  A+</t>
        </is>
      </c>
    </row>
    <row r="35">
      <c r="A35" s="17" t="inlineStr">
        <is>
          <t>Synthetic Rd  (Rf + Damodaran default spread)</t>
        </is>
      </c>
      <c r="B35" s="46" t="n">
        <v>0.0542</v>
      </c>
      <c r="C35" s="44" t="inlineStr">
        <is>
          <t>Rf 4.46% + spread 0.96%</t>
        </is>
      </c>
    </row>
    <row r="36">
      <c r="A36" s="17" t="inlineStr">
        <is>
          <t>Accounting Rd  (Gross int exp / Avg gross debt)</t>
        </is>
      </c>
      <c r="B36" s="46" t="n">
        <v>0.0366318214032601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0.0454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0.1788</v>
      </c>
      <c r="C40" s="44" t="inlineStr">
        <is>
          <t>FMP: $2861mm  /  $15998mm</t>
        </is>
      </c>
    </row>
    <row r="41">
      <c r="A41" s="47" t="inlineStr">
        <is>
          <t>► Selected tax rate  (user override)</t>
        </is>
      </c>
      <c r="B41" s="48" t="n">
        <v>0.1788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(E/V × Re)  +  (D/V × Rd × (1 − t))</t>
        </is>
      </c>
      <c r="B44" s="55">
        <f>B8*B28+B9*B37*(1-B41)</f>
        <v/>
      </c>
      <c r="C44" s="56" t="inlineStr">
        <is>
          <t>Used as discount rate in DCF tab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KO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0.0243</v>
      </c>
      <c r="H7" s="71" t="n">
        <v>0.0135</v>
      </c>
      <c r="I7" s="71" t="n">
        <v>0.0554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0.3578</v>
      </c>
      <c r="H8" s="71" t="n">
        <v>0.3578</v>
      </c>
      <c r="I8" s="71" t="n">
        <v>0.3578</v>
      </c>
      <c r="J8" s="72">
        <f>I8</f>
        <v/>
      </c>
      <c r="K8" s="72">
        <f>I8</f>
        <v/>
      </c>
      <c r="L8" s="73" t="n">
        <v>0.3901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49105.5</v>
      </c>
      <c r="H15" s="77" t="n">
        <v>49768.6</v>
      </c>
      <c r="I15" s="77" t="n">
        <v>52524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48,726 — 49,625</t>
        </is>
      </c>
      <c r="H16" s="82" t="inlineStr">
        <is>
          <t>48,668 — 52,466</t>
        </is>
      </c>
      <c r="I16" s="82" t="inlineStr">
        <is>
          <t>52,433 — 52,615</t>
        </is>
      </c>
      <c r="J16" s="82" t="inlineStr">
        <is>
          <t>52,791 — 56,062</t>
        </is>
      </c>
      <c r="K16" s="82" t="inlineStr">
        <is>
          <t>55,869 — 59,330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14</v>
      </c>
      <c r="H17" s="84" t="n">
        <v>15</v>
      </c>
      <c r="I17" s="84" t="n">
        <v>11</v>
      </c>
      <c r="J17" s="85" t="n">
        <v>5</v>
      </c>
      <c r="K17" s="85" t="n">
        <v>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17571.6</v>
      </c>
      <c r="H20" s="77" t="n">
        <v>17808.9</v>
      </c>
      <c r="I20" s="77" t="n">
        <v>18794.9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17,436 — 17,758</t>
        </is>
      </c>
      <c r="H21" s="82" t="inlineStr">
        <is>
          <t>17,415 — 18,774</t>
        </is>
      </c>
      <c r="I21" s="82" t="inlineStr">
        <is>
          <t>18,762 — 18,827</t>
        </is>
      </c>
      <c r="J21" s="82" t="inlineStr">
        <is>
          <t>18,890 — 20,061</t>
        </is>
      </c>
      <c r="K21" s="82" t="inlineStr">
        <is>
          <t>19,992 — 21,230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0.025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LOW (3.7%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10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LOW (3.7%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2106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4313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80.45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KO  |  Master Prompt v2  |  15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61.6% ✓ (&gt;40%)  |  GM trend +3.5% ✓ (&gt;+1pp)  |  ROIC-WACC +13.8% ✓ (&gt;+5pp)  |  Rev consistency σ=3.7% ✓ (&lt;8%)  [4/4 indicators positive — proxy score]</t>
        </is>
      </c>
      <c r="E9" s="131" t="inlineStr">
        <is>
          <t>HIGH</t>
        </is>
      </c>
      <c r="F9" s="132" t="n">
        <v>10</v>
      </c>
      <c r="G9" s="133">
        <f>IF(F9="",0,C9*F9*10)</f>
        <v/>
      </c>
      <c r="H9" s="134" t="inlineStr">
        <is>
          <t>GM 61.6% ✓ (&gt;40%)  |  GM trend +3.5% ✓ (&gt;+1pp)  |  ROIC-WACC +13.8% ✓ (&gt;+5pp)  |  Rev consistency σ=3.7% ✓ (&lt;8%)  [4/4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+0.2% ✓ (≥-2pp)  |  GM maintained +3.5% ✓  |  Op margin +3.3% ✓ (≥-2pp)  |  Capital returns HIGH ✓  |  Share count -0.1%/yr ✓ (net buyback)  |  Goodwill/Equity 48% ✗ (&lt;40%)  [5/6 indicators positive — proxy score]</t>
        </is>
      </c>
      <c r="E11" s="135" t="inlineStr">
        <is>
          <t>MOD-HIGH</t>
        </is>
      </c>
      <c r="F11" s="132" t="n">
        <v>8.33</v>
      </c>
      <c r="G11" s="133">
        <f>IF(F11="",0,C11*F11*10)</f>
        <v/>
      </c>
      <c r="H11" s="134" t="inlineStr">
        <is>
          <t>ROIC trend +0.2% ✓ (≥-2pp)  |  GM maintained +3.5% ✓  |  Op margin +3.3% ✓ (≥-2pp)  |  Capital returns HIGH ✓  |  Share count -0.1%/yr ✓ (net buyback)  |  Goodwill/Equity 48% ✗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3.7%</t>
        </is>
      </c>
      <c r="E13" s="136" t="inlineStr">
        <is>
          <t>MOD-LOW</t>
        </is>
      </c>
      <c r="F13" s="132" t="n">
        <v>4.38</v>
      </c>
      <c r="G13" s="133">
        <f>IF(F13="",0,C13*F13*10)</f>
        <v/>
      </c>
      <c r="H13" s="134" t="inlineStr">
        <is>
          <t>3.7%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56%  [trend penalty: declined &gt;15pp vs 3yr ago]  [through-cycle: 70/30 latest+5yr median, latest 40.4% → smoothed 55.6%]</t>
        </is>
      </c>
      <c r="E14" s="137" t="inlineStr">
        <is>
          <t>LOW</t>
        </is>
      </c>
      <c r="F14" s="132" t="n">
        <v>0.62</v>
      </c>
      <c r="G14" s="133">
        <f>IF(F14="",0,C14*F14*10)</f>
        <v/>
      </c>
      <c r="H14" s="134" t="inlineStr">
        <is>
          <t>56%  [trend penalty: declined &gt;15pp vs 3yr ago]  [through-cycle: 70/30 latest+5yr median, latest 40.4% → smoothed 55.6%]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$746mm latest FY — 5yr+ consistent equity-funded  [payout 14% of FCF — low, building cash]</t>
        </is>
      </c>
      <c r="E15" s="131" t="inlineStr">
        <is>
          <t>HIGH</t>
        </is>
      </c>
      <c r="F15" s="132" t="n">
        <v>10</v>
      </c>
      <c r="G15" s="133">
        <f>IF(F15="",0,C15*F15*10)</f>
        <v/>
      </c>
      <c r="H15" s="134" t="inlineStr">
        <is>
          <t>$746mm latest FY — 5yr+ consistent equity-funded  [payout 14% of FCF — low, building cash]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16.5%  [QoE: CFO/NI 76% 3yr avg — cash conv weak]</t>
        </is>
      </c>
      <c r="E16" s="135" t="inlineStr">
        <is>
          <t>MOD-HIGH</t>
        </is>
      </c>
      <c r="F16" s="132" t="n">
        <v>7.18</v>
      </c>
      <c r="G16" s="133">
        <f>IF(F16="",0,C16*F16*10)</f>
        <v/>
      </c>
      <c r="H16" s="134" t="inlineStr">
        <is>
          <t>16.5%  [QoE: CFO/NI 76%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2.5x  [through-cycle: 70/30 latest+5yr median, latest 2.4x → smoothed 2.5x]</t>
        </is>
      </c>
      <c r="E18" s="135" t="inlineStr">
        <is>
          <t>MOD-HIGH</t>
        </is>
      </c>
      <c r="F18" s="132" t="n">
        <v>7.92</v>
      </c>
      <c r="G18" s="133">
        <f>IF(F18="",0,C18*F18*10)</f>
        <v/>
      </c>
      <c r="H18" s="134" t="inlineStr">
        <is>
          <t>2.5x  [through-cycle: 70/30 latest+5yr median, latest 2.4x → smoothed 2.5x]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8.3x</t>
        </is>
      </c>
      <c r="E19" s="135" t="inlineStr">
        <is>
          <t>MOD-HIGH</t>
        </is>
      </c>
      <c r="F19" s="132" t="n">
        <v>9.16</v>
      </c>
      <c r="G19" s="133">
        <f>IF(F19="",0,C19*F19*10)</f>
        <v/>
      </c>
      <c r="H19" s="134" t="inlineStr">
        <is>
          <t>8.3x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σ=3.7%  |  Op margin σ=2.5%  [proxy — lower σ = lower risk = higher score]</t>
        </is>
      </c>
      <c r="E20" s="135" t="inlineStr">
        <is>
          <t>MOD-HIGH</t>
        </is>
      </c>
      <c r="F20" s="132" t="n">
        <v>8.33</v>
      </c>
      <c r="G20" s="133">
        <f>IF(F20="",0,C20*F20*10)</f>
        <v/>
      </c>
      <c r="H20" s="134" t="inlineStr">
        <is>
          <t>Rev growth σ=3.7%  |  Op margin σ=2.5%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23.0x  |  5yr avg 25.4x  |  DCF-implied 21.3x  [+8% vs benchmark]</t>
        </is>
      </c>
      <c r="E22" s="135" t="inlineStr">
        <is>
          <t>MOD-HIGH</t>
        </is>
      </c>
      <c r="F22" s="132" t="n">
        <v>5.72</v>
      </c>
      <c r="G22" s="133">
        <f>IF(F22="",0,C22*F22*10)</f>
        <v/>
      </c>
      <c r="H22" s="134" t="inlineStr">
        <is>
          <t>Current 23.0x  |  5yr avg 25.4x  |  DCF-implied 21.3x  [+8% vs benchmark]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56.8x  |  5yr avg 38.2x  |  DCF-implied 52.8x  [+49% vs benchmark]</t>
        </is>
      </c>
      <c r="E23" s="137" t="inlineStr">
        <is>
          <t>LOW</t>
        </is>
      </c>
      <c r="F23" s="132" t="n">
        <v>0.16</v>
      </c>
      <c r="G23" s="133">
        <f>IF(F23="",0,C23*F23*10)</f>
        <v/>
      </c>
      <c r="H23" s="134" t="inlineStr">
        <is>
          <t>Current 56.8x  |  5yr avg 38.2x  |  DCF-implied 52.8x  [+49%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8" t="inlineStr">
        <is>
          <t>TOTAL SCORE  (max = 100.0)</t>
        </is>
      </c>
      <c r="B25" s="139" t="n"/>
      <c r="C25" s="139" t="n"/>
      <c r="D25" s="139" t="n"/>
      <c r="E25" s="139" t="n"/>
      <c r="F25" s="139" t="n"/>
      <c r="G25" s="140">
        <f>G8+G9+G10+G11+G13+G14+G15+G16+G18+G19+G20+G22+G23</f>
        <v/>
      </c>
      <c r="H25" s="141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2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3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2026-05-15T12:05:43Z</dcterms:created>
  <dcterms:modified xsi:type="dcterms:W3CDTF">2026-05-15T12:05:55Z</dcterms:modified>
</cp:coreProperties>
</file>