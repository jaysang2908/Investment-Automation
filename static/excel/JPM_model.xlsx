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7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-3134</v>
      </c>
      <c r="C5" s="18" t="n">
        <v>-3037</v>
      </c>
      <c r="D5" s="18" t="n">
        <v>70148</v>
      </c>
      <c r="E5" s="18" t="n">
        <v>55017</v>
      </c>
      <c r="F5" s="18" t="n">
        <v>51749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820948.708247</v>
      </c>
      <c r="C5" s="46" t="inlineStr">
        <is>
          <t>FMP marketCap  |  price $306.38</t>
        </is>
      </c>
    </row>
    <row r="6">
      <c r="A6" s="17" t="inlineStr">
        <is>
          <t>Debt  (gross book value, $mm)</t>
        </is>
      </c>
      <c r="B6" s="45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0.04559999999999999</v>
      </c>
      <c r="C12" s="46" t="inlineStr">
        <is>
          <t>FRED series DGS10  |  latest: 2026-05-22</t>
        </is>
      </c>
    </row>
    <row r="13">
      <c r="A13" s="49" t="inlineStr">
        <is>
          <t>► Selected Rf  (override if needed)</t>
        </is>
      </c>
      <c r="B13" s="50" t="n">
        <v>0.0456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1.023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1.015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1.15x,  t = 21.4%)</t>
        </is>
      </c>
      <c r="B19" s="52" t="n">
        <v>1.902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1.313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A+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0.0507</v>
      </c>
      <c r="C32" s="46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2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5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8" t="n">
        <v>0.1356</v>
      </c>
      <c r="C35" s="46" t="inlineStr">
        <is>
          <t>Rf 4.56% + spread 9.00%</t>
        </is>
      </c>
    </row>
    <row r="36">
      <c r="A36" s="17" t="inlineStr">
        <is>
          <t>Accounting Rd  (Gross int exp / Avg gross debt)</t>
        </is>
      </c>
      <c r="B36" s="48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0.1006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0.2142</v>
      </c>
      <c r="C41" s="46" t="inlineStr">
        <is>
          <t>FMP: $15547mm  /  $72595mm</t>
        </is>
      </c>
    </row>
    <row r="42">
      <c r="A42" s="49" t="inlineStr">
        <is>
          <t>► Selected tax rate  (user override)</t>
        </is>
      </c>
      <c r="B42" s="50" t="n">
        <v>0.2142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8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2028E  (3 years)   |   User estimates required from: 2029E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-0.2979</v>
      </c>
      <c r="H7" s="74" t="n">
        <v>0.0433</v>
      </c>
      <c r="I7" s="74" t="n">
        <v>0.0494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0.3533</v>
      </c>
      <c r="H8" s="74" t="n">
        <v>0.3533</v>
      </c>
      <c r="I8" s="74" t="n">
        <v>0.3533</v>
      </c>
      <c r="J8" s="75">
        <f>I8</f>
        <v/>
      </c>
      <c r="K8" s="75">
        <f>I8</f>
        <v/>
      </c>
      <c r="L8" s="76" t="n">
        <v>0.291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196422.3</v>
      </c>
      <c r="H15" s="80" t="n">
        <v>204921.6</v>
      </c>
      <c r="I15" s="80" t="n">
        <v>215044.1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192,931 — 198,847</t>
        </is>
      </c>
      <c r="H16" s="85" t="inlineStr">
        <is>
          <t>202,562 — 209,347</t>
        </is>
      </c>
      <c r="I16" s="85" t="inlineStr">
        <is>
          <t>214,152 — 215,936</t>
        </is>
      </c>
      <c r="J16" s="86" t="inlineStr">
        <is>
          <t>—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11</v>
      </c>
      <c r="H17" s="88" t="n">
        <v>11</v>
      </c>
      <c r="I17" s="89" t="n">
        <v>5</v>
      </c>
      <c r="J17" s="86" t="inlineStr">
        <is>
          <t>—</t>
        </is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3">
        <f>IFERROR(J15/I15-1,"")</f>
        <v/>
      </c>
      <c r="K18" s="93">
        <f>IFERROR(K15/J15-1,"")</f>
        <v/>
      </c>
      <c r="L18" s="94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69399.60000000001</v>
      </c>
      <c r="H20" s="80" t="n">
        <v>72402.60000000001</v>
      </c>
      <c r="I20" s="80" t="n">
        <v>75979.10000000001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68,166 — 70,256</t>
        </is>
      </c>
      <c r="H21" s="85" t="inlineStr">
        <is>
          <t>71,569 — 73,966</t>
        </is>
      </c>
      <c r="I21" s="85" t="inlineStr">
        <is>
          <t>75,664 — 76,294</t>
        </is>
      </c>
      <c r="J21" s="86" t="inlineStr">
        <is>
          <t>—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3">
        <f>IFERROR(J20/J15,"")</f>
        <v/>
      </c>
      <c r="K22" s="93">
        <f>IFERROR(K20/K15,"")</f>
        <v/>
      </c>
      <c r="L22" s="94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5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6">
        <f>-G15*G9</f>
        <v/>
      </c>
      <c r="H25" s="96">
        <f>-H15*H9</f>
        <v/>
      </c>
      <c r="I25" s="96">
        <f>-I15*I9</f>
        <v/>
      </c>
      <c r="J25" s="81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7">
        <f>B20+B25</f>
        <v/>
      </c>
      <c r="C26" s="97">
        <f>C20+C25</f>
        <v/>
      </c>
      <c r="D26" s="97">
        <f>D20+D25</f>
        <v/>
      </c>
      <c r="E26" s="97">
        <f>E20+E25</f>
        <v/>
      </c>
      <c r="F26" s="97">
        <f>F20+F25</f>
        <v/>
      </c>
      <c r="G26" s="98">
        <f>G20+G25</f>
        <v/>
      </c>
      <c r="H26" s="98">
        <f>H20+H25</f>
        <v/>
      </c>
      <c r="I26" s="98">
        <f>I20+I25</f>
        <v/>
      </c>
      <c r="J26" s="98">
        <f>J20+J25</f>
        <v/>
      </c>
      <c r="K26" s="98">
        <f>K20+K25</f>
        <v/>
      </c>
      <c r="L26" s="98">
        <f>L20+L25</f>
        <v/>
      </c>
      <c r="M26" s="83">
        <f> EBITDA + D&amp;A  (GAAP operating income, EBIT)</f>
        <v/>
      </c>
    </row>
    <row r="27" ht="20" customHeight="1">
      <c r="A27" s="95" t="inlineStr">
        <is>
          <t xml:space="preserve">  Less: Tax on EBIT  (unlevered)</t>
        </is>
      </c>
      <c r="B27" s="99">
        <f>-B26*B12</f>
        <v/>
      </c>
      <c r="C27" s="99">
        <f>-C26*C12</f>
        <v/>
      </c>
      <c r="D27" s="99">
        <f>-D26*D12</f>
        <v/>
      </c>
      <c r="E27" s="99">
        <f>-E26*E12</f>
        <v/>
      </c>
      <c r="F27" s="99">
        <f>-F26*F12</f>
        <v/>
      </c>
      <c r="G27" s="100">
        <f>-G26*G12</f>
        <v/>
      </c>
      <c r="H27" s="100">
        <f>-H26*H12</f>
        <v/>
      </c>
      <c r="I27" s="100">
        <f>-I26*I12</f>
        <v/>
      </c>
      <c r="J27" s="100">
        <f>-J26*J12</f>
        <v/>
      </c>
      <c r="K27" s="100">
        <f>-K26*K12</f>
        <v/>
      </c>
      <c r="L27" s="100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7">
        <f>B26+B27</f>
        <v/>
      </c>
      <c r="C28" s="97">
        <f>C26+C27</f>
        <v/>
      </c>
      <c r="D28" s="97">
        <f>D26+D27</f>
        <v/>
      </c>
      <c r="E28" s="97">
        <f>E26+E27</f>
        <v/>
      </c>
      <c r="F28" s="97">
        <f>F26+F27</f>
        <v/>
      </c>
      <c r="G28" s="101">
        <f>G26+G27</f>
        <v/>
      </c>
      <c r="H28" s="101">
        <f>H26+H27</f>
        <v/>
      </c>
      <c r="I28" s="101">
        <f>I26+I27</f>
        <v/>
      </c>
      <c r="J28" s="101">
        <f>J26+J27</f>
        <v/>
      </c>
      <c r="K28" s="101">
        <f>K26+K27</f>
        <v/>
      </c>
      <c r="L28" s="101">
        <f>L26+L27</f>
        <v/>
      </c>
      <c r="M28" s="83">
        <f> EBIT × (1 − tax rate)</f>
        <v/>
      </c>
    </row>
    <row r="29" ht="20" customHeight="1">
      <c r="A29" s="95" t="inlineStr">
        <is>
          <t xml:space="preserve">  (+) D&amp;A add-back  (non-cash)</t>
        </is>
      </c>
      <c r="B29" s="99">
        <f>-B25</f>
        <v/>
      </c>
      <c r="C29" s="99">
        <f>-C25</f>
        <v/>
      </c>
      <c r="D29" s="99">
        <f>-D25</f>
        <v/>
      </c>
      <c r="E29" s="99">
        <f>-E25</f>
        <v/>
      </c>
      <c r="F29" s="99">
        <f>-F25</f>
        <v/>
      </c>
      <c r="G29" s="100">
        <f>-G25</f>
        <v/>
      </c>
      <c r="H29" s="100">
        <f>-H25</f>
        <v/>
      </c>
      <c r="I29" s="100">
        <f>-I25</f>
        <v/>
      </c>
      <c r="J29" s="100">
        <f>-J25</f>
        <v/>
      </c>
      <c r="K29" s="100">
        <f>-K25</f>
        <v/>
      </c>
      <c r="L29" s="100">
        <f>-L25</f>
        <v/>
      </c>
      <c r="M29" s="83">
        <f> D&amp;A added back (non-cash charge — converts NOPAT to cash basis)</f>
        <v/>
      </c>
    </row>
    <row r="30" ht="20" customHeight="1">
      <c r="A30" s="95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0">
        <f>-G15*G10</f>
        <v/>
      </c>
      <c r="H30" s="100">
        <f>-H15*H10</f>
        <v/>
      </c>
      <c r="I30" s="100">
        <f>-I15*I10</f>
        <v/>
      </c>
      <c r="J30" s="100">
        <f>-J15*J10</f>
        <v/>
      </c>
      <c r="K30" s="100">
        <f>-K15*K10</f>
        <v/>
      </c>
      <c r="L30" s="100">
        <f>-L15*L10</f>
        <v/>
      </c>
      <c r="M30" s="83">
        <f> Revenue × CapEx % assumption  (negative = cash outflow)</f>
        <v/>
      </c>
    </row>
    <row r="31" ht="20" customHeight="1">
      <c r="A31" s="95" t="inlineStr">
        <is>
          <t xml:space="preserve">  (−) Increase in Net Working Capital</t>
        </is>
      </c>
      <c r="B31" s="99" t="n"/>
      <c r="C31" s="99">
        <f>-(('Balance Sheet'!C9-'Balance Sheet'!C21)-('Balance Sheet'!B9-'Balance Sheet'!B21))</f>
        <v/>
      </c>
      <c r="D31" s="99">
        <f>-(('Balance Sheet'!D9-'Balance Sheet'!D21)-('Balance Sheet'!C9-'Balance Sheet'!C21))</f>
        <v/>
      </c>
      <c r="E31" s="99">
        <f>-(('Balance Sheet'!E9-'Balance Sheet'!E21)-('Balance Sheet'!D9-'Balance Sheet'!D21))</f>
        <v/>
      </c>
      <c r="F31" s="99">
        <f>-(('Balance Sheet'!F9-'Balance Sheet'!F21)-('Balance Sheet'!E9-'Balance Sheet'!E21))</f>
        <v/>
      </c>
      <c r="G31" s="100">
        <f>-G15*G11</f>
        <v/>
      </c>
      <c r="H31" s="100">
        <f>-H15*H11</f>
        <v/>
      </c>
      <c r="I31" s="100">
        <f>-I15*I11</f>
        <v/>
      </c>
      <c r="J31" s="100">
        <f>-J15*J11</f>
        <v/>
      </c>
      <c r="K31" s="100">
        <f>-K15*K11</f>
        <v/>
      </c>
      <c r="L31" s="100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7">
        <f>B28+B29+B30+B31</f>
        <v/>
      </c>
      <c r="C32" s="97">
        <f>C28+C29+C30+C31</f>
        <v/>
      </c>
      <c r="D32" s="97">
        <f>D28+D29+D30+D31</f>
        <v/>
      </c>
      <c r="E32" s="97">
        <f>E28+E29+E30+E31</f>
        <v/>
      </c>
      <c r="F32" s="97">
        <f>F28+F29+F30+F31</f>
        <v/>
      </c>
      <c r="G32" s="101">
        <f>G28+G29+G30+G31</f>
        <v/>
      </c>
      <c r="H32" s="101">
        <f>H28+H29+H30+H31</f>
        <v/>
      </c>
      <c r="I32" s="101">
        <f>I28+I29+I30+I31</f>
        <v/>
      </c>
      <c r="J32" s="101">
        <f>J28+J29+J30+J31</f>
        <v/>
      </c>
      <c r="K32" s="101">
        <f>K28+K29+K30+K31</f>
        <v/>
      </c>
      <c r="L32" s="101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1">
        <f>B32/B15</f>
        <v/>
      </c>
      <c r="C33" s="91">
        <f>C32/C15</f>
        <v/>
      </c>
      <c r="D33" s="91">
        <f>D32/D15</f>
        <v/>
      </c>
      <c r="E33" s="91">
        <f>E32/E15</f>
        <v/>
      </c>
      <c r="F33" s="91">
        <f>F32/F15</f>
        <v/>
      </c>
      <c r="G33" s="102">
        <f>IFERROR(G32/G15,"")</f>
        <v/>
      </c>
      <c r="H33" s="102">
        <f>IFERROR(H32/H15,"")</f>
        <v/>
      </c>
      <c r="I33" s="102">
        <f>IFERROR(I32/I15,"")</f>
        <v/>
      </c>
      <c r="J33" s="102">
        <f>IFERROR(J32/J15,"")</f>
        <v/>
      </c>
      <c r="K33" s="102">
        <f>IFERROR(K32/K15,"")</f>
        <v/>
      </c>
      <c r="L33" s="102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3">
        <f>WACC!B45</f>
        <v/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5" t="n">
        <v>0.04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77" t="inlineStr">
        <is>
          <t>Growth tier: HIGH (23.8%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6" t="n">
        <v>18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77" t="inlineStr">
        <is>
          <t>Growth tier: HIGH (23.8%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7" t="inlineStr">
        <is>
          <t>Terminal Year UFCF  (grown by g)</t>
        </is>
      </c>
      <c r="B40" s="108">
        <f>L32</f>
        <v/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1">
        <f>B40/(B36-B37)</f>
        <v/>
      </c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1">
        <f>L20*B38</f>
        <v/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7" t="inlineStr">
        <is>
          <t>Discount Period  (mid-year convention)</t>
        </is>
      </c>
      <c r="G45" s="111" t="n">
        <v>0.5</v>
      </c>
      <c r="H45" s="111" t="n">
        <v>1.5</v>
      </c>
      <c r="I45" s="111" t="n">
        <v>2.5</v>
      </c>
      <c r="J45" s="111" t="n">
        <v>3.5</v>
      </c>
      <c r="K45" s="111" t="n">
        <v>4.5</v>
      </c>
      <c r="L45" s="112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7" t="inlineStr">
        <is>
          <t>Discount Factor  =  1 / (1 + WACC) ^ period</t>
        </is>
      </c>
      <c r="G46" s="113">
        <f>1/(1+B36)^G45</f>
        <v/>
      </c>
      <c r="H46" s="113">
        <f>1/(1+B36)^H45</f>
        <v/>
      </c>
      <c r="I46" s="113">
        <f>1/(1+B36)^I45</f>
        <v/>
      </c>
      <c r="J46" s="113">
        <f>1/(1+B36)^J45</f>
        <v/>
      </c>
      <c r="K46" s="113">
        <f>1/(1+B36)^K45</f>
        <v/>
      </c>
      <c r="L46" s="114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1">
        <f>G32*G46</f>
        <v/>
      </c>
      <c r="H47" s="101">
        <f>H32*H46</f>
        <v/>
      </c>
      <c r="I47" s="101">
        <f>I32*I46</f>
        <v/>
      </c>
      <c r="J47" s="101">
        <f>J32*J46</f>
        <v/>
      </c>
      <c r="K47" s="101">
        <f>K32*K46</f>
        <v/>
      </c>
      <c r="L47" s="110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8">
        <f>G47+H47+I47+J47+K47</f>
        <v/>
      </c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8">
        <f>B41*L46</f>
        <v/>
      </c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8">
        <f>B42*L46</f>
        <v/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1">
        <f>B48+B49</f>
        <v/>
      </c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</row>
    <row r="54">
      <c r="A54" s="78" t="inlineStr">
        <is>
          <t>Enterprise Value  [Exit Multiple]</t>
        </is>
      </c>
      <c r="B54" s="101">
        <f>B48+B50</f>
        <v/>
      </c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</row>
    <row r="55" ht="20" customHeight="1">
      <c r="A55" s="95" t="inlineStr">
        <is>
          <t xml:space="preserve">  Less: Net Debt  (Debt − Cash)</t>
        </is>
      </c>
      <c r="B55" s="108">
        <f>'Balance Sheet'!F81</f>
        <v/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83" t="inlineStr">
        <is>
          <t>Linked from Balance Sheet: Total Debt (ST+LT) − Cash &amp; Equivalents  (negative = net cash)</t>
        </is>
      </c>
    </row>
    <row r="56" ht="20" customHeight="1">
      <c r="A56" s="95" t="inlineStr">
        <is>
          <t xml:space="preserve">  Less: Minority Interest</t>
        </is>
      </c>
      <c r="B56" s="108" t="n">
        <v>0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83" t="inlineStr">
        <is>
          <t>Auto-linked from Balance Sheet: minorityInterest</t>
        </is>
      </c>
    </row>
    <row r="57" ht="20" customHeight="1">
      <c r="A57" s="95" t="inlineStr">
        <is>
          <t xml:space="preserve">  Shares Outstanding — Diluted  (mm)</t>
        </is>
      </c>
      <c r="B57" s="108" t="n">
        <v>2793.7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6">
        <f>IFERROR((B53-B55-B56)/B57,"")</f>
        <v/>
      </c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</row>
    <row r="60">
      <c r="A60" s="78" t="inlineStr">
        <is>
          <t>Implied Share Price  [Exit Multiple]  ($)</t>
        </is>
      </c>
      <c r="B60" s="116">
        <f>IFERROR((B54-B55-B56)/B57,"")</f>
        <v/>
      </c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</row>
    <row r="61" ht="20" customHeight="1">
      <c r="A61" s="107" t="inlineStr">
        <is>
          <t>Current Market Price  ($)</t>
        </is>
      </c>
      <c r="B61" s="117" t="n">
        <v>306.38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8">
        <f>IFERROR(B59/B61-1,"")</f>
        <v/>
      </c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</row>
    <row r="63">
      <c r="A63" s="65" t="inlineStr">
        <is>
          <t>Upside / (Downside)  [Exit Multiple]</t>
        </is>
      </c>
      <c r="B63" s="118">
        <f>IFERROR(B60/B61-1,"")</f>
        <v/>
      </c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9" t="inlineStr">
        <is>
          <t>JS SCORECARD — JPM  |  Master Prompt v2  |  27 May 2026  |  Sector bucket: Bank</t>
        </is>
      </c>
    </row>
    <row r="2" ht="18" customHeight="1">
      <c r="A2" s="12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1" t="inlineStr">
        <is>
          <t>✓  Bank/Financial sector — D/EBITDA and EBIT/Interest gates exempt  | Capital Adequacy (Equity/Assets) used as P3 leverage criterion  |  Equity/Assets = 8.2%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2" t="inlineStr">
        <is>
          <t>CRITERION</t>
        </is>
      </c>
      <c r="B6" s="123" t="inlineStr">
        <is>
          <t>PART</t>
        </is>
      </c>
      <c r="C6" s="123" t="inlineStr">
        <is>
          <t>WEIGHT %</t>
        </is>
      </c>
      <c r="D6" s="123" t="inlineStr">
        <is>
          <t>CALCULATED VALUE</t>
        </is>
      </c>
      <c r="E6" s="123" t="inlineStr">
        <is>
          <t>TIER  ▼</t>
        </is>
      </c>
      <c r="F6" s="123" t="inlineStr">
        <is>
          <t>SCORE</t>
        </is>
      </c>
      <c r="G6" s="123" t="inlineStr">
        <is>
          <t>WTD SCORE</t>
        </is>
      </c>
      <c r="H6" s="12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4" t="inlineStr">
        <is>
          <t xml:space="preserve">  Business Clarity</t>
        </is>
      </c>
      <c r="B8" s="125" t="inlineStr">
        <is>
          <t>P1</t>
        </is>
      </c>
      <c r="C8" s="126" t="n">
        <v>0.025</v>
      </c>
      <c r="D8" s="127" t="inlineStr">
        <is>
          <t>User-supplied via web form</t>
        </is>
      </c>
      <c r="E8" s="128" t="inlineStr">
        <is>
          <t>MOD-HIGH</t>
        </is>
      </c>
      <c r="F8" s="129">
        <f>IF(E8="HIGH",10,IF(E8="MOD-HIGH",7,IF(E8="MOD-LOW",3,IF(E8="LOW",0,""))))</f>
        <v/>
      </c>
      <c r="G8" s="130">
        <f>IF(F8="",0,C8*F8*10)</f>
        <v/>
      </c>
      <c r="H8" s="131" t="inlineStr">
        <is>
          <t>User-supplied via web form</t>
        </is>
      </c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  <c r="E9" s="128" t="inlineStr">
        <is>
          <t>MOD-HIGH</t>
        </is>
      </c>
      <c r="F9" s="129" t="n">
        <v>6</v>
      </c>
      <c r="G9" s="130">
        <f>IF(F9="",0,C9*F9*10)</f>
        <v/>
      </c>
      <c r="H9" s="131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</row>
    <row r="10" ht="18" customHeight="1">
      <c r="A10" s="124" t="inlineStr">
        <is>
          <t xml:space="preserve">  Long-Term Potential</t>
        </is>
      </c>
      <c r="B10" s="125" t="inlineStr">
        <is>
          <t>P1</t>
        </is>
      </c>
      <c r="C10" s="126" t="n">
        <v>0.1</v>
      </c>
      <c r="D10" s="127" t="inlineStr">
        <is>
          <t>User-supplied via web form</t>
        </is>
      </c>
      <c r="E10" s="128" t="inlineStr">
        <is>
          <t>MOD-HIGH</t>
        </is>
      </c>
      <c r="F10" s="129">
        <f>IF(E10="HIGH",10,IF(E10="MOD-HIGH",7,IF(E10="MOD-LOW",3,IF(E10="LOW",0,""))))</f>
        <v/>
      </c>
      <c r="G10" s="130">
        <f>IF(F10="",0,C10*F10*10)</f>
        <v/>
      </c>
      <c r="H10" s="131" t="inlineStr">
        <is>
          <t>User-supplied via web form</t>
        </is>
      </c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  <c r="E11" s="128" t="inlineStr">
        <is>
          <t>MOD-HIGH</t>
        </is>
      </c>
      <c r="F11" s="129" t="n">
        <v>7.14</v>
      </c>
      <c r="G11" s="130">
        <f>IF(F11="",0,C11*F11*10)</f>
        <v/>
      </c>
      <c r="H11" s="131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22.1%</t>
        </is>
      </c>
      <c r="E13" s="132" t="inlineStr">
        <is>
          <t>HIGH</t>
        </is>
      </c>
      <c r="F13" s="129" t="n">
        <v>10</v>
      </c>
      <c r="G13" s="130">
        <f>IF(F13="",0,C13*F13*10)</f>
        <v/>
      </c>
      <c r="H13" s="131" t="inlineStr">
        <is>
          <t>22.1%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172%  [trend penalty: declined &gt;15pp vs 3yr ago]  [through-cycle: 70/30 latest+5yr median, latest 176.8% → smoothed 172.2%]</t>
        </is>
      </c>
      <c r="E14" s="128" t="inlineStr">
        <is>
          <t>MOD-HIGH</t>
        </is>
      </c>
      <c r="F14" s="129" t="n">
        <v>6.5</v>
      </c>
      <c r="G14" s="130">
        <f>IF(F14="",0,C14*F14*10)</f>
        <v/>
      </c>
      <c r="H14" s="131" t="inlineStr">
        <is>
          <t>172%  [trend penalty: declined &gt;15pp vs 3yr ago]  [through-cycle: 70/30 latest+5yr median, latest 176.8% → smoothed 172.2%]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$34,591mm latest FY — debt-funded  [payout 34% of FCF]</t>
        </is>
      </c>
      <c r="E15" s="133" t="inlineStr">
        <is>
          <t>MOD-LOW</t>
        </is>
      </c>
      <c r="F15" s="129" t="n">
        <v>3</v>
      </c>
      <c r="G15" s="130">
        <f>IF(F15="",0,C15*F15*10)</f>
        <v/>
      </c>
      <c r="H15" s="131" t="inlineStr">
        <is>
          <t>$34,591mm latest FY — debt-funded  [payout 34% of FCF]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15.7%  [QoE: CFO/NI 44% 3yr avg — cash conv weak]</t>
        </is>
      </c>
      <c r="E16" s="132" t="inlineStr">
        <is>
          <t>HIGH</t>
        </is>
      </c>
      <c r="F16" s="129" t="n">
        <v>8.5</v>
      </c>
      <c r="G16" s="130">
        <f>IF(F16="",0,C16*F16*10)</f>
        <v/>
      </c>
      <c r="H16" s="131" t="inlineStr">
        <is>
          <t>15.7%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4" t="inlineStr">
        <is>
          <t xml:space="preserve">  Capital Adequacy  (Equity / Assets)</t>
        </is>
      </c>
      <c r="B18" s="125" t="inlineStr">
        <is>
          <t>P3</t>
        </is>
      </c>
      <c r="C18" s="126" t="n">
        <v>0.125</v>
      </c>
      <c r="D18" s="127" t="inlineStr">
        <is>
          <t>8.2%  [Equity/Assets — CET1 proxy; well-capitalised &gt;10%]</t>
        </is>
      </c>
      <c r="E18" s="128" t="inlineStr">
        <is>
          <t>MOD-HIGH</t>
        </is>
      </c>
      <c r="F18" s="129" t="n">
        <v>7.29</v>
      </c>
      <c r="G18" s="130">
        <f>IF(F18="",0,C18*F18*10)</f>
        <v/>
      </c>
      <c r="H18" s="131" t="inlineStr">
        <is>
          <t>8.2%  [Equity/Assets — CET1 proxy; well-capitalised &gt;10%]</t>
        </is>
      </c>
    </row>
    <row r="19" ht="18" customHeight="1">
      <c r="A19" s="124" t="inlineStr">
        <is>
          <t xml:space="preserve">  Execution Risk</t>
        </is>
      </c>
      <c r="B19" s="125" t="inlineStr">
        <is>
          <t>P3</t>
        </is>
      </c>
      <c r="C19" s="126" t="n">
        <v>0.05</v>
      </c>
      <c r="D19" s="127" t="inlineStr">
        <is>
          <t>Rev growth σ=18.7%  |  OM trend -20.9%, σ=7.9%  [quality = direction + stability]</t>
        </is>
      </c>
      <c r="E19" s="134" t="inlineStr">
        <is>
          <t>LOW</t>
        </is>
      </c>
      <c r="F19" s="129" t="n">
        <v>0</v>
      </c>
      <c r="G19" s="130">
        <f>IF(F19="",0,C19*F19*10)</f>
        <v/>
      </c>
      <c r="H19" s="131" t="inlineStr">
        <is>
          <t>Rev growth σ=18.7%  |  OM trend -20.9%, σ=7.9%  [quality = direction + stability]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24" t="inlineStr">
        <is>
          <t xml:space="preserve">  Valuation vs Median  (P/E)</t>
        </is>
      </c>
      <c r="B21" s="125" t="inlineStr">
        <is>
          <t>P4</t>
        </is>
      </c>
      <c r="C21" s="126" t="n">
        <v>0.2</v>
      </c>
      <c r="D21" s="127" t="inlineStr">
        <is>
          <t>Fwd P/E 13.8x (scoring basis)  |  5yr avg 12.4x  |  DCF-implied 7.4x [ref only — not used as benchmark]  [+11% vs benchmark]  [trail=5.19 | fwd_pe=13.8x→5.19 | abs=6.0 [bank cap 6.0] → blended 40/40/20=5.35]  PEG=156.00 (fwd_pe=13.8x / eps_growth=9%)  [revision:Modest upgrade expected→+0.25]</t>
        </is>
      </c>
      <c r="E21" s="133" t="inlineStr">
        <is>
          <t>MOD-LOW</t>
        </is>
      </c>
      <c r="F21" s="129" t="n">
        <v>5.6</v>
      </c>
      <c r="G21" s="130">
        <f>IF(F21="",0,C21*F21*10)</f>
        <v/>
      </c>
      <c r="H21" s="131" t="inlineStr">
        <is>
          <t>Fwd P/E 13.8x (scoring basis)  |  5yr avg 12.4x  |  DCF-implied 7.4x [ref only — not used as benchmark]  [+11% vs benchmark]  [trail=5.19 | fwd_pe=13.8x→5.19 | abs=6.0 [bank cap 6.0] → blended 40/40/20=5.35]  PEG=156.00 (fwd_pe=13.8x / eps_growth=9%)  [revision:Modest upgrade expected→+0.25]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35" t="inlineStr">
        <is>
          <t>TOTAL SCORE  (max = 100.0)</t>
        </is>
      </c>
      <c r="B23" s="136" t="n"/>
      <c r="C23" s="136" t="n"/>
      <c r="D23" s="136" t="n"/>
      <c r="E23" s="136" t="n"/>
      <c r="F23" s="136" t="n"/>
      <c r="G23" s="137">
        <f>G8+G9+G10+G11+G13+G14+G15+G16+G18+G19+G21</f>
        <v/>
      </c>
      <c r="H23" s="138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39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2026-05-27T02:26:34Z</dcterms:created>
  <dcterms:modified xmlns:dcterms="http://purl.org/dc/terms/" xmlns:xsi="http://www.w3.org/2001/XMLSchema-instance" xsi:type="dcterms:W3CDTF">2026-05-27T02:26:44Z</dcterms:modified>
</cp:coreProperties>
</file>