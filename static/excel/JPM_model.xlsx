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565C0"/>
      <sz val="10"/>
    </font>
    <font>
      <name val="Arial"/>
      <b val="1"/>
      <color rgb="001B5E20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color rgb="001B5E20"/>
      <sz val="10"/>
    </font>
    <font>
      <name val="Arial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165" fontId="7" fillId="5" borderId="1" applyAlignment="1" pivotButton="0" quotePrefix="0" xfId="0">
      <alignment horizontal="right"/>
    </xf>
    <xf numFmtId="169" fontId="7" fillId="5" borderId="1" applyAlignment="1" pivotButton="0" quotePrefix="0" xfId="0">
      <alignment horizontal="right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5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9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6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7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6" borderId="1" applyAlignment="1" pivotButton="0" quotePrefix="0" xfId="0">
      <alignment horizontal="center" vertical="center"/>
    </xf>
    <xf numFmtId="0" fontId="32" fillId="18" borderId="1" applyAlignment="1" pivotButton="0" quotePrefix="0" xfId="0">
      <alignment horizontal="center" vertical="center"/>
    </xf>
    <xf numFmtId="0" fontId="33" fillId="19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JPM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279745</v>
      </c>
    </row>
    <row r="8">
      <c r="A8" s="3" t="inlineStr">
        <is>
          <t>Gross Profit ($mm)</t>
        </is>
      </c>
      <c r="B8" s="7" t="n">
        <v>167607</v>
      </c>
    </row>
    <row r="9">
      <c r="A9" s="3" t="inlineStr">
        <is>
          <t>EBITDA ($mm)</t>
        </is>
      </c>
      <c r="B9" s="7" t="n">
        <v>81416</v>
      </c>
    </row>
    <row r="10">
      <c r="A10" s="3" t="inlineStr">
        <is>
          <t>EBIT ($mm)</t>
        </is>
      </c>
      <c r="B10" s="7" t="n">
        <v>72595</v>
      </c>
    </row>
    <row r="11">
      <c r="A11" s="3" t="inlineStr">
        <is>
          <t>Net Income ($mm)</t>
        </is>
      </c>
      <c r="B11" s="7" t="n">
        <v>57048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JPM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127238</v>
      </c>
      <c r="C5" s="16" t="n">
        <v>153824</v>
      </c>
      <c r="D5" s="16" t="n">
        <v>236273</v>
      </c>
      <c r="E5" s="16" t="n">
        <v>270789</v>
      </c>
      <c r="F5" s="16" t="n">
        <v>279745</v>
      </c>
    </row>
    <row r="6">
      <c r="A6" s="17" t="inlineStr">
        <is>
          <t>(2)  Cost of Revenue (COGS)</t>
        </is>
      </c>
      <c r="B6" s="18" t="n">
        <v>-3667</v>
      </c>
      <c r="C6" s="18" t="n">
        <v>32432</v>
      </c>
      <c r="D6" s="18" t="n">
        <v>90603</v>
      </c>
      <c r="E6" s="18" t="n">
        <v>112004</v>
      </c>
      <c r="F6" s="18" t="n">
        <v>112138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41603</v>
      </c>
      <c r="C9" s="18" t="n">
        <v>45547</v>
      </c>
      <c r="D9" s="18" t="n">
        <v>51056</v>
      </c>
      <c r="E9" s="18" t="n">
        <v>56331</v>
      </c>
      <c r="F9" s="18" t="n">
        <v>60018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71343</v>
      </c>
      <c r="C11" s="18" t="n">
        <v>75226</v>
      </c>
      <c r="D11" s="18" t="n">
        <v>84058</v>
      </c>
      <c r="E11" s="18" t="n">
        <v>83704</v>
      </c>
      <c r="F11" s="18" t="n">
        <v>95012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7932</v>
      </c>
      <c r="C14" s="18" t="n">
        <v>7051</v>
      </c>
      <c r="D14" s="18" t="n">
        <v>7512</v>
      </c>
      <c r="E14" s="18" t="n">
        <v>7938</v>
      </c>
      <c r="F14" s="18" t="n">
        <v>8821</v>
      </c>
    </row>
    <row r="15">
      <c r="A15" s="19" t="inlineStr">
        <is>
          <t>(8)  EBIT (Operating Income)</t>
        </is>
      </c>
      <c r="B15" s="24" t="n">
        <v>59562</v>
      </c>
      <c r="C15" s="24" t="n">
        <v>46166</v>
      </c>
      <c r="D15" s="24" t="n">
        <v>61612</v>
      </c>
      <c r="E15" s="24" t="n">
        <v>75081</v>
      </c>
      <c r="F15" s="24" t="n">
        <v>72595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5553</v>
      </c>
      <c r="C17" s="18" t="n">
        <v>26097</v>
      </c>
      <c r="D17" s="18" t="n">
        <v>81321</v>
      </c>
      <c r="E17" s="18" t="n">
        <v>101350</v>
      </c>
      <c r="F17" s="18" t="n">
        <v>97898</v>
      </c>
    </row>
    <row r="18">
      <c r="A18" s="21" t="inlineStr">
        <is>
          <t xml:space="preserve">     Interest Income</t>
        </is>
      </c>
      <c r="B18" s="18" t="n">
        <v>57864</v>
      </c>
      <c r="C18" s="18" t="n">
        <v>92807</v>
      </c>
      <c r="D18" s="18" t="n">
        <v>170588</v>
      </c>
      <c r="E18" s="18" t="n">
        <v>193933</v>
      </c>
      <c r="F18" s="18" t="n">
        <v>193341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59562</v>
      </c>
      <c r="C21" s="24" t="n">
        <v>46166</v>
      </c>
      <c r="D21" s="24" t="n">
        <v>61612</v>
      </c>
      <c r="E21" s="24" t="n">
        <v>75081</v>
      </c>
      <c r="F21" s="24" t="n">
        <v>72595</v>
      </c>
    </row>
    <row r="22">
      <c r="A22" s="17" t="inlineStr">
        <is>
          <t>(11) Income Tax Expense</t>
        </is>
      </c>
      <c r="B22" s="18" t="n">
        <v>11228</v>
      </c>
      <c r="C22" s="18" t="n">
        <v>8490</v>
      </c>
      <c r="D22" s="18" t="n">
        <v>12060</v>
      </c>
      <c r="E22" s="18" t="n">
        <v>16610</v>
      </c>
      <c r="F22" s="18" t="n">
        <v>15547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48334</v>
      </c>
      <c r="C24" s="24" t="n">
        <v>37676</v>
      </c>
      <c r="D24" s="24" t="n">
        <v>49552</v>
      </c>
      <c r="E24" s="24" t="n">
        <v>58471</v>
      </c>
      <c r="F24" s="24" t="n">
        <v>57048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127238</v>
      </c>
      <c r="C30" s="16" t="n">
        <v>153824</v>
      </c>
      <c r="D30" s="16" t="n">
        <v>236273</v>
      </c>
      <c r="E30" s="16" t="n">
        <v>270789</v>
      </c>
      <c r="F30" s="16" t="n">
        <v>279745</v>
      </c>
    </row>
    <row r="31">
      <c r="A31" s="17" t="inlineStr">
        <is>
          <t>Cost of Revenue</t>
        </is>
      </c>
      <c r="B31" s="18" t="n">
        <v>-3667</v>
      </c>
      <c r="C31" s="18" t="n">
        <v>32432</v>
      </c>
      <c r="D31" s="18" t="n">
        <v>90603</v>
      </c>
      <c r="E31" s="18" t="n">
        <v>112004</v>
      </c>
      <c r="F31" s="18" t="n">
        <v>112138</v>
      </c>
    </row>
    <row r="32">
      <c r="A32" s="26" t="inlineStr">
        <is>
          <t>Gross Profit</t>
        </is>
      </c>
      <c r="B32" s="27" t="n">
        <v>130905</v>
      </c>
      <c r="C32" s="27" t="n">
        <v>121392</v>
      </c>
      <c r="D32" s="27" t="n">
        <v>145670</v>
      </c>
      <c r="E32" s="27" t="n">
        <v>158785</v>
      </c>
      <c r="F32" s="27" t="n">
        <v>167607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38567</v>
      </c>
      <c r="C35" s="18" t="n">
        <v>41636</v>
      </c>
      <c r="D35" s="18" t="n">
        <v>46465</v>
      </c>
      <c r="E35" s="18" t="n">
        <v>51357</v>
      </c>
      <c r="F35" s="18" t="n">
        <v>54487</v>
      </c>
    </row>
    <row r="36">
      <c r="A36" s="17" t="inlineStr">
        <is>
          <t>Selling &amp; Marketing</t>
        </is>
      </c>
      <c r="B36" s="18" t="n">
        <v>3036</v>
      </c>
      <c r="C36" s="18" t="n">
        <v>3911</v>
      </c>
      <c r="D36" s="18" t="n">
        <v>4591</v>
      </c>
      <c r="E36" s="18" t="n">
        <v>4974</v>
      </c>
      <c r="F36" s="18" t="n">
        <v>5531</v>
      </c>
    </row>
    <row r="37">
      <c r="A37" s="17" t="inlineStr">
        <is>
          <t>SG&amp;A (Combined)</t>
        </is>
      </c>
      <c r="B37" s="18" t="n">
        <v>41603</v>
      </c>
      <c r="C37" s="18" t="n">
        <v>45547</v>
      </c>
      <c r="D37" s="18" t="n">
        <v>51056</v>
      </c>
      <c r="E37" s="18" t="n">
        <v>56331</v>
      </c>
      <c r="F37" s="18" t="n">
        <v>60018</v>
      </c>
    </row>
    <row r="38">
      <c r="A38" s="17" t="inlineStr">
        <is>
          <t>Other Expenses</t>
        </is>
      </c>
      <c r="B38" s="18" t="n">
        <v>29740</v>
      </c>
      <c r="C38" s="18" t="n">
        <v>29679</v>
      </c>
      <c r="D38" s="18" t="n">
        <v>33002</v>
      </c>
      <c r="E38" s="18" t="n">
        <v>27373</v>
      </c>
      <c r="F38" s="18" t="n">
        <v>34994</v>
      </c>
    </row>
    <row r="39">
      <c r="A39" s="26" t="inlineStr">
        <is>
          <t>Total Operating Expenses</t>
        </is>
      </c>
      <c r="B39" s="27" t="n">
        <v>71343</v>
      </c>
      <c r="C39" s="27" t="n">
        <v>75226</v>
      </c>
      <c r="D39" s="27" t="n">
        <v>84058</v>
      </c>
      <c r="E39" s="27" t="n">
        <v>83704</v>
      </c>
      <c r="F39" s="27" t="n">
        <v>95012</v>
      </c>
    </row>
    <row r="40">
      <c r="A40" s="17" t="inlineStr">
        <is>
          <t>Cost &amp; Expenses (COGS + Opex)</t>
        </is>
      </c>
      <c r="B40" s="18" t="n">
        <v>67676</v>
      </c>
      <c r="C40" s="18" t="n">
        <v>107658</v>
      </c>
      <c r="D40" s="18" t="n">
        <v>174661</v>
      </c>
      <c r="E40" s="18" t="n">
        <v>195708</v>
      </c>
      <c r="F40" s="18" t="n">
        <v>207150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59562</v>
      </c>
      <c r="C42" s="16" t="n">
        <v>46166</v>
      </c>
      <c r="D42" s="16" t="n">
        <v>61612</v>
      </c>
      <c r="E42" s="16" t="n">
        <v>75081</v>
      </c>
      <c r="F42" s="16" t="n">
        <v>72595</v>
      </c>
    </row>
    <row r="43">
      <c r="A43" s="17" t="inlineStr">
        <is>
          <t>EBIT (FMP field)</t>
        </is>
      </c>
      <c r="B43" s="18" t="n">
        <v>59562</v>
      </c>
      <c r="C43" s="18" t="n">
        <v>46166</v>
      </c>
      <c r="D43" s="18" t="n">
        <v>61612</v>
      </c>
      <c r="E43" s="18" t="n">
        <v>75081</v>
      </c>
      <c r="F43" s="18" t="n">
        <v>72595</v>
      </c>
    </row>
    <row r="44">
      <c r="A44" s="26" t="inlineStr">
        <is>
          <t>EBITDA</t>
        </is>
      </c>
      <c r="B44" s="27" t="n">
        <v>67494</v>
      </c>
      <c r="C44" s="27" t="n">
        <v>53217</v>
      </c>
      <c r="D44" s="27" t="n">
        <v>69124</v>
      </c>
      <c r="E44" s="27" t="n">
        <v>83019</v>
      </c>
      <c r="F44" s="27" t="n">
        <v>81416</v>
      </c>
    </row>
    <row r="45">
      <c r="A45" s="17" t="inlineStr">
        <is>
          <t>Depreciation &amp; Amortisation</t>
        </is>
      </c>
      <c r="B45" s="18" t="n">
        <v>7932</v>
      </c>
      <c r="C45" s="18" t="n">
        <v>7051</v>
      </c>
      <c r="D45" s="18" t="n">
        <v>7512</v>
      </c>
      <c r="E45" s="18" t="n">
        <v>7938</v>
      </c>
      <c r="F45" s="18" t="n">
        <v>8821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57864</v>
      </c>
      <c r="C47" s="18" t="n">
        <v>92807</v>
      </c>
      <c r="D47" s="18" t="n">
        <v>170588</v>
      </c>
      <c r="E47" s="18" t="n">
        <v>193933</v>
      </c>
      <c r="F47" s="18" t="n">
        <v>193341</v>
      </c>
    </row>
    <row r="48">
      <c r="A48" s="17" t="inlineStr">
        <is>
          <t>Interest Expense</t>
        </is>
      </c>
      <c r="B48" s="18" t="n">
        <v>5553</v>
      </c>
      <c r="C48" s="18" t="n">
        <v>26097</v>
      </c>
      <c r="D48" s="18" t="n">
        <v>81321</v>
      </c>
      <c r="E48" s="18" t="n">
        <v>101350</v>
      </c>
      <c r="F48" s="18" t="n">
        <v>97898</v>
      </c>
    </row>
    <row r="49">
      <c r="A49" s="17" t="inlineStr">
        <is>
          <t>Net Interest Income</t>
        </is>
      </c>
      <c r="B49" s="18" t="n">
        <v>52311</v>
      </c>
      <c r="C49" s="18" t="n">
        <v>66710</v>
      </c>
      <c r="D49" s="18" t="n">
        <v>89267</v>
      </c>
      <c r="E49" s="18" t="n">
        <v>92583</v>
      </c>
      <c r="F49" s="18" t="n">
        <v>95443</v>
      </c>
    </row>
    <row r="50">
      <c r="A50" s="17" t="inlineStr">
        <is>
          <t>Non-Operating Income (ex-interest)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Total Other Income / (Expenses)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26" t="inlineStr">
        <is>
          <t>EBT / Income Before Tax</t>
        </is>
      </c>
      <c r="B52" s="27" t="n">
        <v>59562</v>
      </c>
      <c r="C52" s="27" t="n">
        <v>46166</v>
      </c>
      <c r="D52" s="27" t="n">
        <v>61612</v>
      </c>
      <c r="E52" s="27" t="n">
        <v>75081</v>
      </c>
      <c r="F52" s="27" t="n">
        <v>72595</v>
      </c>
    </row>
    <row r="53">
      <c r="A53" s="17" t="inlineStr">
        <is>
          <t>Income Tax Expense</t>
        </is>
      </c>
      <c r="B53" s="18" t="n">
        <v>11228</v>
      </c>
      <c r="C53" s="18" t="n">
        <v>8490</v>
      </c>
      <c r="D53" s="18" t="n">
        <v>12060</v>
      </c>
      <c r="E53" s="18" t="n">
        <v>16610</v>
      </c>
      <c r="F53" s="18" t="n">
        <v>15547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48334</v>
      </c>
      <c r="C55" s="18" t="n">
        <v>37676</v>
      </c>
      <c r="D55" s="18" t="n">
        <v>49552</v>
      </c>
      <c r="E55" s="18" t="n">
        <v>58471</v>
      </c>
      <c r="F55" s="18" t="n">
        <v>57048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48334</v>
      </c>
      <c r="C59" s="27" t="n">
        <v>37676</v>
      </c>
      <c r="D59" s="27" t="n">
        <v>49552</v>
      </c>
      <c r="E59" s="27" t="n">
        <v>58471</v>
      </c>
      <c r="F59" s="27" t="n">
        <v>57048</v>
      </c>
    </row>
    <row r="60">
      <c r="A60" s="15" t="inlineStr">
        <is>
          <t>Bottom Line Net Income</t>
        </is>
      </c>
      <c r="B60" s="16" t="n">
        <v>46503</v>
      </c>
      <c r="C60" s="16" t="n">
        <v>35892</v>
      </c>
      <c r="D60" s="16" t="n">
        <v>47760</v>
      </c>
      <c r="E60" s="16" t="n">
        <v>56868</v>
      </c>
      <c r="F60" s="16" t="n">
        <v>55681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15.39</v>
      </c>
      <c r="C62" s="18" t="n">
        <v>12.1</v>
      </c>
      <c r="D62" s="18" t="n">
        <v>16.25</v>
      </c>
      <c r="E62" s="18" t="n">
        <v>19.79</v>
      </c>
      <c r="F62" s="18" t="n">
        <v>20.09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3021.5</v>
      </c>
      <c r="C64" s="18" t="n">
        <v>2965.8</v>
      </c>
      <c r="D64" s="18" t="n">
        <v>2938.6</v>
      </c>
      <c r="E64" s="18" t="n">
        <v>2873.9</v>
      </c>
      <c r="F64" s="18" t="n">
        <v>2788.7</v>
      </c>
    </row>
    <row r="65">
      <c r="A65" s="17" t="inlineStr">
        <is>
          <t>Shares Outstanding — Diluted (mm)</t>
        </is>
      </c>
      <c r="B65" s="18" t="n">
        <v>3026.6</v>
      </c>
      <c r="C65" s="18" t="n">
        <v>2970</v>
      </c>
      <c r="D65" s="18" t="n">
        <v>2943.1</v>
      </c>
      <c r="E65" s="18" t="n">
        <v>2879</v>
      </c>
      <c r="F65" s="18" t="n">
        <v>2793.7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JPM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740834</v>
      </c>
      <c r="C5" s="18" t="n">
        <v>567234</v>
      </c>
      <c r="D5" s="18" t="n">
        <v>624151</v>
      </c>
      <c r="E5" s="18" t="n">
        <v>469317</v>
      </c>
      <c r="F5" s="18" t="n">
        <v>343338</v>
      </c>
    </row>
    <row r="6">
      <c r="A6" s="17" t="inlineStr">
        <is>
          <t>(2)  Receivables</t>
        </is>
      </c>
      <c r="B6" s="18" t="n">
        <v>308641</v>
      </c>
      <c r="C6" s="18" t="n">
        <v>310558</v>
      </c>
      <c r="D6" s="18" t="n">
        <v>307799</v>
      </c>
      <c r="E6" s="18" t="n">
        <v>320769</v>
      </c>
      <c r="F6" s="18" t="n">
        <v>397790</v>
      </c>
    </row>
    <row r="7">
      <c r="A7" s="17" t="inlineStr">
        <is>
          <t>(3)  Inventory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1670597</v>
      </c>
      <c r="C9" s="24" t="n">
        <v>1434603</v>
      </c>
      <c r="D9" s="24" t="n">
        <v>1536048</v>
      </c>
      <c r="E9" s="24" t="n">
        <v>1688490</v>
      </c>
      <c r="F9" s="24" t="n">
        <v>1877537</v>
      </c>
    </row>
    <row r="10">
      <c r="A10" s="17" t="inlineStr">
        <is>
          <t>(6)  PP&amp;E (Net)</t>
        </is>
      </c>
      <c r="B10" s="18" t="n">
        <v>27070</v>
      </c>
      <c r="C10" s="18" t="n">
        <v>27734</v>
      </c>
      <c r="D10" s="18" t="n">
        <v>30157</v>
      </c>
      <c r="E10" s="18" t="n">
        <v>32223</v>
      </c>
      <c r="F10" s="18" t="n">
        <v>36244</v>
      </c>
    </row>
    <row r="11">
      <c r="A11" s="17" t="inlineStr">
        <is>
          <t>(7)  Goodwill</t>
        </is>
      </c>
      <c r="B11" s="18" t="n">
        <v>50315</v>
      </c>
      <c r="C11" s="18" t="n">
        <v>51662</v>
      </c>
      <c r="D11" s="18" t="n">
        <v>52634</v>
      </c>
      <c r="E11" s="18" t="n">
        <v>52565</v>
      </c>
      <c r="F11" s="18" t="n">
        <v>52731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2072970</v>
      </c>
      <c r="C14" s="24" t="n">
        <v>2231140</v>
      </c>
      <c r="D14" s="24" t="n">
        <v>2339345</v>
      </c>
      <c r="E14" s="24" t="n">
        <v>2314324</v>
      </c>
      <c r="F14" s="24" t="n">
        <v>2547363</v>
      </c>
    </row>
    <row r="15">
      <c r="A15" s="19" t="inlineStr">
        <is>
          <t>(11) Total Assets</t>
        </is>
      </c>
      <c r="B15" s="24" t="n">
        <v>3743567</v>
      </c>
      <c r="C15" s="24" t="n">
        <v>3665743</v>
      </c>
      <c r="D15" s="24" t="n">
        <v>3875393</v>
      </c>
      <c r="E15" s="24" t="n">
        <v>4002814</v>
      </c>
      <c r="F15" s="24" t="n">
        <v>4424900</v>
      </c>
    </row>
    <row r="16" ht="6" customHeight="1"/>
    <row r="17">
      <c r="A17" s="17" t="inlineStr">
        <is>
          <t>(12) Accounts Payable</t>
        </is>
      </c>
      <c r="B17" s="18" t="n">
        <v>169172</v>
      </c>
      <c r="C17" s="18" t="n">
        <v>188692</v>
      </c>
      <c r="D17" s="18" t="n">
        <v>161960</v>
      </c>
      <c r="E17" s="18" t="n">
        <v>153153</v>
      </c>
      <c r="F17" s="18" t="n">
        <v>186658</v>
      </c>
    </row>
    <row r="18">
      <c r="A18" s="17" t="inlineStr">
        <is>
          <t>(13) Short-Term Borrowings</t>
        </is>
      </c>
      <c r="B18" s="18" t="n">
        <v>247934</v>
      </c>
      <c r="C18" s="18" t="n">
        <v>246640</v>
      </c>
      <c r="D18" s="18" t="n">
        <v>261247</v>
      </c>
      <c r="E18" s="18" t="n">
        <v>349728</v>
      </c>
      <c r="F18" s="18" t="n">
        <v>508408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3127885</v>
      </c>
      <c r="C21" s="24" t="n">
        <v>3053636</v>
      </c>
      <c r="D21" s="24" t="n">
        <v>3119470</v>
      </c>
      <c r="E21" s="24" t="n">
        <v>3214915</v>
      </c>
      <c r="F21" s="24" t="n">
        <v>3584541</v>
      </c>
    </row>
    <row r="22">
      <c r="A22" s="17" t="inlineStr">
        <is>
          <t>(17) Long-Term Debt</t>
        </is>
      </c>
      <c r="B22" s="18" t="n">
        <v>301005</v>
      </c>
      <c r="C22" s="18" t="n">
        <v>295865</v>
      </c>
      <c r="D22" s="18" t="n">
        <v>391825</v>
      </c>
      <c r="E22" s="18" t="n">
        <v>401418</v>
      </c>
      <c r="F22" s="18" t="n">
        <v>433970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3449440</v>
      </c>
      <c r="C25" s="24" t="n">
        <v>3373411</v>
      </c>
      <c r="D25" s="24" t="n">
        <v>3547515</v>
      </c>
      <c r="E25" s="24" t="n">
        <v>3658056</v>
      </c>
      <c r="F25" s="24" t="n">
        <v>4062462</v>
      </c>
    </row>
    <row r="26" ht="6" customHeight="1"/>
    <row r="27">
      <c r="A27" s="17" t="inlineStr">
        <is>
          <t>(21) Common Stock &amp; APIC</t>
        </is>
      </c>
      <c r="B27" s="18" t="n">
        <v>4105</v>
      </c>
      <c r="C27" s="18" t="n">
        <v>4105</v>
      </c>
      <c r="D27" s="18" t="n">
        <v>4105</v>
      </c>
      <c r="E27" s="18" t="n">
        <v>4105</v>
      </c>
      <c r="F27" s="18" t="n">
        <v>4105</v>
      </c>
    </row>
    <row r="28">
      <c r="A28" s="17" t="inlineStr">
        <is>
          <t>(22) Retained Earnings</t>
        </is>
      </c>
      <c r="B28" s="18" t="n">
        <v>272268</v>
      </c>
      <c r="C28" s="18" t="n">
        <v>296456</v>
      </c>
      <c r="D28" s="18" t="n">
        <v>332901</v>
      </c>
      <c r="E28" s="18" t="n">
        <v>376166</v>
      </c>
      <c r="F28" s="18" t="n">
        <v>416055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294127</v>
      </c>
      <c r="C30" s="24" t="n">
        <v>292332</v>
      </c>
      <c r="D30" s="24" t="n">
        <v>327878</v>
      </c>
      <c r="E30" s="24" t="n">
        <v>344758</v>
      </c>
      <c r="F30" s="24" t="n">
        <v>362438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740834</v>
      </c>
      <c r="C36" s="18" t="n">
        <v>567234</v>
      </c>
      <c r="D36" s="18" t="n">
        <v>624151</v>
      </c>
      <c r="E36" s="18" t="n">
        <v>469317</v>
      </c>
      <c r="F36" s="18" t="n">
        <v>343338</v>
      </c>
    </row>
    <row r="37">
      <c r="A37" s="17" t="inlineStr">
        <is>
          <t>Short-Term Investments</t>
        </is>
      </c>
      <c r="B37" s="18" t="n">
        <v>621122</v>
      </c>
      <c r="C37" s="18" t="n">
        <v>556811</v>
      </c>
      <c r="D37" s="18" t="n">
        <v>604098</v>
      </c>
      <c r="E37" s="18" t="n">
        <v>898404</v>
      </c>
      <c r="F37" s="18" t="n">
        <v>1136409</v>
      </c>
    </row>
    <row r="38">
      <c r="A38" s="28" t="inlineStr">
        <is>
          <t>Cash &amp; Short-Term Investments</t>
        </is>
      </c>
      <c r="B38" s="29" t="n">
        <v>1361956</v>
      </c>
      <c r="C38" s="29" t="n">
        <v>1124045</v>
      </c>
      <c r="D38" s="29" t="n">
        <v>1228249</v>
      </c>
      <c r="E38" s="29" t="n">
        <v>1367721</v>
      </c>
      <c r="F38" s="29" t="n">
        <v>1479747</v>
      </c>
    </row>
    <row r="39">
      <c r="A39" s="17" t="inlineStr">
        <is>
          <t>Accounts Receivable (Trade)</t>
        </is>
      </c>
      <c r="B39" s="18" t="n">
        <v>102570</v>
      </c>
      <c r="C39" s="18" t="n">
        <v>125189</v>
      </c>
      <c r="D39" s="18" t="n">
        <v>107363</v>
      </c>
      <c r="E39" s="18" t="n">
        <v>101223</v>
      </c>
      <c r="F39" s="18" t="n">
        <v>111599</v>
      </c>
    </row>
    <row r="40">
      <c r="A40" s="17" t="inlineStr">
        <is>
          <t>Other Receivables</t>
        </is>
      </c>
      <c r="B40" s="18" t="n">
        <v>206071</v>
      </c>
      <c r="C40" s="18" t="n">
        <v>185369</v>
      </c>
      <c r="D40" s="18" t="n">
        <v>200436</v>
      </c>
      <c r="E40" s="18" t="n">
        <v>219546</v>
      </c>
      <c r="F40" s="18" t="n">
        <v>286191</v>
      </c>
    </row>
    <row r="41">
      <c r="A41" s="28" t="inlineStr">
        <is>
          <t>Net Receivables (Total)</t>
        </is>
      </c>
      <c r="B41" s="29" t="n">
        <v>308641</v>
      </c>
      <c r="C41" s="29" t="n">
        <v>310558</v>
      </c>
      <c r="D41" s="29" t="n">
        <v>307799</v>
      </c>
      <c r="E41" s="29" t="n">
        <v>320769</v>
      </c>
      <c r="F41" s="29" t="n">
        <v>397790</v>
      </c>
    </row>
    <row r="42">
      <c r="A42" s="17" t="inlineStr">
        <is>
          <t>Inventory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v>0</v>
      </c>
    </row>
    <row r="45">
      <c r="A45" s="26" t="inlineStr">
        <is>
          <t>Total Current Assets</t>
        </is>
      </c>
      <c r="B45" s="27" t="n">
        <v>1670597</v>
      </c>
      <c r="C45" s="27" t="n">
        <v>1434603</v>
      </c>
      <c r="D45" s="27" t="n">
        <v>1536048</v>
      </c>
      <c r="E45" s="27" t="n">
        <v>1688490</v>
      </c>
      <c r="F45" s="27" t="n">
        <v>1877537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27070</v>
      </c>
      <c r="C47" s="18" t="n">
        <v>27734</v>
      </c>
      <c r="D47" s="18" t="n">
        <v>30157</v>
      </c>
      <c r="E47" s="18" t="n">
        <v>32223</v>
      </c>
      <c r="F47" s="18" t="n">
        <v>36244</v>
      </c>
    </row>
    <row r="48">
      <c r="A48" s="17" t="inlineStr">
        <is>
          <t>Goodwill</t>
        </is>
      </c>
      <c r="B48" s="18" t="n">
        <v>50315</v>
      </c>
      <c r="C48" s="18" t="n">
        <v>51662</v>
      </c>
      <c r="D48" s="18" t="n">
        <v>52634</v>
      </c>
      <c r="E48" s="18" t="n">
        <v>52565</v>
      </c>
      <c r="F48" s="18" t="n">
        <v>52731</v>
      </c>
    </row>
    <row r="49">
      <c r="A49" s="17" t="inlineStr">
        <is>
          <t>Intangible Assets</t>
        </is>
      </c>
      <c r="B49" s="18" t="n">
        <v>6376</v>
      </c>
      <c r="C49" s="18" t="n">
        <v>9197</v>
      </c>
      <c r="D49" s="18" t="n">
        <v>11747</v>
      </c>
      <c r="E49" s="18" t="n">
        <v>11995</v>
      </c>
      <c r="F49" s="18" t="n">
        <v>11727</v>
      </c>
    </row>
    <row r="50">
      <c r="A50" s="17" t="inlineStr">
        <is>
          <t>Long-Term Investments</t>
        </is>
      </c>
      <c r="B50" s="18" t="n">
        <v>1425035</v>
      </c>
      <c r="C50" s="18" t="n">
        <v>1541226</v>
      </c>
      <c r="D50" s="18" t="n">
        <v>1671134</v>
      </c>
      <c r="E50" s="18" t="n">
        <v>1598111</v>
      </c>
      <c r="F50" s="18" t="n">
        <v>1737798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2046157</v>
      </c>
      <c r="C52" s="18" t="n">
        <v>2098037</v>
      </c>
      <c r="D52" s="18" t="n">
        <v>2275232</v>
      </c>
      <c r="E52" s="18" t="n">
        <v>2496515</v>
      </c>
      <c r="F52" s="18" t="n">
        <v>2874207</v>
      </c>
    </row>
    <row r="53">
      <c r="A53" s="17" t="inlineStr">
        <is>
          <t>Other Non-Current Assets</t>
        </is>
      </c>
      <c r="B53" s="18" t="n">
        <v>564174</v>
      </c>
      <c r="C53" s="18" t="n">
        <v>601321</v>
      </c>
      <c r="D53" s="18" t="n">
        <v>573673</v>
      </c>
      <c r="E53" s="18" t="n">
        <v>619430</v>
      </c>
      <c r="F53" s="18" t="n">
        <v>708863</v>
      </c>
    </row>
    <row r="54">
      <c r="A54" s="26" t="inlineStr">
        <is>
          <t>Total Non-Current Assets</t>
        </is>
      </c>
      <c r="B54" s="27" t="n">
        <v>2072970</v>
      </c>
      <c r="C54" s="27" t="n">
        <v>2231140</v>
      </c>
      <c r="D54" s="27" t="n">
        <v>2339345</v>
      </c>
      <c r="E54" s="27" t="n">
        <v>2314324</v>
      </c>
      <c r="F54" s="27" t="n">
        <v>2547363</v>
      </c>
    </row>
    <row r="55">
      <c r="A55" s="13" t="inlineStr">
        <is>
          <t>TOTAL ASSETS</t>
        </is>
      </c>
      <c r="B55" s="30" t="n">
        <v>3743567</v>
      </c>
      <c r="C55" s="30" t="n">
        <v>3665743</v>
      </c>
      <c r="D55" s="30" t="n">
        <v>3875393</v>
      </c>
      <c r="E55" s="30" t="n">
        <v>4002814</v>
      </c>
      <c r="F55" s="30" t="n">
        <v>4424900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169172</v>
      </c>
      <c r="C57" s="18" t="n">
        <v>188692</v>
      </c>
      <c r="D57" s="18" t="n">
        <v>161960</v>
      </c>
      <c r="E57" s="18" t="n">
        <v>153153</v>
      </c>
      <c r="F57" s="18" t="n">
        <v>186658</v>
      </c>
    </row>
    <row r="58">
      <c r="A58" s="17" t="inlineStr">
        <is>
          <t>Short-Term Debt</t>
        </is>
      </c>
      <c r="B58" s="18" t="n">
        <v>247934</v>
      </c>
      <c r="C58" s="18" t="n">
        <v>246640</v>
      </c>
      <c r="D58" s="18" t="n">
        <v>261247</v>
      </c>
      <c r="E58" s="18" t="n">
        <v>349728</v>
      </c>
      <c r="F58" s="18" t="n">
        <v>508408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2576880</v>
      </c>
      <c r="C61" s="18" t="n">
        <v>2467014</v>
      </c>
      <c r="D61" s="18" t="n">
        <v>2540269</v>
      </c>
      <c r="E61" s="18" t="n">
        <v>2559254</v>
      </c>
      <c r="F61" s="18" t="n">
        <v>2729010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3127885</v>
      </c>
      <c r="C63" s="27" t="n">
        <v>3053636</v>
      </c>
      <c r="D63" s="27" t="n">
        <v>3119470</v>
      </c>
      <c r="E63" s="27" t="n">
        <v>3214915</v>
      </c>
      <c r="F63" s="27" t="n">
        <v>3584541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301005</v>
      </c>
      <c r="C65" s="18" t="n">
        <v>295865</v>
      </c>
      <c r="D65" s="18" t="n">
        <v>391825</v>
      </c>
      <c r="E65" s="18" t="n">
        <v>401418</v>
      </c>
      <c r="F65" s="18" t="n">
        <v>433970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20550</v>
      </c>
      <c r="C69" s="18" t="n">
        <v>23910</v>
      </c>
      <c r="D69" s="18" t="n">
        <v>36220</v>
      </c>
      <c r="E69" s="18" t="n">
        <v>41723</v>
      </c>
      <c r="F69" s="18" t="n">
        <v>43951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3449440</v>
      </c>
      <c r="C71" s="30" t="n">
        <v>3373411</v>
      </c>
      <c r="D71" s="30" t="n">
        <v>3547515</v>
      </c>
      <c r="E71" s="30" t="n">
        <v>3658056</v>
      </c>
      <c r="F71" s="30" t="n">
        <v>4062462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4105</v>
      </c>
      <c r="C73" s="18" t="n">
        <v>4105</v>
      </c>
      <c r="D73" s="18" t="n">
        <v>4105</v>
      </c>
      <c r="E73" s="18" t="n">
        <v>4105</v>
      </c>
      <c r="F73" s="18" t="n">
        <v>4105</v>
      </c>
    </row>
    <row r="74">
      <c r="A74" s="17" t="inlineStr">
        <is>
          <t>Retained Earnings</t>
        </is>
      </c>
      <c r="B74" s="18" t="n">
        <v>272268</v>
      </c>
      <c r="C74" s="18" t="n">
        <v>296456</v>
      </c>
      <c r="D74" s="18" t="n">
        <v>332901</v>
      </c>
      <c r="E74" s="18" t="n">
        <v>376166</v>
      </c>
      <c r="F74" s="18" t="n">
        <v>416055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294127</v>
      </c>
      <c r="C78" s="27" t="n">
        <v>292332</v>
      </c>
      <c r="D78" s="27" t="n">
        <v>327878</v>
      </c>
      <c r="E78" s="27" t="n">
        <v>344758</v>
      </c>
      <c r="F78" s="27" t="n">
        <v>362438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JPM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78084</v>
      </c>
      <c r="C5" s="24" t="n">
        <v>107119</v>
      </c>
      <c r="D5" s="24" t="n">
        <v>12974</v>
      </c>
      <c r="E5" s="24" t="n">
        <v>-42012</v>
      </c>
      <c r="F5" s="24" t="n">
        <v>100867</v>
      </c>
    </row>
    <row r="6">
      <c r="A6" s="17" t="inlineStr">
        <is>
          <t>(2)  Capital Expenditures</t>
        </is>
      </c>
      <c r="B6" s="18" t="n">
        <v>0</v>
      </c>
      <c r="C6" s="18" t="n">
        <v>0</v>
      </c>
      <c r="D6" s="18" t="n">
        <v>0</v>
      </c>
      <c r="E6" s="18" t="n">
        <v>0</v>
      </c>
      <c r="F6" s="18" t="n">
        <v>0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35250</v>
      </c>
      <c r="C9" s="18" t="n">
        <v>23902</v>
      </c>
      <c r="D9" s="18" t="n">
        <v>8603</v>
      </c>
      <c r="E9" s="18" t="n">
        <v>20749</v>
      </c>
      <c r="F9" s="18" t="n">
        <v>166996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7350</v>
      </c>
      <c r="C11" s="18" t="n">
        <v>0</v>
      </c>
      <c r="D11" s="18" t="n">
        <v>0</v>
      </c>
      <c r="E11" s="18" t="n">
        <v>2500</v>
      </c>
      <c r="F11" s="18" t="n">
        <v>3000</v>
      </c>
    </row>
    <row r="12">
      <c r="A12" s="17" t="inlineStr">
        <is>
          <t>(7)  Dividends Paid</t>
        </is>
      </c>
      <c r="B12" s="18" t="n">
        <v>-12858</v>
      </c>
      <c r="C12" s="18" t="n">
        <v>-13562</v>
      </c>
      <c r="D12" s="18" t="n">
        <v>-13463</v>
      </c>
      <c r="E12" s="18" t="n">
        <v>-14783</v>
      </c>
      <c r="F12" s="18" t="n">
        <v>-16625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78084</v>
      </c>
      <c r="C15" s="24" t="n">
        <v>107119</v>
      </c>
      <c r="D15" s="24" t="n">
        <v>12974</v>
      </c>
      <c r="E15" s="24" t="n">
        <v>-42012</v>
      </c>
      <c r="F15" s="24" t="n">
        <v>100867</v>
      </c>
    </row>
    <row r="16">
      <c r="A16" s="15" t="inlineStr">
        <is>
          <t xml:space="preserve">     Net Change in Cash</t>
        </is>
      </c>
      <c r="B16" s="16" t="n">
        <v>213225</v>
      </c>
      <c r="C16" s="16" t="n">
        <v>-173600</v>
      </c>
      <c r="D16" s="16" t="n">
        <v>56917</v>
      </c>
      <c r="E16" s="16" t="n">
        <v>-154834</v>
      </c>
      <c r="F16" s="16" t="n">
        <v>-125979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48334</v>
      </c>
      <c r="C21" s="18" t="n">
        <v>37676</v>
      </c>
      <c r="D21" s="18" t="n">
        <v>49552</v>
      </c>
      <c r="E21" s="18" t="n">
        <v>58471</v>
      </c>
      <c r="F21" s="18" t="n">
        <v>56780</v>
      </c>
    </row>
    <row r="22">
      <c r="A22" s="17" t="inlineStr">
        <is>
          <t>Depreciation &amp; Amortisation</t>
        </is>
      </c>
      <c r="B22" s="18" t="n">
        <v>7932</v>
      </c>
      <c r="C22" s="18" t="n">
        <v>7051</v>
      </c>
      <c r="D22" s="18" t="n">
        <v>7512</v>
      </c>
      <c r="E22" s="18" t="n">
        <v>7938</v>
      </c>
      <c r="F22" s="18" t="n">
        <v>8821</v>
      </c>
    </row>
    <row r="23">
      <c r="A23" s="17" t="inlineStr">
        <is>
          <t>Deferred Income Tax</t>
        </is>
      </c>
      <c r="B23" s="18" t="n">
        <v>3748</v>
      </c>
      <c r="C23" s="18" t="n">
        <v>-2738</v>
      </c>
      <c r="D23" s="18" t="n">
        <v>-4534</v>
      </c>
      <c r="E23" s="18" t="n">
        <v>2004</v>
      </c>
      <c r="F23" s="18" t="n">
        <v>5611</v>
      </c>
    </row>
    <row r="24">
      <c r="A24" s="17" t="inlineStr">
        <is>
          <t>Stock-Based Compensation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</row>
    <row r="25">
      <c r="A25" s="17" t="inlineStr">
        <is>
          <t>Change in Working Capital</t>
        </is>
      </c>
      <c r="B25" s="18" t="n">
        <v>35901</v>
      </c>
      <c r="C25" s="18" t="n">
        <v>32686</v>
      </c>
      <c r="D25" s="18" t="n">
        <v>-56168</v>
      </c>
      <c r="E25" s="18" t="n">
        <v>-114220</v>
      </c>
      <c r="F25" s="18" t="n">
        <v>13866</v>
      </c>
    </row>
    <row r="26">
      <c r="A26" s="21" t="inlineStr">
        <is>
          <t xml:space="preserve">  — Accounts Receivable</t>
        </is>
      </c>
      <c r="B26" s="18" t="n">
        <v>-12401</v>
      </c>
      <c r="C26" s="18" t="n">
        <v>-22970</v>
      </c>
      <c r="D26" s="18" t="n">
        <v>19928</v>
      </c>
      <c r="E26" s="18" t="n">
        <v>5735</v>
      </c>
      <c r="F26" s="18" t="n">
        <v>-11514</v>
      </c>
    </row>
    <row r="27">
      <c r="A27" s="21" t="inlineStr">
        <is>
          <t xml:space="preserve">  — Inventory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43162</v>
      </c>
      <c r="C28" s="18" t="n">
        <v>58614</v>
      </c>
      <c r="D28" s="18" t="n">
        <v>-25388</v>
      </c>
      <c r="E28" s="18" t="n">
        <v>-90</v>
      </c>
      <c r="F28" s="18" t="n">
        <v>5270</v>
      </c>
    </row>
    <row r="29">
      <c r="A29" s="21" t="inlineStr">
        <is>
          <t xml:space="preserve">  — Other Working Capital</t>
        </is>
      </c>
      <c r="B29" s="18" t="n">
        <v>5140</v>
      </c>
      <c r="C29" s="18" t="n">
        <v>-2958</v>
      </c>
      <c r="D29" s="18" t="n">
        <v>-50708</v>
      </c>
      <c r="E29" s="18" t="n">
        <v>-119865</v>
      </c>
      <c r="F29" s="18" t="n">
        <v>20110</v>
      </c>
    </row>
    <row r="30">
      <c r="A30" s="17" t="inlineStr">
        <is>
          <t>Other Non-Cash Items</t>
        </is>
      </c>
      <c r="B30" s="18" t="n">
        <v>-17831</v>
      </c>
      <c r="C30" s="18" t="n">
        <v>32444</v>
      </c>
      <c r="D30" s="18" t="n">
        <v>16612</v>
      </c>
      <c r="E30" s="18" t="n">
        <v>3795</v>
      </c>
      <c r="F30" s="18" t="n">
        <v>15789</v>
      </c>
    </row>
    <row r="31">
      <c r="A31" s="26" t="inlineStr">
        <is>
          <t>Net Cash from Operations (CFO)</t>
        </is>
      </c>
      <c r="B31" s="27" t="n">
        <v>78084</v>
      </c>
      <c r="C31" s="27" t="n">
        <v>107119</v>
      </c>
      <c r="D31" s="27" t="n">
        <v>12974</v>
      </c>
      <c r="E31" s="27" t="n">
        <v>-42012</v>
      </c>
      <c r="F31" s="27" t="n">
        <v>100867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0</v>
      </c>
      <c r="C33" s="18" t="n">
        <v>0</v>
      </c>
      <c r="D33" s="18" t="n">
        <v>0</v>
      </c>
      <c r="E33" s="18" t="n">
        <v>0</v>
      </c>
      <c r="F33" s="18" t="n">
        <v>0</v>
      </c>
    </row>
    <row r="34">
      <c r="A34" s="21" t="inlineStr">
        <is>
          <t xml:space="preserve">  (Alt: Invest. in PP&amp;E)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Acquisitions (Net)</t>
        </is>
      </c>
      <c r="B35" s="18" t="n">
        <v>0</v>
      </c>
      <c r="C35" s="18" t="n">
        <v>0</v>
      </c>
      <c r="D35" s="18" t="n">
        <v>-9920</v>
      </c>
      <c r="E35" s="18" t="n">
        <v>-2362</v>
      </c>
      <c r="F35" s="18" t="n">
        <v>0</v>
      </c>
    </row>
    <row r="36">
      <c r="A36" s="17" t="inlineStr">
        <is>
          <t>Purchases of Investments</t>
        </is>
      </c>
      <c r="B36" s="18" t="n">
        <v>-360541</v>
      </c>
      <c r="C36" s="18" t="n">
        <v>-159934</v>
      </c>
      <c r="D36" s="18" t="n">
        <v>-119640</v>
      </c>
      <c r="E36" s="18" t="n">
        <v>-357421</v>
      </c>
      <c r="F36" s="18" t="n">
        <v>-578577</v>
      </c>
    </row>
    <row r="37">
      <c r="A37" s="17" t="inlineStr">
        <is>
          <t>Sales / Maturities of Investments</t>
        </is>
      </c>
      <c r="B37" s="18" t="n">
        <v>263720</v>
      </c>
      <c r="C37" s="18" t="n">
        <v>172401</v>
      </c>
      <c r="D37" s="18" t="n">
        <v>215234</v>
      </c>
      <c r="E37" s="18" t="n">
        <v>242487</v>
      </c>
      <c r="F37" s="18" t="n">
        <v>233500</v>
      </c>
    </row>
    <row r="38">
      <c r="A38" s="17" t="inlineStr">
        <is>
          <t>Other Investing Activities</t>
        </is>
      </c>
      <c r="B38" s="18" t="n">
        <v>-32523</v>
      </c>
      <c r="C38" s="18" t="n">
        <v>-150286</v>
      </c>
      <c r="D38" s="18" t="n">
        <v>-18031</v>
      </c>
      <c r="E38" s="18" t="n">
        <v>-46107</v>
      </c>
      <c r="F38" s="18" t="n">
        <v>-169137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35250</v>
      </c>
      <c r="C41" s="18" t="n">
        <v>23902</v>
      </c>
      <c r="D41" s="18" t="n">
        <v>8603</v>
      </c>
      <c r="E41" s="18" t="n">
        <v>20749</v>
      </c>
      <c r="F41" s="18" t="n">
        <v>166996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7350</v>
      </c>
      <c r="C43" s="18" t="n">
        <v>0</v>
      </c>
      <c r="D43" s="18" t="n">
        <v>0</v>
      </c>
      <c r="E43" s="18" t="n">
        <v>2500</v>
      </c>
      <c r="F43" s="18" t="n">
        <v>3000</v>
      </c>
    </row>
    <row r="44">
      <c r="A44" s="17" t="inlineStr">
        <is>
          <t>Common Stock Repurchased (Buybacks)</t>
        </is>
      </c>
      <c r="B44" s="18" t="n">
        <v>-20983</v>
      </c>
      <c r="C44" s="18" t="n">
        <v>-10596</v>
      </c>
      <c r="D44" s="18" t="n">
        <v>-9824</v>
      </c>
      <c r="E44" s="18" t="n">
        <v>-28680</v>
      </c>
      <c r="F44" s="18" t="n">
        <v>-34591</v>
      </c>
    </row>
    <row r="45">
      <c r="A45" s="17" t="inlineStr">
        <is>
          <t>Dividends Paid</t>
        </is>
      </c>
      <c r="B45" s="18" t="n">
        <v>-12858</v>
      </c>
      <c r="C45" s="18" t="n">
        <v>-13562</v>
      </c>
      <c r="D45" s="18" t="n">
        <v>-13463</v>
      </c>
      <c r="E45" s="18" t="n">
        <v>-14783</v>
      </c>
      <c r="F45" s="18" t="n">
        <v>-16625</v>
      </c>
    </row>
    <row r="46">
      <c r="A46" s="17" t="inlineStr">
        <is>
          <t>Other Financing Activities</t>
        </is>
      </c>
      <c r="B46" s="18" t="n">
        <v>267234</v>
      </c>
      <c r="C46" s="18" t="n">
        <v>-126001</v>
      </c>
      <c r="D46" s="18" t="n">
        <v>-10887</v>
      </c>
      <c r="E46" s="18" t="n">
        <v>83661</v>
      </c>
      <c r="F46" s="18" t="n">
        <v>150753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-11508</v>
      </c>
      <c r="C49" s="18" t="n">
        <v>-16643</v>
      </c>
      <c r="D49" s="18" t="n">
        <v>1871</v>
      </c>
      <c r="E49" s="18" t="n">
        <v>-12866</v>
      </c>
      <c r="F49" s="18" t="n">
        <v>17835</v>
      </c>
    </row>
    <row r="50">
      <c r="A50" s="15" t="inlineStr">
        <is>
          <t>Net Change in Cash</t>
        </is>
      </c>
      <c r="B50" s="16" t="n">
        <v>213225</v>
      </c>
      <c r="C50" s="16" t="n">
        <v>-173600</v>
      </c>
      <c r="D50" s="16" t="n">
        <v>56917</v>
      </c>
      <c r="E50" s="16" t="n">
        <v>-154834</v>
      </c>
      <c r="F50" s="16" t="n">
        <v>-125979</v>
      </c>
    </row>
    <row r="51">
      <c r="A51" s="17" t="inlineStr">
        <is>
          <t>Cash at Beginning of Period</t>
        </is>
      </c>
      <c r="B51" s="18" t="n">
        <v>527609</v>
      </c>
      <c r="C51" s="18" t="n">
        <v>740834</v>
      </c>
      <c r="D51" s="18" t="n">
        <v>567234</v>
      </c>
      <c r="E51" s="18" t="n">
        <v>624151</v>
      </c>
      <c r="F51" s="18" t="n">
        <v>469317</v>
      </c>
    </row>
    <row r="52">
      <c r="A52" s="26" t="inlineStr">
        <is>
          <t>Cash at End of Period</t>
        </is>
      </c>
      <c r="B52" s="27" t="n">
        <v>740834</v>
      </c>
      <c r="C52" s="27" t="n">
        <v>567234</v>
      </c>
      <c r="D52" s="27" t="n">
        <v>624151</v>
      </c>
      <c r="E52" s="27" t="n">
        <v>469317</v>
      </c>
      <c r="F52" s="27" t="n">
        <v>343338</v>
      </c>
    </row>
    <row r="53">
      <c r="A53" s="26" t="inlineStr">
        <is>
          <t>Free Cash Flow</t>
        </is>
      </c>
      <c r="B53" s="27" t="n">
        <v>78084</v>
      </c>
      <c r="C53" s="27" t="n">
        <v>107119</v>
      </c>
      <c r="D53" s="27" t="n">
        <v>12974</v>
      </c>
      <c r="E53" s="27" t="n">
        <v>-42012</v>
      </c>
      <c r="F53" s="27" t="n">
        <v>100867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JPM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3026.6</v>
      </c>
      <c r="C61" s="18" t="n">
        <v>2970</v>
      </c>
      <c r="D61" s="18" t="n">
        <v>2943.1</v>
      </c>
      <c r="E61" s="18" t="n">
        <v>2879</v>
      </c>
      <c r="F61" s="18" t="n">
        <v>2793.7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  <row r="82" ht="18" customHeight="1">
      <c r="A82" s="5" t="inlineStr">
        <is>
          <t>BANK CREDIT QUALITY  (source: SEC EDGAR 10-K XBRL)</t>
        </is>
      </c>
    </row>
    <row r="83" ht="18" customHeight="1">
      <c r="A83" s="34" t="inlineStr">
        <is>
          <t>NCO Rate = Net Charge-offs / Avg Gross Loans  |  Coverage = Allowance / Net Charge-offs  |  Prov/NII = Provision / Net Interest Income</t>
        </is>
      </c>
    </row>
    <row r="84">
      <c r="A84" s="17" t="inlineStr">
        <is>
          <t>Net Charge-offs ($B)</t>
        </is>
      </c>
      <c r="B84" s="18" t="n">
        <v>2.865</v>
      </c>
      <c r="C84" s="18" t="n">
        <v>2.853</v>
      </c>
      <c r="D84" s="18" t="n">
        <v>6.209000000000001</v>
      </c>
      <c r="E84" s="18" t="n">
        <v>8.638</v>
      </c>
      <c r="F84" s="18" t="n">
        <v>9.849</v>
      </c>
    </row>
    <row r="85">
      <c r="A85" s="17" t="inlineStr">
        <is>
          <t>Gross Loans ($B)</t>
        </is>
      </c>
      <c r="B85" s="18" t="n">
        <v>1010.206</v>
      </c>
      <c r="C85" s="18" t="n">
        <v>1089.598</v>
      </c>
      <c r="D85" s="18" t="n">
        <v>1280.87</v>
      </c>
      <c r="E85" s="18" t="n">
        <v>1299.59</v>
      </c>
      <c r="F85" s="18" t="n">
        <v>1408.905</v>
      </c>
    </row>
    <row r="86">
      <c r="A86" s="17" t="inlineStr">
        <is>
          <t>NCO Rate %</t>
        </is>
      </c>
      <c r="B86" s="41" t="n">
        <v>0.002907578580736302</v>
      </c>
      <c r="C86" s="41" t="n">
        <v>0.0027173964808144</v>
      </c>
      <c r="D86" s="41" t="n">
        <v>0.005238627984009908</v>
      </c>
      <c r="E86" s="41" t="n">
        <v>0.00669493036125342</v>
      </c>
      <c r="F86" s="41" t="n">
        <v>0.007272673569639228</v>
      </c>
    </row>
    <row r="87">
      <c r="A87" s="17" t="inlineStr">
        <is>
          <t>Allowance for Credit Losses ($B)</t>
        </is>
      </c>
      <c r="B87" s="18" t="n">
        <v>16.386</v>
      </c>
      <c r="C87" s="18" t="n">
        <v>19.726</v>
      </c>
      <c r="D87" s="18" t="n">
        <v>22.42</v>
      </c>
      <c r="E87" s="18" t="n">
        <v>24.345</v>
      </c>
      <c r="F87" s="18" t="n">
        <v>25.765</v>
      </c>
    </row>
    <row r="88">
      <c r="A88" s="17" t="inlineStr">
        <is>
          <t>Coverage Ratio (Allowance / NCO)</t>
        </is>
      </c>
      <c r="B88" s="42" t="n">
        <v>5.719371727748691</v>
      </c>
      <c r="C88" s="42" t="n">
        <v>6.914125481948826</v>
      </c>
      <c r="D88" s="42" t="n">
        <v>3.610887421484941</v>
      </c>
      <c r="E88" s="42" t="n">
        <v>2.818360731650845</v>
      </c>
      <c r="F88" s="42" t="n">
        <v>2.616001624530409</v>
      </c>
    </row>
    <row r="89">
      <c r="A89" s="17" t="inlineStr">
        <is>
          <t>Provision for Credit Losses ($B)</t>
        </is>
      </c>
      <c r="B89" s="18" t="n">
        <v>-9.071</v>
      </c>
      <c r="C89" s="18" t="n">
        <v>6.189</v>
      </c>
      <c r="D89" s="18" t="n">
        <v>9.468</v>
      </c>
      <c r="E89" s="18" t="n">
        <v>10.494</v>
      </c>
      <c r="F89" s="18" t="n">
        <v>11.264</v>
      </c>
    </row>
    <row r="90">
      <c r="A90" s="17" t="inlineStr">
        <is>
          <t>Provision / Net Interest Income %</t>
        </is>
      </c>
      <c r="B90" s="41" t="n">
        <v>-0.1734052111410602</v>
      </c>
      <c r="C90" s="41" t="n">
        <v>0.09277469644730925</v>
      </c>
      <c r="D90" s="41" t="n">
        <v>0.1060638309789732</v>
      </c>
      <c r="E90" s="41" t="n">
        <v>0.1133469427432682</v>
      </c>
      <c r="F90" s="41" t="n">
        <v>0.1180180840920759</v>
      </c>
    </row>
  </sheetData>
  <mergeCells count="20">
    <mergeCell ref="A16:F16"/>
    <mergeCell ref="A54:F54"/>
    <mergeCell ref="A66:F66"/>
    <mergeCell ref="A80:F80"/>
    <mergeCell ref="A74:F74"/>
    <mergeCell ref="A26:F26"/>
    <mergeCell ref="A2:F2"/>
    <mergeCell ref="A47:F47"/>
    <mergeCell ref="A42:F42"/>
    <mergeCell ref="A5:F5"/>
    <mergeCell ref="A17:F17"/>
    <mergeCell ref="A35:F35"/>
    <mergeCell ref="A4:F4"/>
    <mergeCell ref="A83:F83"/>
    <mergeCell ref="A77:F77"/>
    <mergeCell ref="A82:F82"/>
    <mergeCell ref="A60:F60"/>
    <mergeCell ref="A1:F1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JPM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-3134</v>
      </c>
      <c r="C5" s="18" t="n">
        <v>-3037</v>
      </c>
      <c r="D5" s="18" t="n">
        <v>70148</v>
      </c>
      <c r="E5" s="18" t="n">
        <v>55017</v>
      </c>
      <c r="F5" s="18" t="n">
        <v>51749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3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JPM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4" t="n"/>
      <c r="B3" s="44" t="n"/>
      <c r="C3" s="44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5" t="n">
        <v>820948.708247</v>
      </c>
      <c r="C5" s="46" t="inlineStr">
        <is>
          <t>FMP marketCap  |  price $306.38</t>
        </is>
      </c>
    </row>
    <row r="6">
      <c r="A6" s="17" t="inlineStr">
        <is>
          <t>Debt  (gross book value, $mm)</t>
        </is>
      </c>
      <c r="B6" s="45" t="n">
        <v>942378</v>
      </c>
      <c r="C6" s="46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7" t="inlineStr"/>
    </row>
    <row r="8">
      <c r="A8" s="17" t="inlineStr">
        <is>
          <t>Equity weight  (E / V)</t>
        </is>
      </c>
      <c r="B8" s="48">
        <f>IFERROR(B5/B7,1)</f>
        <v/>
      </c>
      <c r="C8" s="46" t="inlineStr">
        <is>
          <t>Weight applied to Re in WACC</t>
        </is>
      </c>
    </row>
    <row r="9">
      <c r="A9" s="17" t="inlineStr">
        <is>
          <t>Debt weight  (D / V)</t>
        </is>
      </c>
      <c r="B9" s="48">
        <f>IFERROR(B6/B7,0)</f>
        <v/>
      </c>
      <c r="C9" s="46" t="inlineStr">
        <is>
          <t>Weight applied to after-tax Rd in WACC</t>
        </is>
      </c>
    </row>
    <row r="10">
      <c r="A10" s="44" t="n"/>
      <c r="B10" s="44" t="n"/>
      <c r="C10" s="44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8" t="n">
        <v>0.0446</v>
      </c>
      <c r="C12" s="46" t="inlineStr">
        <is>
          <t>FRED series DGS10  |  latest: 2026-06-18</t>
        </is>
      </c>
    </row>
    <row r="13">
      <c r="A13" s="49" t="inlineStr">
        <is>
          <t>► Selected Rf  (override if needed)</t>
        </is>
      </c>
      <c r="B13" s="50" t="n">
        <v>0.0446</v>
      </c>
      <c r="C13" s="51" t="inlineStr">
        <is>
          <t>Pre-filled with live FRED DGS10 rate</t>
        </is>
      </c>
    </row>
    <row r="14">
      <c r="A14" s="44" t="n"/>
      <c r="B14" s="44" t="n"/>
      <c r="C14" s="44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2" t="n">
        <v>1.023</v>
      </c>
      <c r="C16" s="46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2" t="n">
        <v>1.015</v>
      </c>
      <c r="C17" s="46" t="inlineStr">
        <is>
          <t>Mean-reversion toward market beta of 1.0</t>
        </is>
      </c>
    </row>
    <row r="18">
      <c r="A18" s="17" t="inlineStr">
        <is>
          <t>Damodaran industry unlevered  (Banks - Diversified)</t>
        </is>
      </c>
      <c r="B18" s="52" t="n">
        <v>1</v>
      </c>
      <c r="C18" s="46" t="inlineStr">
        <is>
          <t>Damodaran.com — betas by industry, Jan 2025 US</t>
        </is>
      </c>
    </row>
    <row r="19">
      <c r="A19" s="17" t="inlineStr">
        <is>
          <t>Damodaran re-levered  (D/E = 1.15x,  t = 21.4%)</t>
        </is>
      </c>
      <c r="B19" s="52" t="n">
        <v>1.902</v>
      </c>
      <c r="C19" s="46">
        <f> unlevered × (1 + (1 − t) × D/E)</f>
        <v/>
      </c>
    </row>
    <row r="20">
      <c r="A20" s="49" t="inlineStr">
        <is>
          <t>► Selected beta  (user override)</t>
        </is>
      </c>
      <c r="B20" s="53" t="n">
        <v>1.313</v>
      </c>
      <c r="C20" s="51" t="inlineStr">
        <is>
          <t>Default = average of 3 source(s) above — override freely</t>
        </is>
      </c>
    </row>
    <row r="21">
      <c r="A21" s="44" t="n"/>
      <c r="B21" s="44" t="n"/>
      <c r="C21" s="44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8" t="n">
        <v>0.0472</v>
      </c>
      <c r="C23" s="46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8" t="n">
        <v>0.042</v>
      </c>
      <c r="C24" s="46" t="inlineStr">
        <is>
          <t>Arithmetic average excess return over T-bill</t>
        </is>
      </c>
    </row>
    <row r="25">
      <c r="A25" s="49" t="inlineStr">
        <is>
          <t>► Selected ERP  (user override)</t>
        </is>
      </c>
      <c r="B25" s="50" t="n">
        <v>0.0446</v>
      </c>
      <c r="C25" s="51" t="inlineStr">
        <is>
          <t>Default = average of Damodaran implied &amp; historical avg — override freely</t>
        </is>
      </c>
    </row>
    <row r="26">
      <c r="A26" s="44" t="n"/>
      <c r="B26" s="44" t="n"/>
      <c r="C26" s="44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4">
        <f>B13+B20*B25</f>
        <v/>
      </c>
      <c r="C28" s="47" t="inlineStr">
        <is>
          <t>CAPM formula — references selected inputs above</t>
        </is>
      </c>
    </row>
    <row r="29">
      <c r="A29" s="44" t="n"/>
      <c r="B29" s="44" t="n"/>
      <c r="C29" s="44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5" t="inlineStr">
        <is>
          <t>A+</t>
        </is>
      </c>
      <c r="C31" s="46" t="inlineStr">
        <is>
          <t>User input</t>
        </is>
      </c>
    </row>
    <row r="32">
      <c r="A32" s="17" t="inlineStr">
        <is>
          <t>FRED matched yield  (rating-tier index)</t>
        </is>
      </c>
      <c r="B32" s="48" t="n">
        <v>0.0504</v>
      </c>
      <c r="C32" s="46" t="inlineStr">
        <is>
          <t>FRED BAMLC0A3CAEY — A</t>
        </is>
      </c>
    </row>
    <row r="33">
      <c r="A33" s="17" t="inlineStr">
        <is>
          <t>Interest Coverage Ratio  (EBIT / Gross Int Exp)</t>
        </is>
      </c>
      <c r="B33" s="52" t="n">
        <v>0.7</v>
      </c>
      <c r="C33" s="46" t="inlineStr">
        <is>
          <t>EBIT $72595mm  /  Int Exp $97898mm</t>
        </is>
      </c>
    </row>
    <row r="34">
      <c r="A34" s="17" t="inlineStr">
        <is>
          <t>Synthetic rating  (Damodaran ICR table)</t>
        </is>
      </c>
      <c r="B34" s="55" t="inlineStr">
        <is>
          <t>CCC</t>
        </is>
      </c>
      <c r="C34" s="46" t="inlineStr">
        <is>
          <t>ICR 0.7x  →  CCC</t>
        </is>
      </c>
    </row>
    <row r="35">
      <c r="A35" s="17" t="inlineStr">
        <is>
          <t>Synthetic Rd  (Rf + Damodaran default spread)</t>
        </is>
      </c>
      <c r="B35" s="48" t="n">
        <v>0.1346</v>
      </c>
      <c r="C35" s="46" t="inlineStr">
        <is>
          <t>Rf 4.46% + spread 9.00%</t>
        </is>
      </c>
    </row>
    <row r="36">
      <c r="A36" s="17" t="inlineStr">
        <is>
          <t>Accounting Rd  (Gross int exp / Avg gross debt)</t>
        </is>
      </c>
      <c r="B36" s="48" t="n">
        <v>0.1156145410398672</v>
      </c>
      <c r="C36" s="46" t="inlineStr">
        <is>
          <t>Cross-check only — backward-looking</t>
        </is>
      </c>
    </row>
    <row r="37">
      <c r="A37" s="17" t="inlineStr">
        <is>
          <t xml:space="preserve">  Note: net interest INCOME of $95443mm  (int inc $193341mm &gt; int exp $97898mm)</t>
        </is>
      </c>
      <c r="B37" s="55" t="n"/>
      <c r="C37" s="46" t="inlineStr">
        <is>
          <t>Gross Rd is the correct basis here — net figure is distorted</t>
        </is>
      </c>
    </row>
    <row r="38">
      <c r="A38" s="49" t="inlineStr">
        <is>
          <t>► Selected pre-tax Rd  (user override)</t>
        </is>
      </c>
      <c r="B38" s="50" t="n">
        <v>0.1002</v>
      </c>
      <c r="C38" s="51" t="inlineStr">
        <is>
          <t>Default = average of 3 source(s) above — override freely</t>
        </is>
      </c>
    </row>
    <row r="39">
      <c r="A39" s="44" t="n"/>
      <c r="B39" s="44" t="n"/>
      <c r="C39" s="44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8" t="n">
        <v>0.2142</v>
      </c>
      <c r="C41" s="46" t="inlineStr">
        <is>
          <t>FMP: $15547mm  /  $72595mm</t>
        </is>
      </c>
    </row>
    <row r="42">
      <c r="A42" s="49" t="inlineStr">
        <is>
          <t>► Selected tax rate  (user override)</t>
        </is>
      </c>
      <c r="B42" s="50" t="n">
        <v>0.2142</v>
      </c>
      <c r="C42" s="51" t="inlineStr">
        <is>
          <t>Adjust to normalised / marginal rate if preferred</t>
        </is>
      </c>
    </row>
    <row r="43">
      <c r="A43" s="44" t="n"/>
      <c r="B43" s="44" t="n"/>
      <c r="C43" s="44" t="n"/>
    </row>
    <row r="44" ht="18" customHeight="1">
      <c r="A44" s="5" t="inlineStr">
        <is>
          <t>WACC OUTPUT</t>
        </is>
      </c>
    </row>
    <row r="45" ht="22" customHeight="1">
      <c r="A45" s="56" t="inlineStr">
        <is>
          <t>WACC  =  MAX(8.5%, (E/V × Re) + (D/V × Rd × (1 − t)))</t>
        </is>
      </c>
      <c r="B45" s="57">
        <f>MAX(0.085, B8*B28+B9*B38*(1-B42))</f>
        <v/>
      </c>
      <c r="C45" s="58" t="inlineStr">
        <is>
          <t>Floored 8.5% (D-001); raw formula below</t>
        </is>
      </c>
    </row>
    <row r="46">
      <c r="A46" s="44" t="n"/>
      <c r="B46" s="44" t="n"/>
      <c r="C46" s="44" t="n"/>
    </row>
    <row r="47" ht="18" customHeight="1">
      <c r="A47" s="10" t="inlineStr">
        <is>
          <t>SENSITIVITY — WACC (%)  by Beta offset × ERP offset</t>
        </is>
      </c>
    </row>
    <row r="48">
      <c r="A48" s="59" t="inlineStr">
        <is>
          <t>Beta offset  \  ERP offset →</t>
        </is>
      </c>
      <c r="B48" s="59" t="inlineStr">
        <is>
          <t>-1.0%</t>
        </is>
      </c>
      <c r="C48" s="59" t="inlineStr">
        <is>
          <t>-0.5%</t>
        </is>
      </c>
      <c r="D48" s="59" t="inlineStr">
        <is>
          <t>Base ERP</t>
        </is>
      </c>
      <c r="E48" s="59" t="inlineStr">
        <is>
          <t>+0.5%</t>
        </is>
      </c>
      <c r="F48" s="59" t="inlineStr">
        <is>
          <t>+1.0%</t>
        </is>
      </c>
    </row>
    <row r="49">
      <c r="A49" s="60" t="inlineStr">
        <is>
          <t>-1.0</t>
        </is>
      </c>
      <c r="B49" s="61">
        <f>B8*(B13+(B20+(-1.0))*(B25+(-0.01)))+B9*B38*(1-B42)</f>
        <v/>
      </c>
      <c r="C49" s="61">
        <f>B8*(B13+(B20+(-1.0))*(B25+(-0.005)))+B9*B38*(1-B42)</f>
        <v/>
      </c>
      <c r="D49" s="61">
        <f>B8*(B13+(B20+(-1.0))*(B25+(0.0)))+B9*B38*(1-B42)</f>
        <v/>
      </c>
      <c r="E49" s="61">
        <f>B8*(B13+(B20+(-1.0))*(B25+(0.005)))+B9*B38*(1-B42)</f>
        <v/>
      </c>
      <c r="F49" s="61">
        <f>B8*(B13+(B20+(-1.0))*(B25+(0.01)))+B9*B38*(1-B42)</f>
        <v/>
      </c>
    </row>
    <row r="50">
      <c r="A50" s="60" t="inlineStr">
        <is>
          <t>-0.5</t>
        </is>
      </c>
      <c r="B50" s="61">
        <f>B8*(B13+(B20+(-0.5))*(B25+(-0.01)))+B9*B38*(1-B42)</f>
        <v/>
      </c>
      <c r="C50" s="61">
        <f>B8*(B13+(B20+(-0.5))*(B25+(-0.005)))+B9*B38*(1-B42)</f>
        <v/>
      </c>
      <c r="D50" s="61">
        <f>B8*(B13+(B20+(-0.5))*(B25+(0.0)))+B9*B38*(1-B42)</f>
        <v/>
      </c>
      <c r="E50" s="61">
        <f>B8*(B13+(B20+(-0.5))*(B25+(0.005)))+B9*B38*(1-B42)</f>
        <v/>
      </c>
      <c r="F50" s="61">
        <f>B8*(B13+(B20+(-0.5))*(B25+(0.01)))+B9*B38*(1-B42)</f>
        <v/>
      </c>
    </row>
    <row r="51">
      <c r="A51" s="62" t="inlineStr">
        <is>
          <t>Base β</t>
        </is>
      </c>
      <c r="B51" s="63">
        <f>B8*(B13+(B20+(0.0))*(B25+(-0.01)))+B9*B38*(1-B42)</f>
        <v/>
      </c>
      <c r="C51" s="63">
        <f>B8*(B13+(B20+(0.0))*(B25+(-0.005)))+B9*B38*(1-B42)</f>
        <v/>
      </c>
      <c r="D51" s="64">
        <f>B8*(B13+(B20+(0.0))*(B25+(0.0)))+B9*B38*(1-B42)</f>
        <v/>
      </c>
      <c r="E51" s="63">
        <f>B8*(B13+(B20+(0.0))*(B25+(0.005)))+B9*B38*(1-B42)</f>
        <v/>
      </c>
      <c r="F51" s="63">
        <f>B8*(B13+(B20+(0.0))*(B25+(0.01)))+B9*B38*(1-B42)</f>
        <v/>
      </c>
    </row>
    <row r="52">
      <c r="A52" s="60" t="inlineStr">
        <is>
          <t>+0.5</t>
        </is>
      </c>
      <c r="B52" s="61">
        <f>B8*(B13+(B20+(0.5))*(B25+(-0.01)))+B9*B38*(1-B42)</f>
        <v/>
      </c>
      <c r="C52" s="61">
        <f>B8*(B13+(B20+(0.5))*(B25+(-0.005)))+B9*B38*(1-B42)</f>
        <v/>
      </c>
      <c r="D52" s="61">
        <f>B8*(B13+(B20+(0.5))*(B25+(0.0)))+B9*B38*(1-B42)</f>
        <v/>
      </c>
      <c r="E52" s="61">
        <f>B8*(B13+(B20+(0.5))*(B25+(0.005)))+B9*B38*(1-B42)</f>
        <v/>
      </c>
      <c r="F52" s="61">
        <f>B8*(B13+(B20+(0.5))*(B25+(0.01)))+B9*B38*(1-B42)</f>
        <v/>
      </c>
    </row>
    <row r="53">
      <c r="A53" s="60" t="inlineStr">
        <is>
          <t>+1.0</t>
        </is>
      </c>
      <c r="B53" s="61">
        <f>B8*(B13+(B20+(1.0))*(B25+(-0.01)))+B9*B38*(1-B42)</f>
        <v/>
      </c>
      <c r="C53" s="61">
        <f>B8*(B13+(B20+(1.0))*(B25+(-0.005)))+B9*B38*(1-B42)</f>
        <v/>
      </c>
      <c r="D53" s="61">
        <f>B8*(B13+(B20+(1.0))*(B25+(0.0)))+B9*B38*(1-B42)</f>
        <v/>
      </c>
      <c r="E53" s="61">
        <f>B8*(B13+(B20+(1.0))*(B25+(0.005)))+B9*B38*(1-B42)</f>
        <v/>
      </c>
      <c r="F53" s="61">
        <f>B8*(B13+(B20+(1.0))*(B25+(0.01)))+B9*B38*(1-B42)</f>
        <v/>
      </c>
    </row>
  </sheetData>
  <mergeCells count="11">
    <mergeCell ref="A11:C11"/>
    <mergeCell ref="A44:C44"/>
    <mergeCell ref="A47:C47"/>
    <mergeCell ref="A1:C1"/>
    <mergeCell ref="A22:C22"/>
    <mergeCell ref="A40:C40"/>
    <mergeCell ref="A27:C27"/>
    <mergeCell ref="A30:C3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JPM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5" t="inlineStr">
        <is>
          <t>Fiscal Year</t>
        </is>
      </c>
      <c r="B3" s="66" t="inlineStr">
        <is>
          <t>2021</t>
        </is>
      </c>
      <c r="C3" s="66" t="inlineStr">
        <is>
          <t>2022</t>
        </is>
      </c>
      <c r="D3" s="66" t="inlineStr">
        <is>
          <t>2023</t>
        </is>
      </c>
      <c r="E3" s="66" t="inlineStr">
        <is>
          <t>2024</t>
        </is>
      </c>
      <c r="F3" s="66" t="inlineStr">
        <is>
          <t>2025</t>
        </is>
      </c>
      <c r="G3" s="67" t="inlineStr">
        <is>
          <t>2026E</t>
        </is>
      </c>
      <c r="H3" s="67" t="inlineStr">
        <is>
          <t>2027E</t>
        </is>
      </c>
      <c r="I3" s="67" t="inlineStr">
        <is>
          <t>2028E</t>
        </is>
      </c>
      <c r="J3" s="68" t="inlineStr">
        <is>
          <t>2029E</t>
        </is>
      </c>
      <c r="K3" s="68" t="inlineStr">
        <is>
          <t>2030E</t>
        </is>
      </c>
      <c r="L3" s="69" t="inlineStr">
        <is>
          <t>Terminal</t>
        </is>
      </c>
      <c r="M3" s="65" t="inlineStr">
        <is>
          <t>Source / Notes</t>
        </is>
      </c>
    </row>
    <row r="4" ht="16" customHeight="1">
      <c r="A4" s="70" t="inlineStr">
        <is>
          <t>FMP analyst consensus: 2026E – 2028E  (3 years)   |   User estimates required from: 2029E onwards</t>
        </is>
      </c>
    </row>
    <row r="5" ht="6" customHeight="1">
      <c r="A5" s="44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71" t="inlineStr">
        <is>
          <t>Revenue Growth %</t>
        </is>
      </c>
      <c r="B7" s="72" t="inlineStr">
        <is>
          <t>—</t>
        </is>
      </c>
      <c r="C7" s="73">
        <f>'P&amp;L'!C5/'P&amp;L'!B5-1</f>
        <v/>
      </c>
      <c r="D7" s="73">
        <f>'P&amp;L'!D5/'P&amp;L'!C5-1</f>
        <v/>
      </c>
      <c r="E7" s="73">
        <f>'P&amp;L'!E5/'P&amp;L'!D5-1</f>
        <v/>
      </c>
      <c r="F7" s="73">
        <f>'P&amp;L'!F5/'P&amp;L'!E5-1</f>
        <v/>
      </c>
      <c r="G7" s="74" t="n">
        <v>-0.2975</v>
      </c>
      <c r="H7" s="74" t="n">
        <v>0.043</v>
      </c>
      <c r="I7" s="74" t="n">
        <v>0.0497</v>
      </c>
      <c r="J7" s="75">
        <f>I7</f>
        <v/>
      </c>
      <c r="K7" s="75">
        <f>I7</f>
        <v/>
      </c>
      <c r="L7" s="76" t="n">
        <v>0.03</v>
      </c>
      <c r="M7" s="77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71" t="inlineStr">
        <is>
          <t>EBITDA Margin %</t>
        </is>
      </c>
      <c r="B8" s="73">
        <f>'P&amp;L'!B12/'P&amp;L'!B5</f>
        <v/>
      </c>
      <c r="C8" s="73">
        <f>'P&amp;L'!C12/'P&amp;L'!C5</f>
        <v/>
      </c>
      <c r="D8" s="73">
        <f>'P&amp;L'!D12/'P&amp;L'!D5</f>
        <v/>
      </c>
      <c r="E8" s="73">
        <f>'P&amp;L'!E12/'P&amp;L'!E5</f>
        <v/>
      </c>
      <c r="F8" s="73">
        <f>'P&amp;L'!F12/'P&amp;L'!F5</f>
        <v/>
      </c>
      <c r="G8" s="74" t="n">
        <v>0.3533</v>
      </c>
      <c r="H8" s="74" t="n">
        <v>0.3533</v>
      </c>
      <c r="I8" s="74" t="n">
        <v>0.3533</v>
      </c>
      <c r="J8" s="75">
        <f>I8</f>
        <v/>
      </c>
      <c r="K8" s="75">
        <f>I8</f>
        <v/>
      </c>
      <c r="L8" s="76" t="n">
        <v>0.291</v>
      </c>
      <c r="M8" s="77" t="inlineStr">
        <is>
          <t>Yrs 1-3: FMP analyst consensus margin.  Yrs 4-5: = Yr 3 margin.  Terminal: long-run normalised EBITDA margin (user input).</t>
        </is>
      </c>
    </row>
    <row r="9" ht="20" customHeight="1">
      <c r="A9" s="71" t="inlineStr">
        <is>
          <t>D&amp;A as % of Revenue</t>
        </is>
      </c>
      <c r="B9" s="73">
        <f>'P&amp;L'!B14/'P&amp;L'!B5</f>
        <v/>
      </c>
      <c r="C9" s="73">
        <f>'P&amp;L'!C14/'P&amp;L'!C5</f>
        <v/>
      </c>
      <c r="D9" s="73">
        <f>'P&amp;L'!D14/'P&amp;L'!D5</f>
        <v/>
      </c>
      <c r="E9" s="73">
        <f>'P&amp;L'!E14/'P&amp;L'!E5</f>
        <v/>
      </c>
      <c r="F9" s="73">
        <f>'P&amp;L'!F14/'P&amp;L'!F5</f>
        <v/>
      </c>
      <c r="G9" s="75">
        <f>AVERAGE(B9:F9)</f>
        <v/>
      </c>
      <c r="H9" s="75">
        <f>G9</f>
        <v/>
      </c>
      <c r="I9" s="75">
        <f>G9</f>
        <v/>
      </c>
      <c r="J9" s="75">
        <f>G9</f>
        <v/>
      </c>
      <c r="K9" s="75">
        <f>G9</f>
        <v/>
      </c>
      <c r="L9" s="76">
        <f>G9</f>
        <v/>
      </c>
      <c r="M9" s="77" t="inlineStr">
        <is>
          <t>Historical linked from P&amp;L.  Yr 1 = avg of historicals; Yrs 2-5 &amp; terminal = Yr 1.</t>
        </is>
      </c>
    </row>
    <row r="10" ht="20" customHeight="1">
      <c r="A10" s="71" t="inlineStr">
        <is>
          <t>CapEx as % of Revenue</t>
        </is>
      </c>
      <c r="B10" s="73">
        <f>-'Cash Flow'!B6/'P&amp;L'!B5</f>
        <v/>
      </c>
      <c r="C10" s="73">
        <f>-'Cash Flow'!C6/'P&amp;L'!C5</f>
        <v/>
      </c>
      <c r="D10" s="73">
        <f>-'Cash Flow'!D6/'P&amp;L'!D5</f>
        <v/>
      </c>
      <c r="E10" s="73">
        <f>-'Cash Flow'!E6/'P&amp;L'!E5</f>
        <v/>
      </c>
      <c r="F10" s="73">
        <f>-'Cash Flow'!F6/'P&amp;L'!F5</f>
        <v/>
      </c>
      <c r="G10" s="75">
        <f>AVERAGE(B10:F10)</f>
        <v/>
      </c>
      <c r="H10" s="75">
        <f>G10</f>
        <v/>
      </c>
      <c r="I10" s="75">
        <f>G10</f>
        <v/>
      </c>
      <c r="J10" s="75">
        <f>G10</f>
        <v/>
      </c>
      <c r="K10" s="75">
        <f>G10</f>
        <v/>
      </c>
      <c r="L10" s="76">
        <f>G10</f>
        <v/>
      </c>
      <c r="M10" s="77" t="inlineStr">
        <is>
          <t>Historical linked from Cash Flow.  Yr 1 = avg of historicals; Yrs 2-5 &amp; terminal = Yr 1.</t>
        </is>
      </c>
    </row>
    <row r="11" ht="20" customHeight="1">
      <c r="A11" s="71" t="inlineStr">
        <is>
          <t>Change in NWC as % of Revenue</t>
        </is>
      </c>
      <c r="B11" s="72" t="inlineStr">
        <is>
          <t>—</t>
        </is>
      </c>
      <c r="C11" s="73">
        <f>(('Balance Sheet'!C9-'Balance Sheet'!C21)-('Balance Sheet'!B9-'Balance Sheet'!B21))/'P&amp;L'!C5</f>
        <v/>
      </c>
      <c r="D11" s="73">
        <f>(('Balance Sheet'!D9-'Balance Sheet'!D21)-('Balance Sheet'!C9-'Balance Sheet'!C21))/'P&amp;L'!D5</f>
        <v/>
      </c>
      <c r="E11" s="73">
        <f>(('Balance Sheet'!E9-'Balance Sheet'!E21)-('Balance Sheet'!D9-'Balance Sheet'!D21))/'P&amp;L'!E5</f>
        <v/>
      </c>
      <c r="F11" s="73">
        <f>(('Balance Sheet'!F9-'Balance Sheet'!F21)-('Balance Sheet'!E9-'Balance Sheet'!E21))/'P&amp;L'!F5</f>
        <v/>
      </c>
      <c r="G11" s="75">
        <f>MAX(-0.02,MIN(0.05,AVERAGE(C11:F11)))</f>
        <v/>
      </c>
      <c r="H11" s="75">
        <f>G11*4/5</f>
        <v/>
      </c>
      <c r="I11" s="75">
        <f>G11*3/5</f>
        <v/>
      </c>
      <c r="J11" s="75">
        <f>G11*2/5</f>
        <v/>
      </c>
      <c r="K11" s="75">
        <f>G11*1/5</f>
        <v/>
      </c>
      <c r="L11" s="76" t="n">
        <v>0</v>
      </c>
      <c r="M11" s="77" t="inlineStr">
        <is>
          <t>Yr 1 = clamped avg of historicals [-2%, +5%]. Yrs 2-5 fade linearly to 0. Terminal = 0 (steady-state: NWC tracks revenue).</t>
        </is>
      </c>
    </row>
    <row r="12" ht="20" customHeight="1">
      <c r="A12" s="71" t="inlineStr">
        <is>
          <t>Effective Tax Rate</t>
        </is>
      </c>
      <c r="B12" s="73">
        <f>IFERROR(MAX(0,MIN(0.5,'P&amp;L'!B22/'P&amp;L'!B21)),0)</f>
        <v/>
      </c>
      <c r="C12" s="73">
        <f>IFERROR(MAX(0,MIN(0.5,'P&amp;L'!C22/'P&amp;L'!C21)),0)</f>
        <v/>
      </c>
      <c r="D12" s="73">
        <f>IFERROR(MAX(0,MIN(0.5,'P&amp;L'!D22/'P&amp;L'!D21)),0)</f>
        <v/>
      </c>
      <c r="E12" s="73">
        <f>IFERROR(MAX(0,MIN(0.5,'P&amp;L'!E22/'P&amp;L'!E21)),0)</f>
        <v/>
      </c>
      <c r="F12" s="73">
        <f>IFERROR(MAX(0,MIN(0.5,'P&amp;L'!F22/'P&amp;L'!F21)),0)</f>
        <v/>
      </c>
      <c r="G12" s="75">
        <f>AVERAGE(B12:F12)</f>
        <v/>
      </c>
      <c r="H12" s="75">
        <f>G12</f>
        <v/>
      </c>
      <c r="I12" s="75">
        <f>G12</f>
        <v/>
      </c>
      <c r="J12" s="75">
        <f>G12</f>
        <v/>
      </c>
      <c r="K12" s="75">
        <f>G12</f>
        <v/>
      </c>
      <c r="L12" s="76">
        <f>G12</f>
        <v/>
      </c>
      <c r="M12" s="77" t="inlineStr">
        <is>
          <t>Historical linked from P&amp;L (tax / pretax income).  Forecast: avg of historicals, constant thereafter.</t>
        </is>
      </c>
    </row>
    <row r="13" ht="6" customHeight="1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</row>
    <row r="14" ht="18" customHeight="1">
      <c r="A14" s="25" t="inlineStr">
        <is>
          <t>SECTION 2 — REVENUE &amp; EBITDA  ($mm)</t>
        </is>
      </c>
    </row>
    <row r="15" ht="20" customHeight="1">
      <c r="A15" s="78" t="inlineStr">
        <is>
          <t>Revenue</t>
        </is>
      </c>
      <c r="B15" s="79">
        <f>'P&amp;L'!B5</f>
        <v/>
      </c>
      <c r="C15" s="79">
        <f>'P&amp;L'!C5</f>
        <v/>
      </c>
      <c r="D15" s="79">
        <f>'P&amp;L'!D5</f>
        <v/>
      </c>
      <c r="E15" s="79">
        <f>'P&amp;L'!E5</f>
        <v/>
      </c>
      <c r="F15" s="79">
        <f>'P&amp;L'!F5</f>
        <v/>
      </c>
      <c r="G15" s="80" t="n">
        <v>196522.7</v>
      </c>
      <c r="H15" s="80" t="n">
        <v>204979.9</v>
      </c>
      <c r="I15" s="80" t="n">
        <v>215158.4</v>
      </c>
      <c r="J15" s="81">
        <f>I15*(1+J7)</f>
        <v/>
      </c>
      <c r="K15" s="81">
        <f>J15*(1+K7)</f>
        <v/>
      </c>
      <c r="L15" s="82">
        <f>K15*(1+L7)</f>
        <v/>
      </c>
      <c r="M15" s="83" t="inlineStr">
        <is>
          <t>FMP consensus years: analyst revenue average ($mm).  Range: Low–High shown below.  User years: prior × (1+growth).</t>
        </is>
      </c>
    </row>
    <row r="16" ht="20" customHeight="1">
      <c r="A16" s="84" t="inlineStr">
        <is>
          <t xml:space="preserve">  Analyst Range:  Low — High  ($mm)</t>
        </is>
      </c>
      <c r="G16" s="85" t="inlineStr">
        <is>
          <t>192,812 — 198,725</t>
        </is>
      </c>
      <c r="H16" s="85" t="inlineStr">
        <is>
          <t>202,420 — 209,200</t>
        </is>
      </c>
      <c r="I16" s="85" t="inlineStr">
        <is>
          <t>214,312 — 216,005</t>
        </is>
      </c>
      <c r="J16" s="86" t="inlineStr">
        <is>
          <t>—</t>
        </is>
      </c>
      <c r="K16" s="86" t="inlineStr">
        <is>
          <t>—</t>
        </is>
      </c>
      <c r="L16" s="87" t="inlineStr">
        <is>
          <t>—</t>
        </is>
      </c>
      <c r="M16" s="83" t="inlineStr">
        <is>
          <t>Sell-side analyst low / high revenue estimates for consensus years</t>
        </is>
      </c>
    </row>
    <row r="17" ht="20" customHeight="1">
      <c r="A17" s="84" t="inlineStr">
        <is>
          <t xml:space="preserve">  Number of Analysts</t>
        </is>
      </c>
      <c r="G17" s="88" t="n">
        <v>10</v>
      </c>
      <c r="H17" s="88" t="n">
        <v>10</v>
      </c>
      <c r="I17" s="89" t="n">
        <v>5</v>
      </c>
      <c r="J17" s="86" t="inlineStr">
        <is>
          <t>—</t>
        </is>
      </c>
      <c r="K17" s="86" t="inlineStr">
        <is>
          <t>—</t>
        </is>
      </c>
      <c r="L17" s="87" t="inlineStr">
        <is>
          <t>—</t>
        </is>
      </c>
      <c r="M17" s="83" t="inlineStr">
        <is>
          <t>Red &lt; 5 analysts — treat estimate with caution.  Orange &lt; 10.</t>
        </is>
      </c>
    </row>
    <row r="18" ht="20" customHeight="1">
      <c r="A18" s="84" t="inlineStr">
        <is>
          <t xml:space="preserve">  YoY Revenue Growth %</t>
        </is>
      </c>
      <c r="B18" s="90" t="inlineStr">
        <is>
          <t>—</t>
        </is>
      </c>
      <c r="C18" s="91">
        <f>IFERROR(C15/B15-1,"")</f>
        <v/>
      </c>
      <c r="D18" s="91">
        <f>IFERROR(D15/C15-1,"")</f>
        <v/>
      </c>
      <c r="E18" s="91">
        <f>IFERROR(E15/D15-1,"")</f>
        <v/>
      </c>
      <c r="F18" s="91">
        <f>IFERROR(F15/E15-1,"")</f>
        <v/>
      </c>
      <c r="G18" s="92">
        <f>IFERROR(G15/F15-1,"")</f>
        <v/>
      </c>
      <c r="H18" s="92">
        <f>IFERROR(H15/G15-1,"")</f>
        <v/>
      </c>
      <c r="I18" s="92">
        <f>IFERROR(I15/H15-1,"")</f>
        <v/>
      </c>
      <c r="J18" s="93">
        <f>IFERROR(J15/I15-1,"")</f>
        <v/>
      </c>
      <c r="K18" s="93">
        <f>IFERROR(K15/J15-1,"")</f>
        <v/>
      </c>
      <c r="L18" s="94">
        <f>L7</f>
        <v/>
      </c>
      <c r="M18" s="83">
        <f> this year / prior year − 1  (formula cross-check on assumptions)</f>
        <v/>
      </c>
    </row>
    <row r="19" ht="6" customHeight="1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</row>
    <row r="20" ht="20" customHeight="1">
      <c r="A20" s="78" t="inlineStr">
        <is>
          <t>EBITDA</t>
        </is>
      </c>
      <c r="B20" s="79">
        <f>'P&amp;L'!B12</f>
        <v/>
      </c>
      <c r="C20" s="79">
        <f>'P&amp;L'!C12</f>
        <v/>
      </c>
      <c r="D20" s="79">
        <f>'P&amp;L'!D12</f>
        <v/>
      </c>
      <c r="E20" s="79">
        <f>'P&amp;L'!E12</f>
        <v/>
      </c>
      <c r="F20" s="79">
        <f>'P&amp;L'!F12</f>
        <v/>
      </c>
      <c r="G20" s="80" t="n">
        <v>69435.10000000001</v>
      </c>
      <c r="H20" s="80" t="n">
        <v>72423.2</v>
      </c>
      <c r="I20" s="80" t="n">
        <v>76019.5</v>
      </c>
      <c r="J20" s="81">
        <f>J15*J8</f>
        <v/>
      </c>
      <c r="K20" s="81">
        <f>K15*K8</f>
        <v/>
      </c>
      <c r="L20" s="82">
        <f>L15*L8</f>
        <v/>
      </c>
      <c r="M20" s="83" t="inlineStr">
        <is>
          <t>FMP consensus years: analyst EBITDA average.  User years: Revenue × EBITDA margin assumption.</t>
        </is>
      </c>
    </row>
    <row r="21" ht="20" customHeight="1">
      <c r="A21" s="84" t="inlineStr">
        <is>
          <t xml:space="preserve">  Analyst Range:  Low — High  ($mm)</t>
        </is>
      </c>
      <c r="G21" s="85" t="inlineStr">
        <is>
          <t>68,124 — 70,213</t>
        </is>
      </c>
      <c r="H21" s="85" t="inlineStr">
        <is>
          <t>71,519 — 73,914</t>
        </is>
      </c>
      <c r="I21" s="85" t="inlineStr">
        <is>
          <t>75,720 — 76,319</t>
        </is>
      </c>
      <c r="J21" s="86" t="inlineStr">
        <is>
          <t>—</t>
        </is>
      </c>
      <c r="K21" s="86" t="inlineStr">
        <is>
          <t>—</t>
        </is>
      </c>
      <c r="L21" s="87" t="inlineStr">
        <is>
          <t>—</t>
        </is>
      </c>
      <c r="M21" s="83" t="inlineStr">
        <is>
          <t>Sell-side analyst low / high EBITDA estimates for consensus years</t>
        </is>
      </c>
    </row>
    <row r="22" ht="20" customHeight="1">
      <c r="A22" s="84" t="inlineStr">
        <is>
          <t xml:space="preserve">  EBITDA Margin %</t>
        </is>
      </c>
      <c r="B22" s="91">
        <f>IFERROR(B20/B15,"")</f>
        <v/>
      </c>
      <c r="C22" s="91">
        <f>IFERROR(C20/C15,"")</f>
        <v/>
      </c>
      <c r="D22" s="91">
        <f>IFERROR(D20/D15,"")</f>
        <v/>
      </c>
      <c r="E22" s="91">
        <f>IFERROR(E20/E15,"")</f>
        <v/>
      </c>
      <c r="F22" s="91">
        <f>IFERROR(F20/F15,"")</f>
        <v/>
      </c>
      <c r="G22" s="92">
        <f>IFERROR(G20/G15,"")</f>
        <v/>
      </c>
      <c r="H22" s="92">
        <f>IFERROR(H20/H15,"")</f>
        <v/>
      </c>
      <c r="I22" s="92">
        <f>IFERROR(I20/I15,"")</f>
        <v/>
      </c>
      <c r="J22" s="93">
        <f>IFERROR(J20/J15,"")</f>
        <v/>
      </c>
      <c r="K22" s="93">
        <f>IFERROR(K20/K15,"")</f>
        <v/>
      </c>
      <c r="L22" s="94">
        <f>IFERROR(L20/L15,"")</f>
        <v/>
      </c>
      <c r="M22" s="83">
        <f> EBITDA / Revenue  (formula — cross-check on margin assumption)</f>
        <v/>
      </c>
    </row>
    <row r="23" ht="6" customHeight="1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5" t="inlineStr">
        <is>
          <t xml:space="preserve">  Less: D&amp;A</t>
        </is>
      </c>
      <c r="B25" s="79">
        <f>-'P&amp;L'!B14</f>
        <v/>
      </c>
      <c r="C25" s="79">
        <f>-'P&amp;L'!C14</f>
        <v/>
      </c>
      <c r="D25" s="79">
        <f>-'P&amp;L'!D14</f>
        <v/>
      </c>
      <c r="E25" s="79">
        <f>-'P&amp;L'!E14</f>
        <v/>
      </c>
      <c r="F25" s="79">
        <f>-'P&amp;L'!F14</f>
        <v/>
      </c>
      <c r="G25" s="96">
        <f>-G15*G9</f>
        <v/>
      </c>
      <c r="H25" s="96">
        <f>-H15*H9</f>
        <v/>
      </c>
      <c r="I25" s="96">
        <f>-I15*I9</f>
        <v/>
      </c>
      <c r="J25" s="81">
        <f>-J15*J9</f>
        <v/>
      </c>
      <c r="K25" s="81">
        <f>-K15*K9</f>
        <v/>
      </c>
      <c r="L25" s="82">
        <f>-L15*L9</f>
        <v/>
      </c>
      <c r="M25" s="83">
        <f> Revenue × D&amp;A % assumption  (negative = P&amp;L charge)</f>
        <v/>
      </c>
    </row>
    <row r="26" ht="20" customHeight="1">
      <c r="A26" s="65" t="inlineStr">
        <is>
          <t>EBIT  (Operating Profit)</t>
        </is>
      </c>
      <c r="B26" s="97">
        <f>B20+B25</f>
        <v/>
      </c>
      <c r="C26" s="97">
        <f>C20+C25</f>
        <v/>
      </c>
      <c r="D26" s="97">
        <f>D20+D25</f>
        <v/>
      </c>
      <c r="E26" s="97">
        <f>E20+E25</f>
        <v/>
      </c>
      <c r="F26" s="97">
        <f>F20+F25</f>
        <v/>
      </c>
      <c r="G26" s="98">
        <f>G20+G25</f>
        <v/>
      </c>
      <c r="H26" s="98">
        <f>H20+H25</f>
        <v/>
      </c>
      <c r="I26" s="98">
        <f>I20+I25</f>
        <v/>
      </c>
      <c r="J26" s="98">
        <f>J20+J25</f>
        <v/>
      </c>
      <c r="K26" s="98">
        <f>K20+K25</f>
        <v/>
      </c>
      <c r="L26" s="98">
        <f>L20+L25</f>
        <v/>
      </c>
      <c r="M26" s="83">
        <f> EBITDA + D&amp;A  (GAAP operating income, EBIT)</f>
        <v/>
      </c>
    </row>
    <row r="27" ht="20" customHeight="1">
      <c r="A27" s="95" t="inlineStr">
        <is>
          <t xml:space="preserve">  Less: Tax on EBIT  (unlevered)</t>
        </is>
      </c>
      <c r="B27" s="99">
        <f>-B26*B12</f>
        <v/>
      </c>
      <c r="C27" s="99">
        <f>-C26*C12</f>
        <v/>
      </c>
      <c r="D27" s="99">
        <f>-D26*D12</f>
        <v/>
      </c>
      <c r="E27" s="99">
        <f>-E26*E12</f>
        <v/>
      </c>
      <c r="F27" s="99">
        <f>-F26*F12</f>
        <v/>
      </c>
      <c r="G27" s="100">
        <f>-G26*G12</f>
        <v/>
      </c>
      <c r="H27" s="100">
        <f>-H26*H12</f>
        <v/>
      </c>
      <c r="I27" s="100">
        <f>-I26*I12</f>
        <v/>
      </c>
      <c r="J27" s="100">
        <f>-J26*J12</f>
        <v/>
      </c>
      <c r="K27" s="100">
        <f>-K26*K12</f>
        <v/>
      </c>
      <c r="L27" s="100">
        <f>-L26*L12</f>
        <v/>
      </c>
      <c r="M27" s="83">
        <f> EBIT × tax rate  (no interest tax shield — UFCF is pre-debt)</f>
        <v/>
      </c>
    </row>
    <row r="28" ht="20" customHeight="1">
      <c r="A28" s="78" t="inlineStr">
        <is>
          <t>NOPAT</t>
        </is>
      </c>
      <c r="B28" s="97">
        <f>B26+B27</f>
        <v/>
      </c>
      <c r="C28" s="97">
        <f>C26+C27</f>
        <v/>
      </c>
      <c r="D28" s="97">
        <f>D26+D27</f>
        <v/>
      </c>
      <c r="E28" s="97">
        <f>E26+E27</f>
        <v/>
      </c>
      <c r="F28" s="97">
        <f>F26+F27</f>
        <v/>
      </c>
      <c r="G28" s="101">
        <f>G26+G27</f>
        <v/>
      </c>
      <c r="H28" s="101">
        <f>H26+H27</f>
        <v/>
      </c>
      <c r="I28" s="101">
        <f>I26+I27</f>
        <v/>
      </c>
      <c r="J28" s="101">
        <f>J26+J27</f>
        <v/>
      </c>
      <c r="K28" s="101">
        <f>K26+K27</f>
        <v/>
      </c>
      <c r="L28" s="101">
        <f>L26+L27</f>
        <v/>
      </c>
      <c r="M28" s="83">
        <f> EBIT × (1 − tax rate)</f>
        <v/>
      </c>
    </row>
    <row r="29" ht="20" customHeight="1">
      <c r="A29" s="95" t="inlineStr">
        <is>
          <t xml:space="preserve">  (+) D&amp;A add-back  (non-cash)</t>
        </is>
      </c>
      <c r="B29" s="99">
        <f>-B25</f>
        <v/>
      </c>
      <c r="C29" s="99">
        <f>-C25</f>
        <v/>
      </c>
      <c r="D29" s="99">
        <f>-D25</f>
        <v/>
      </c>
      <c r="E29" s="99">
        <f>-E25</f>
        <v/>
      </c>
      <c r="F29" s="99">
        <f>-F25</f>
        <v/>
      </c>
      <c r="G29" s="100">
        <f>-G25</f>
        <v/>
      </c>
      <c r="H29" s="100">
        <f>-H25</f>
        <v/>
      </c>
      <c r="I29" s="100">
        <f>-I25</f>
        <v/>
      </c>
      <c r="J29" s="100">
        <f>-J25</f>
        <v/>
      </c>
      <c r="K29" s="100">
        <f>-K25</f>
        <v/>
      </c>
      <c r="L29" s="100">
        <f>-L25</f>
        <v/>
      </c>
      <c r="M29" s="83">
        <f> D&amp;A added back (non-cash charge — converts NOPAT to cash basis)</f>
        <v/>
      </c>
    </row>
    <row r="30" ht="20" customHeight="1">
      <c r="A30" s="95" t="inlineStr">
        <is>
          <t xml:space="preserve">  (−) Capital Expenditures</t>
        </is>
      </c>
      <c r="B30" s="79">
        <f>'Cash Flow'!B6</f>
        <v/>
      </c>
      <c r="C30" s="79">
        <f>'Cash Flow'!C6</f>
        <v/>
      </c>
      <c r="D30" s="79">
        <f>'Cash Flow'!D6</f>
        <v/>
      </c>
      <c r="E30" s="79">
        <f>'Cash Flow'!E6</f>
        <v/>
      </c>
      <c r="F30" s="79">
        <f>'Cash Flow'!F6</f>
        <v/>
      </c>
      <c r="G30" s="100">
        <f>-G15*G10</f>
        <v/>
      </c>
      <c r="H30" s="100">
        <f>-H15*H10</f>
        <v/>
      </c>
      <c r="I30" s="100">
        <f>-I15*I10</f>
        <v/>
      </c>
      <c r="J30" s="100">
        <f>-J15*J10</f>
        <v/>
      </c>
      <c r="K30" s="100">
        <f>-K15*K10</f>
        <v/>
      </c>
      <c r="L30" s="100">
        <f>-L15*L10</f>
        <v/>
      </c>
      <c r="M30" s="83">
        <f> Revenue × CapEx % assumption  (negative = cash outflow)</f>
        <v/>
      </c>
    </row>
    <row r="31" ht="20" customHeight="1">
      <c r="A31" s="95" t="inlineStr">
        <is>
          <t xml:space="preserve">  (−) Increase in Net Working Capital</t>
        </is>
      </c>
      <c r="B31" s="99" t="n"/>
      <c r="C31" s="99">
        <f>-(('Balance Sheet'!C9-'Balance Sheet'!C21)-('Balance Sheet'!B9-'Balance Sheet'!B21))</f>
        <v/>
      </c>
      <c r="D31" s="99">
        <f>-(('Balance Sheet'!D9-'Balance Sheet'!D21)-('Balance Sheet'!C9-'Balance Sheet'!C21))</f>
        <v/>
      </c>
      <c r="E31" s="99">
        <f>-(('Balance Sheet'!E9-'Balance Sheet'!E21)-('Balance Sheet'!D9-'Balance Sheet'!D21))</f>
        <v/>
      </c>
      <c r="F31" s="99">
        <f>-(('Balance Sheet'!F9-'Balance Sheet'!F21)-('Balance Sheet'!E9-'Balance Sheet'!E21))</f>
        <v/>
      </c>
      <c r="G31" s="100">
        <f>-G15*G11</f>
        <v/>
      </c>
      <c r="H31" s="100">
        <f>-H15*H11</f>
        <v/>
      </c>
      <c r="I31" s="100">
        <f>-I15*I11</f>
        <v/>
      </c>
      <c r="J31" s="100">
        <f>-J15*J11</f>
        <v/>
      </c>
      <c r="K31" s="100">
        <f>-K15*K11</f>
        <v/>
      </c>
      <c r="L31" s="100">
        <f>-L15*L11</f>
        <v/>
      </c>
      <c r="M31" s="83">
        <f> −Revenue × NWC%  (positive NWC% → cash outflow, reduces UFCF)</f>
        <v/>
      </c>
    </row>
    <row r="32" ht="20" customHeight="1">
      <c r="A32" s="78" t="inlineStr">
        <is>
          <t>UNLEVERED FREE CASH FLOW  (UFCF)</t>
        </is>
      </c>
      <c r="B32" s="97">
        <f>B28+B29+B30+B31</f>
        <v/>
      </c>
      <c r="C32" s="97">
        <f>C28+C29+C30+C31</f>
        <v/>
      </c>
      <c r="D32" s="97">
        <f>D28+D29+D30+D31</f>
        <v/>
      </c>
      <c r="E32" s="97">
        <f>E28+E29+E30+E31</f>
        <v/>
      </c>
      <c r="F32" s="97">
        <f>F28+F29+F30+F31</f>
        <v/>
      </c>
      <c r="G32" s="101">
        <f>G28+G29+G30+G31</f>
        <v/>
      </c>
      <c r="H32" s="101">
        <f>H28+H29+H30+H31</f>
        <v/>
      </c>
      <c r="I32" s="101">
        <f>I28+I29+I30+I31</f>
        <v/>
      </c>
      <c r="J32" s="101">
        <f>J28+J29+J30+J31</f>
        <v/>
      </c>
      <c r="K32" s="101">
        <f>K28+K29+K30+K31</f>
        <v/>
      </c>
      <c r="L32" s="101">
        <f>L28+L29+L30+L31</f>
        <v/>
      </c>
      <c r="M32" s="83">
        <f> NOPAT + D&amp;A − CapEx − ΔNWC  (pre-debt, pre-interest free cash flow)</f>
        <v/>
      </c>
    </row>
    <row r="33" ht="20" customHeight="1">
      <c r="A33" s="84" t="inlineStr">
        <is>
          <t xml:space="preserve">  UFCF Margin %</t>
        </is>
      </c>
      <c r="B33" s="91">
        <f>B32/B15</f>
        <v/>
      </c>
      <c r="C33" s="91">
        <f>C32/C15</f>
        <v/>
      </c>
      <c r="D33" s="91">
        <f>D32/D15</f>
        <v/>
      </c>
      <c r="E33" s="91">
        <f>E32/E15</f>
        <v/>
      </c>
      <c r="F33" s="91">
        <f>F32/F15</f>
        <v/>
      </c>
      <c r="G33" s="102">
        <f>IFERROR(G32/G15,"")</f>
        <v/>
      </c>
      <c r="H33" s="102">
        <f>IFERROR(H32/H15,"")</f>
        <v/>
      </c>
      <c r="I33" s="102">
        <f>IFERROR(I32/I15,"")</f>
        <v/>
      </c>
      <c r="J33" s="102">
        <f>IFERROR(J32/J15,"")</f>
        <v/>
      </c>
      <c r="K33" s="102">
        <f>IFERROR(K32/K15,"")</f>
        <v/>
      </c>
      <c r="L33" s="102">
        <f>IFERROR(L32/L15,"")</f>
        <v/>
      </c>
      <c r="M33" s="83" t="inlineStr">
        <is>
          <t>Sense check — should approximate EBITDA margin less capex intensity</t>
        </is>
      </c>
    </row>
    <row r="34" ht="6" customHeight="1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</row>
    <row r="35" ht="18" customHeight="1">
      <c r="A35" s="5" t="inlineStr">
        <is>
          <t>SECTION 4 — TERMINAL VALUE  ($mm)</t>
        </is>
      </c>
    </row>
    <row r="36" ht="20" customHeight="1">
      <c r="A36" s="71" t="inlineStr">
        <is>
          <t>WACC  (from WACC tab)</t>
        </is>
      </c>
      <c r="B36" s="103">
        <f>WACC!B45</f>
        <v/>
      </c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77" t="inlineStr">
        <is>
          <t>Auto-linked from WACC tab selected output.  Override manually if needed.</t>
        </is>
      </c>
    </row>
    <row r="37" ht="20" customHeight="1">
      <c r="A37" s="71" t="inlineStr">
        <is>
          <t>Terminal Growth Rate  (g)</t>
        </is>
      </c>
      <c r="B37" s="105" t="n">
        <v>0.04</v>
      </c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77" t="inlineStr">
        <is>
          <t>Growth tier: HIGH (23.8% 3yr avg rev growth).  Bear 3.00% / Base 4.0% / Bull 5.00%.  Keep below WACC.</t>
        </is>
      </c>
    </row>
    <row r="38" ht="20" customHeight="1">
      <c r="A38" s="71" t="inlineStr">
        <is>
          <t>Terminal EV/EBITDA Multiple  (exit multiple method)</t>
        </is>
      </c>
      <c r="B38" s="106" t="n">
        <v>18</v>
      </c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77" t="inlineStr">
        <is>
          <t>Growth tier: HIGH (23.8% 3yr avg rev growth).  Bear 14x / Base 18x / Bull 22x.  Override manually if needed.</t>
        </is>
      </c>
    </row>
    <row r="39" ht="6" customHeight="1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</row>
    <row r="40" ht="20" customHeight="1">
      <c r="A40" s="107" t="inlineStr">
        <is>
          <t>Terminal Year UFCF  (grown by g)</t>
        </is>
      </c>
      <c r="B40" s="108">
        <f>L32</f>
        <v/>
      </c>
      <c r="C40" s="109" t="n"/>
      <c r="D40" s="109" t="n"/>
      <c r="E40" s="109" t="n"/>
      <c r="F40" s="109" t="n"/>
      <c r="G40" s="109" t="n"/>
      <c r="H40" s="109" t="n"/>
      <c r="I40" s="109" t="n"/>
      <c r="J40" s="109" t="n"/>
      <c r="K40" s="109" t="n"/>
      <c r="L40" s="109" t="n"/>
      <c r="M40" s="83" t="inlineStr">
        <is>
          <t>Cross-ref from Section 3 — terminal year UFCF (already grown by g in assumptions)</t>
        </is>
      </c>
    </row>
    <row r="41" ht="20" customHeight="1">
      <c r="A41" s="78" t="inlineStr">
        <is>
          <t>Terminal Value  [Gordon Growth:  UFCF / (WACC − g)]</t>
        </is>
      </c>
      <c r="B41" s="101">
        <f>B40/(B36-B37)</f>
        <v/>
      </c>
      <c r="C41" s="110" t="n"/>
      <c r="D41" s="110" t="n"/>
      <c r="E41" s="110" t="n"/>
      <c r="F41" s="110" t="n"/>
      <c r="G41" s="110" t="n"/>
      <c r="H41" s="110" t="n"/>
      <c r="I41" s="110" t="n"/>
      <c r="J41" s="110" t="n"/>
      <c r="K41" s="110" t="n"/>
      <c r="L41" s="110" t="n"/>
      <c r="M41" s="83" t="inlineStr">
        <is>
          <t>Sensitive to g — always cross-check vs Exit Multiple below</t>
        </is>
      </c>
    </row>
    <row r="42" ht="20" customHeight="1">
      <c r="A42" s="78" t="inlineStr">
        <is>
          <t>Terminal Value  [Exit Multiple:  Terminal EBITDA × Multiple]</t>
        </is>
      </c>
      <c r="B42" s="101">
        <f>L20*B38</f>
        <v/>
      </c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83" t="inlineStr">
        <is>
          <t>Anchored to observable market multiples — less model-sensitive than Gordon Growth</t>
        </is>
      </c>
    </row>
    <row r="43" ht="6" customHeight="1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7" t="inlineStr">
        <is>
          <t>Discount Period  (mid-year convention)</t>
        </is>
      </c>
      <c r="G45" s="111" t="n">
        <v>0.5</v>
      </c>
      <c r="H45" s="111" t="n">
        <v>1.5</v>
      </c>
      <c r="I45" s="111" t="n">
        <v>2.5</v>
      </c>
      <c r="J45" s="111" t="n">
        <v>3.5</v>
      </c>
      <c r="K45" s="111" t="n">
        <v>4.5</v>
      </c>
      <c r="L45" s="112" t="n">
        <v>5</v>
      </c>
      <c r="M45" s="83" t="inlineStr">
        <is>
          <t>Mid-year: 0.5, 1.5, 2.5...  assumes FCF received evenly through each year</t>
        </is>
      </c>
    </row>
    <row r="46" ht="20" customHeight="1">
      <c r="A46" s="107" t="inlineStr">
        <is>
          <t>Discount Factor  =  1 / (1 + WACC) ^ period</t>
        </is>
      </c>
      <c r="G46" s="113">
        <f>1/(1+B36)^G45</f>
        <v/>
      </c>
      <c r="H46" s="113">
        <f>1/(1+B36)^H45</f>
        <v/>
      </c>
      <c r="I46" s="113">
        <f>1/(1+B36)^I45</f>
        <v/>
      </c>
      <c r="J46" s="113">
        <f>1/(1+B36)^J45</f>
        <v/>
      </c>
      <c r="K46" s="113">
        <f>1/(1+B36)^K45</f>
        <v/>
      </c>
      <c r="L46" s="114">
        <f>1/(1+B36)^L45</f>
        <v/>
      </c>
      <c r="M46" s="83">
        <f> 1 / (1 + WACC) ^ discount period</f>
        <v/>
      </c>
    </row>
    <row r="47" ht="20" customHeight="1">
      <c r="A47" s="78" t="inlineStr">
        <is>
          <t>PV of UFCF</t>
        </is>
      </c>
      <c r="G47" s="101">
        <f>G32*G46</f>
        <v/>
      </c>
      <c r="H47" s="101">
        <f>H32*H46</f>
        <v/>
      </c>
      <c r="I47" s="101">
        <f>I32*I46</f>
        <v/>
      </c>
      <c r="J47" s="101">
        <f>J32*J46</f>
        <v/>
      </c>
      <c r="K47" s="101">
        <f>K32*K46</f>
        <v/>
      </c>
      <c r="L47" s="110" t="n"/>
      <c r="M47" s="83">
        <f> UFCF × discount factor</f>
        <v/>
      </c>
    </row>
    <row r="48" ht="20" customHeight="1">
      <c r="A48" s="65" t="inlineStr">
        <is>
          <t>Sum of PV of FCFs  (explicit period)</t>
        </is>
      </c>
      <c r="B48" s="98">
        <f>G47+H47+I47+J47+K47</f>
        <v/>
      </c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83" t="inlineStr">
        <is>
          <t>Sum of 5 discounted annual FCFs</t>
        </is>
      </c>
    </row>
    <row r="49" ht="20" customHeight="1">
      <c r="A49" s="65" t="inlineStr">
        <is>
          <t>PV of Terminal Value  [Gordon Growth]</t>
        </is>
      </c>
      <c r="B49" s="98">
        <f>B41*L46</f>
        <v/>
      </c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83" t="inlineStr">
        <is>
          <t>Terminal value × terminal-year discount factor</t>
        </is>
      </c>
    </row>
    <row r="50" ht="20" customHeight="1">
      <c r="A50" s="65" t="inlineStr">
        <is>
          <t>PV of Terminal Value  [Exit Multiple]</t>
        </is>
      </c>
      <c r="B50" s="98">
        <f>B42*L46</f>
        <v/>
      </c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83" t="inlineStr">
        <is>
          <t>Terminal value × terminal-year discount factor</t>
        </is>
      </c>
    </row>
    <row r="51" ht="6" customHeight="1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</row>
    <row r="52" ht="18" customHeight="1">
      <c r="A52" s="5" t="inlineStr">
        <is>
          <t>SECTION 6 — EQUITY VALUE BRIDGE  &amp;  IMPLIED SHARE PRICE</t>
        </is>
      </c>
    </row>
    <row r="53">
      <c r="A53" s="78" t="inlineStr">
        <is>
          <t>Enterprise Value  [Gordon Growth]</t>
        </is>
      </c>
      <c r="B53" s="101">
        <f>B48+B49</f>
        <v/>
      </c>
      <c r="C53" s="110" t="n"/>
      <c r="D53" s="110" t="n"/>
      <c r="E53" s="110" t="n"/>
      <c r="F53" s="110" t="n"/>
      <c r="G53" s="110" t="n"/>
      <c r="H53" s="110" t="n"/>
      <c r="I53" s="110" t="n"/>
      <c r="J53" s="110" t="n"/>
      <c r="K53" s="110" t="n"/>
      <c r="L53" s="110" t="n"/>
      <c r="M53" s="110" t="n"/>
    </row>
    <row r="54">
      <c r="A54" s="78" t="inlineStr">
        <is>
          <t>Enterprise Value  [Exit Multiple]</t>
        </is>
      </c>
      <c r="B54" s="101">
        <f>B48+B50</f>
        <v/>
      </c>
      <c r="C54" s="110" t="n"/>
      <c r="D54" s="110" t="n"/>
      <c r="E54" s="110" t="n"/>
      <c r="F54" s="110" t="n"/>
      <c r="G54" s="110" t="n"/>
      <c r="H54" s="110" t="n"/>
      <c r="I54" s="110" t="n"/>
      <c r="J54" s="110" t="n"/>
      <c r="K54" s="110" t="n"/>
      <c r="L54" s="110" t="n"/>
      <c r="M54" s="110" t="n"/>
    </row>
    <row r="55" ht="20" customHeight="1">
      <c r="A55" s="95" t="inlineStr">
        <is>
          <t xml:space="preserve">  Less: Net Debt  (Debt − Cash)</t>
        </is>
      </c>
      <c r="B55" s="108">
        <f>'Balance Sheet'!F81</f>
        <v/>
      </c>
      <c r="C55" s="109" t="n"/>
      <c r="D55" s="109" t="n"/>
      <c r="E55" s="109" t="n"/>
      <c r="F55" s="109" t="n"/>
      <c r="G55" s="109" t="n"/>
      <c r="H55" s="109" t="n"/>
      <c r="I55" s="109" t="n"/>
      <c r="J55" s="109" t="n"/>
      <c r="K55" s="109" t="n"/>
      <c r="L55" s="109" t="n"/>
      <c r="M55" s="83" t="inlineStr">
        <is>
          <t>Linked from Balance Sheet: Total Debt (ST+LT) − Cash &amp; Equivalents  (negative = net cash)</t>
        </is>
      </c>
    </row>
    <row r="56" ht="20" customHeight="1">
      <c r="A56" s="95" t="inlineStr">
        <is>
          <t xml:space="preserve">  Less: Minority Interest</t>
        </is>
      </c>
      <c r="B56" s="108" t="n">
        <v>0</v>
      </c>
      <c r="C56" s="109" t="n"/>
      <c r="D56" s="109" t="n"/>
      <c r="E56" s="109" t="n"/>
      <c r="F56" s="109" t="n"/>
      <c r="G56" s="109" t="n"/>
      <c r="H56" s="109" t="n"/>
      <c r="I56" s="109" t="n"/>
      <c r="J56" s="109" t="n"/>
      <c r="K56" s="109" t="n"/>
      <c r="L56" s="109" t="n"/>
      <c r="M56" s="83" t="inlineStr">
        <is>
          <t>Auto-linked from Balance Sheet: minorityInterest</t>
        </is>
      </c>
    </row>
    <row r="57" ht="20" customHeight="1">
      <c r="A57" s="95" t="inlineStr">
        <is>
          <t xml:space="preserve">  Shares Outstanding — Diluted  (mm)</t>
        </is>
      </c>
      <c r="B57" s="108" t="n">
        <v>2793.7</v>
      </c>
      <c r="C57" s="109" t="n"/>
      <c r="D57" s="109" t="n"/>
      <c r="E57" s="109" t="n"/>
      <c r="F57" s="109" t="n"/>
      <c r="G57" s="109" t="n"/>
      <c r="H57" s="109" t="n"/>
      <c r="I57" s="109" t="n"/>
      <c r="J57" s="109" t="n"/>
      <c r="K57" s="109" t="n"/>
      <c r="L57" s="109" t="n"/>
      <c r="M57" s="83" t="inlineStr">
        <is>
          <t>Auto-linked: weightedAverageShsOutDil from income statement (diluted)</t>
        </is>
      </c>
    </row>
    <row r="58" ht="6" customHeight="1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</row>
    <row r="59">
      <c r="A59" s="78" t="inlineStr">
        <is>
          <t>Implied Share Price  [Gordon Growth]  ($)</t>
        </is>
      </c>
      <c r="B59" s="116">
        <f>IFERROR((B53-B55-B56)/B57,"")</f>
        <v/>
      </c>
      <c r="C59" s="110" t="n"/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</row>
    <row r="60">
      <c r="A60" s="78" t="inlineStr">
        <is>
          <t>Implied Share Price  [Exit Multiple]  ($)</t>
        </is>
      </c>
      <c r="B60" s="116">
        <f>IFERROR((B54-B55-B56)/B57,"")</f>
        <v/>
      </c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  <c r="M60" s="110" t="n"/>
    </row>
    <row r="61" ht="20" customHeight="1">
      <c r="A61" s="107" t="inlineStr">
        <is>
          <t>Current Market Price  ($)</t>
        </is>
      </c>
      <c r="B61" s="117" t="n">
        <v>306.38</v>
      </c>
      <c r="C61" s="109" t="n"/>
      <c r="D61" s="109" t="n"/>
      <c r="E61" s="109" t="n"/>
      <c r="F61" s="109" t="n"/>
      <c r="G61" s="109" t="n"/>
      <c r="H61" s="109" t="n"/>
      <c r="I61" s="109" t="n"/>
      <c r="J61" s="109" t="n"/>
      <c r="K61" s="109" t="n"/>
      <c r="L61" s="109" t="n"/>
      <c r="M61" s="83" t="inlineStr">
        <is>
          <t>Auto-linked from FMP company profile — price</t>
        </is>
      </c>
    </row>
    <row r="62">
      <c r="A62" s="65" t="inlineStr">
        <is>
          <t>Upside / (Downside)  [Gordon Growth]</t>
        </is>
      </c>
      <c r="B62" s="118">
        <f>IFERROR(B59/B61-1,"")</f>
        <v/>
      </c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</row>
    <row r="63">
      <c r="A63" s="65" t="inlineStr">
        <is>
          <t>Upside / (Downside)  [Exit Multiple]</t>
        </is>
      </c>
      <c r="B63" s="118">
        <f>IFERROR(B60/B61-1,"")</f>
        <v/>
      </c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9" t="inlineStr">
        <is>
          <t>JS SCORECARD — JPM  |  Master Prompt v2  |  23 Jun 2026  |  Sector bucket: Bank</t>
        </is>
      </c>
    </row>
    <row r="2" ht="18" customHeight="1">
      <c r="A2" s="120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4" t="n"/>
      <c r="B3" s="44" t="n"/>
      <c r="C3" s="44" t="n"/>
      <c r="D3" s="44" t="n"/>
      <c r="E3" s="44" t="n"/>
      <c r="F3" s="44" t="n"/>
      <c r="G3" s="44" t="n"/>
      <c r="H3" s="44" t="n"/>
    </row>
    <row r="4" ht="18" customHeight="1">
      <c r="A4" s="121" t="inlineStr">
        <is>
          <t>✓  Bank/Financial sector — D/EBITDA and EBIT/Interest gates exempt  | Capital Adequacy (Equity/Assets) used as P3 leverage criterion  |  Equity/Assets = 8.2%</t>
        </is>
      </c>
    </row>
    <row r="5">
      <c r="A5" s="44" t="n"/>
      <c r="B5" s="44" t="n"/>
      <c r="C5" s="44" t="n"/>
      <c r="D5" s="44" t="n"/>
      <c r="E5" s="44" t="n"/>
      <c r="F5" s="44" t="n"/>
      <c r="G5" s="44" t="n"/>
      <c r="H5" s="44" t="n"/>
    </row>
    <row r="6" ht="20" customHeight="1">
      <c r="A6" s="122" t="inlineStr">
        <is>
          <t>CRITERION</t>
        </is>
      </c>
      <c r="B6" s="123" t="inlineStr">
        <is>
          <t>PART</t>
        </is>
      </c>
      <c r="C6" s="123" t="inlineStr">
        <is>
          <t>WEIGHT %</t>
        </is>
      </c>
      <c r="D6" s="123" t="inlineStr">
        <is>
          <t>CALCULATED VALUE</t>
        </is>
      </c>
      <c r="E6" s="123" t="inlineStr">
        <is>
          <t>TIER  ▼</t>
        </is>
      </c>
      <c r="F6" s="123" t="inlineStr">
        <is>
          <t>SCORE</t>
        </is>
      </c>
      <c r="G6" s="123" t="inlineStr">
        <is>
          <t>WTD SCORE</t>
        </is>
      </c>
      <c r="H6" s="122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24" t="inlineStr">
        <is>
          <t xml:space="preserve">  Business Clarity</t>
        </is>
      </c>
      <c r="B8" s="125" t="inlineStr">
        <is>
          <t>P1</t>
        </is>
      </c>
      <c r="C8" s="126" t="n">
        <v>0.025</v>
      </c>
      <c r="D8" s="127" t="inlineStr">
        <is>
          <t>User-supplied via web form</t>
        </is>
      </c>
      <c r="E8" s="128" t="inlineStr">
        <is>
          <t>MOD-HIGH</t>
        </is>
      </c>
      <c r="F8" s="129">
        <f>IF(E8="HIGH",10,IF(E8="MOD-HIGH",7,IF(E8="MOD-LOW",3,IF(E8="LOW",0,""))))</f>
        <v/>
      </c>
      <c r="G8" s="130">
        <f>IF(F8="",0,C8*F8*10)</f>
        <v/>
      </c>
      <c r="H8" s="131" t="inlineStr">
        <is>
          <t>User-supplied via web form</t>
        </is>
      </c>
    </row>
    <row r="9" ht="18" customHeight="1">
      <c r="A9" s="124" t="inlineStr">
        <is>
          <t xml:space="preserve">  Moat Profile</t>
        </is>
      </c>
      <c r="B9" s="125" t="inlineStr">
        <is>
          <t>P1</t>
        </is>
      </c>
      <c r="C9" s="126" t="n">
        <v>0.1</v>
      </c>
      <c r="D9" s="127" t="inlineStr">
        <is>
          <t>NIM 2.16% ✗ (&gt;2.5%)  |  NIM trend +0.3bps ✓ (&gt;=-20bps)  |  ROE 15.7% vs CoE 8.9% spread +6.9% ✓ (&gt;+2pp)  |  Rev consistency σ=18.7% ✗ (&lt;8%)  |  NCO 3yr avg 0.64% pass (&lt;1.0%)  [3/5 indicators positive — proxy score]</t>
        </is>
      </c>
      <c r="E9" s="128" t="inlineStr">
        <is>
          <t>MOD-HIGH</t>
        </is>
      </c>
      <c r="F9" s="129" t="n">
        <v>6</v>
      </c>
      <c r="G9" s="130">
        <f>IF(F9="",0,C9*F9*10)</f>
        <v/>
      </c>
      <c r="H9" s="131" t="inlineStr">
        <is>
          <t>NIM 2.16% ✗ (&gt;2.5%)  |  NIM trend +0.3bps ✓ (&gt;=-20bps)  |  ROE 15.7% vs CoE 8.9% spread +6.9% ✓ (&gt;+2pp)  |  Rev consistency σ=18.7% ✗ (&lt;8%)  |  NCO 3yr avg 0.64% pass (&lt;1.0%)  [3/5 indicators positive — proxy score]</t>
        </is>
      </c>
    </row>
    <row r="10" ht="18" customHeight="1">
      <c r="A10" s="124" t="inlineStr">
        <is>
          <t xml:space="preserve">  Long-Term Potential</t>
        </is>
      </c>
      <c r="B10" s="125" t="inlineStr">
        <is>
          <t>P1</t>
        </is>
      </c>
      <c r="C10" s="126" t="n">
        <v>0.1</v>
      </c>
      <c r="D10" s="127" t="inlineStr">
        <is>
          <t>User-supplied via web form</t>
        </is>
      </c>
      <c r="E10" s="128" t="inlineStr">
        <is>
          <t>MOD-HIGH</t>
        </is>
      </c>
      <c r="F10" s="129">
        <f>IF(E10="HIGH",10,IF(E10="MOD-HIGH",7,IF(E10="MOD-LOW",3,IF(E10="LOW",0,""))))</f>
        <v/>
      </c>
      <c r="G10" s="130">
        <f>IF(F10="",0,C10*F10*10)</f>
        <v/>
      </c>
      <c r="H10" s="131" t="inlineStr">
        <is>
          <t>User-supplied via web form</t>
        </is>
      </c>
    </row>
    <row r="11" ht="18" customHeight="1">
      <c r="A11" s="124" t="inlineStr">
        <is>
          <t xml:space="preserve">  Management</t>
        </is>
      </c>
      <c r="B11" s="125" t="inlineStr">
        <is>
          <t>P1</t>
        </is>
      </c>
      <c r="C11" s="126" t="n">
        <v>0.075</v>
      </c>
      <c r="D11" s="127" t="inlineStr">
        <is>
          <t>ROE trend +2.9% ✓ (&gt;=-2pp)  |  NIM maintained +0.3bps ✓ (&gt;=-20bps)  |  NCO trend +0.20pp pass (&lt;+30bps/2yr)  |  Op margin -4.1% ✗ (≥-2pp)  |  Capital returns MOD-LOW ✗  |  Share count -2.0%/yr ✓ (net buyback)  |  Goodwill/Equity 15% ✓ (&lt;40%)  [5/7 indicators positive — proxy score]</t>
        </is>
      </c>
      <c r="E11" s="128" t="inlineStr">
        <is>
          <t>MOD-HIGH</t>
        </is>
      </c>
      <c r="F11" s="129" t="n">
        <v>7.14</v>
      </c>
      <c r="G11" s="130">
        <f>IF(F11="",0,C11*F11*10)</f>
        <v/>
      </c>
      <c r="H11" s="131" t="inlineStr">
        <is>
          <t>ROE trend +2.9% ✓ (&gt;=-2pp)  |  NIM maintained +0.3bps ✓ (&gt;=-20bps)  |  NCO trend +0.20pp pass (&lt;+30bps/2yr)  |  Op margin -4.1% ✗ (≥-2pp)  |  Capital returns MOD-LOW ✗  |  Share count -2.0%/yr ✓ (net buyback)  |  Goodwill/Equity 15% ✓ (&lt;40%)  [5/7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4" t="inlineStr">
        <is>
          <t xml:space="preserve">  Revenue 3yr CAGR</t>
        </is>
      </c>
      <c r="B13" s="125" t="inlineStr">
        <is>
          <t>P2</t>
        </is>
      </c>
      <c r="C13" s="126" t="n">
        <v>0.1</v>
      </c>
      <c r="D13" s="127" t="inlineStr">
        <is>
          <t>22.1%</t>
        </is>
      </c>
      <c r="E13" s="132" t="inlineStr">
        <is>
          <t>HIGH</t>
        </is>
      </c>
      <c r="F13" s="129" t="n">
        <v>10</v>
      </c>
      <c r="G13" s="130">
        <f>IF(F13="",0,C13*F13*10)</f>
        <v/>
      </c>
      <c r="H13" s="131" t="inlineStr">
        <is>
          <t>22.1%</t>
        </is>
      </c>
    </row>
    <row r="14" ht="18" customHeight="1">
      <c r="A14" s="124" t="inlineStr">
        <is>
          <t xml:space="preserve">  Capital Returns</t>
        </is>
      </c>
      <c r="B14" s="125" t="inlineStr">
        <is>
          <t>P2</t>
        </is>
      </c>
      <c r="C14" s="126" t="n">
        <v>0.1</v>
      </c>
      <c r="D14" s="127" t="inlineStr">
        <is>
          <t>$34,591mm latest FY — debt-funded  [payout 34% of FCF]</t>
        </is>
      </c>
      <c r="E14" s="133" t="inlineStr">
        <is>
          <t>MOD-LOW</t>
        </is>
      </c>
      <c r="F14" s="129" t="n">
        <v>3</v>
      </c>
      <c r="G14" s="130">
        <f>IF(F14="",0,C14*F14*10)</f>
        <v/>
      </c>
      <c r="H14" s="131" t="inlineStr">
        <is>
          <t>$34,591mm latest FY — debt-funded  [payout 34% of FCF]</t>
        </is>
      </c>
    </row>
    <row r="15" ht="18" customHeight="1">
      <c r="A15" s="124" t="inlineStr">
        <is>
          <t xml:space="preserve">  ROIC</t>
        </is>
      </c>
      <c r="B15" s="125" t="inlineStr">
        <is>
          <t>P2</t>
        </is>
      </c>
      <c r="C15" s="126" t="n">
        <v>0.125</v>
      </c>
      <c r="D15" s="127" t="inlineStr">
        <is>
          <t>15.7%  [QoE: CFO/NI 44% 3yr avg — cash conv weak]</t>
        </is>
      </c>
      <c r="E15" s="132" t="inlineStr">
        <is>
          <t>HIGH</t>
        </is>
      </c>
      <c r="F15" s="129" t="n">
        <v>8.5</v>
      </c>
      <c r="G15" s="130">
        <f>IF(F15="",0,C15*F15*10)</f>
        <v/>
      </c>
      <c r="H15" s="131" t="inlineStr">
        <is>
          <t>15.7%  [QoE: CFO/NI 44% 3yr avg — cash conv weak]</t>
        </is>
      </c>
    </row>
    <row r="16" ht="18" customHeight="1">
      <c r="A16" s="25" t="inlineStr">
        <is>
          <t>PART 3 — RISK PROFILE  (quantitative / qualitative)</t>
        </is>
      </c>
    </row>
    <row r="17" ht="18" customHeight="1">
      <c r="A17" s="124" t="inlineStr">
        <is>
          <t xml:space="preserve">  Capital Adequacy  (Equity / Assets)</t>
        </is>
      </c>
      <c r="B17" s="125" t="inlineStr">
        <is>
          <t>P3</t>
        </is>
      </c>
      <c r="C17" s="126" t="n">
        <v>0.125</v>
      </c>
      <c r="D17" s="127" t="inlineStr">
        <is>
          <t>8.2%  [Equity/Assets — CET1 proxy; well-capitalised &gt;10%]</t>
        </is>
      </c>
      <c r="E17" s="128" t="inlineStr">
        <is>
          <t>MOD-HIGH</t>
        </is>
      </c>
      <c r="F17" s="129" t="n">
        <v>7.29</v>
      </c>
      <c r="G17" s="130">
        <f>IF(F17="",0,C17*F17*10)</f>
        <v/>
      </c>
      <c r="H17" s="131" t="inlineStr">
        <is>
          <t>8.2%  [Equity/Assets — CET1 proxy; well-capitalised &gt;10%]</t>
        </is>
      </c>
    </row>
    <row r="18" ht="18" customHeight="1">
      <c r="A18" s="124" t="inlineStr">
        <is>
          <t xml:space="preserve">  Execution Risk</t>
        </is>
      </c>
      <c r="B18" s="125" t="inlineStr">
        <is>
          <t>P3</t>
        </is>
      </c>
      <c r="C18" s="126" t="n">
        <v>0.05</v>
      </c>
      <c r="D18" s="127" t="inlineStr">
        <is>
          <t>Rev growth σ=18.7%  |  OM trend -20.9%, σ=7.9%  [quality = direction + stability]</t>
        </is>
      </c>
      <c r="E18" s="134" t="inlineStr">
        <is>
          <t>LOW</t>
        </is>
      </c>
      <c r="F18" s="129" t="n">
        <v>0</v>
      </c>
      <c r="G18" s="130">
        <f>IF(F18="",0,C18*F18*10)</f>
        <v/>
      </c>
      <c r="H18" s="131" t="inlineStr">
        <is>
          <t>Rev growth σ=18.7%  |  OM trend -20.9%, σ=7.9%  [quality = direction + stability]</t>
        </is>
      </c>
    </row>
    <row r="19" ht="18" customHeight="1">
      <c r="A19" s="25" t="inlineStr">
        <is>
          <t>PART 4 — VALUATION  (qualitative / user-supplied market data)</t>
        </is>
      </c>
    </row>
    <row r="20" ht="18" customHeight="1">
      <c r="A20" s="124" t="inlineStr">
        <is>
          <t xml:space="preserve">  Valuation vs Median  (P/E)</t>
        </is>
      </c>
      <c r="B20" s="125" t="inlineStr">
        <is>
          <t>P4</t>
        </is>
      </c>
      <c r="C20" s="126" t="n">
        <v>0.2</v>
      </c>
      <c r="D20" s="127" t="inlineStr">
        <is>
          <t>Fwd P/E 13.8x (scoring basis)  |  5yr avg 12.7x  |  DCF-implied 7.6x [ref only — not used as benchmark]  [+9% vs benchmark]  [trail=5.61 | fwd_pe=13.8x→5.61 | abs=6.0 [bank cap 6.0] → blended 40/40/20=5.69]  PEG=156.00 (fwd_pe=13.8x / eps_growth=9%)  [revision:Modest upgrade expected→+0.25]</t>
        </is>
      </c>
      <c r="E20" s="128" t="inlineStr">
        <is>
          <t>MOD-HIGH</t>
        </is>
      </c>
      <c r="F20" s="129" t="n">
        <v>5.94</v>
      </c>
      <c r="G20" s="130">
        <f>IF(F20="",0,C20*F20*10)</f>
        <v/>
      </c>
      <c r="H20" s="131" t="inlineStr">
        <is>
          <t>Fwd P/E 13.8x (scoring basis)  |  5yr avg 12.7x  |  DCF-implied 7.6x [ref only — not used as benchmark]  [+9% vs benchmark]  [trail=5.61 | fwd_pe=13.8x→5.61 | abs=6.0 [bank cap 6.0] → blended 40/40/20=5.69]  PEG=156.00 (fwd_pe=13.8x / eps_growth=9%)  [revision:Modest upgrade expected→+0.25]</t>
        </is>
      </c>
    </row>
    <row r="21">
      <c r="A21" s="44" t="n"/>
      <c r="B21" s="44" t="n"/>
      <c r="C21" s="44" t="n"/>
      <c r="D21" s="44" t="n"/>
      <c r="E21" s="44" t="n"/>
      <c r="F21" s="44" t="n"/>
      <c r="G21" s="44" t="n"/>
      <c r="H21" s="44" t="n"/>
    </row>
    <row r="22" ht="20" customHeight="1">
      <c r="A22" s="135" t="inlineStr">
        <is>
          <t>TOTAL SCORE  (max = 100.0)</t>
        </is>
      </c>
      <c r="B22" s="136" t="n"/>
      <c r="C22" s="136" t="n"/>
      <c r="D22" s="136" t="n"/>
      <c r="E22" s="136" t="n"/>
      <c r="F22" s="136" t="n"/>
      <c r="G22" s="137">
        <f>G8+G9+G10+G11+G13+G14+G15+G17+G18+G20</f>
        <v/>
      </c>
      <c r="H22" s="138" t="inlineStr">
        <is>
          <t>No floor cap.</t>
        </is>
      </c>
    </row>
    <row r="23">
      <c r="A23" s="44" t="n"/>
      <c r="B23" s="44" t="n"/>
      <c r="C23" s="44" t="n"/>
      <c r="D23" s="44" t="n"/>
      <c r="E23" s="44" t="n"/>
      <c r="F23" s="44" t="n"/>
      <c r="G23" s="44" t="n"/>
      <c r="H23" s="44" t="n"/>
    </row>
    <row r="24" ht="24" customHeight="1">
      <c r="A24" s="139">
        <f>IF(G22="","Score incomplete — fill qualitative tiers above",IF(G22&gt;=80,"STRONG BUY",IF(G22&gt;=65,"BUY",IF(G22&gt;=50,"HOLD",IF(G22&gt;=35,"REDUCE","SELL")))))</f>
        <v/>
      </c>
    </row>
    <row r="25">
      <c r="A25" s="44" t="n"/>
      <c r="B25" s="44" t="n"/>
      <c r="C25" s="44" t="n"/>
      <c r="D25" s="44" t="n"/>
      <c r="E25" s="44" t="n"/>
      <c r="F25" s="44" t="n"/>
      <c r="G25" s="44" t="n"/>
      <c r="H25" s="44" t="n"/>
    </row>
    <row r="26" ht="18" customHeight="1">
      <c r="A26" s="140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6:H26"/>
    <mergeCell ref="A7:H7"/>
    <mergeCell ref="A24:H24"/>
    <mergeCell ref="A2:H2"/>
    <mergeCell ref="A16:H16"/>
    <mergeCell ref="A19:H19"/>
    <mergeCell ref="A1:H1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2026-06-23T12:36:23Z</dcterms:created>
  <dcterms:modified xmlns:dcterms="http://purl.org/dc/terms/" xmlns:xsi="http://www.w3.org/2001/XMLSchema-instance" xsi:type="dcterms:W3CDTF">2026-06-23T12:36:37Z</dcterms:modified>
</cp:coreProperties>
</file>