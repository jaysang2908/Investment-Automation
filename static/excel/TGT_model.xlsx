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6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0" fontId="33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TGT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104780</v>
      </c>
    </row>
    <row r="8">
      <c r="A8" s="3" t="inlineStr">
        <is>
          <t>Gross Profit ($mm)</t>
        </is>
      </c>
      <c r="B8" s="7" t="n">
        <v>26652</v>
      </c>
    </row>
    <row r="9">
      <c r="A9" s="3" t="inlineStr">
        <is>
          <t>EBITDA ($mm)</t>
        </is>
      </c>
      <c r="B9" s="7" t="n">
        <v>7977</v>
      </c>
    </row>
    <row r="10">
      <c r="A10" s="3" t="inlineStr">
        <is>
          <t>EBIT ($mm)</t>
        </is>
      </c>
      <c r="B10" s="7" t="n">
        <v>4843</v>
      </c>
    </row>
    <row r="11">
      <c r="A11" s="3" t="inlineStr">
        <is>
          <t>Net Income ($mm)</t>
        </is>
      </c>
      <c r="B11" s="7" t="n">
        <v>3705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TGT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106005</v>
      </c>
      <c r="C5" s="16" t="n">
        <v>109120</v>
      </c>
      <c r="D5" s="16" t="n">
        <v>107412</v>
      </c>
      <c r="E5" s="16" t="n">
        <v>106566</v>
      </c>
      <c r="F5" s="16" t="n">
        <v>104780</v>
      </c>
    </row>
    <row r="6">
      <c r="A6" s="17" t="inlineStr">
        <is>
          <t>(2)  Cost of Revenue (COGS)</t>
        </is>
      </c>
      <c r="B6" s="18" t="n">
        <v>74963</v>
      </c>
      <c r="C6" s="18" t="n">
        <v>82306</v>
      </c>
      <c r="D6" s="18" t="n">
        <v>77828</v>
      </c>
      <c r="E6" s="18" t="n">
        <v>76502</v>
      </c>
      <c r="F6" s="18" t="n">
        <v>78128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19752</v>
      </c>
      <c r="C9" s="18" t="n">
        <v>20581</v>
      </c>
      <c r="D9" s="18" t="n">
        <v>21462</v>
      </c>
      <c r="E9" s="18" t="n">
        <v>21969</v>
      </c>
      <c r="F9" s="18" t="n">
        <v>21809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22096</v>
      </c>
      <c r="C11" s="18" t="n">
        <v>22966</v>
      </c>
      <c r="D11" s="18" t="n">
        <v>23877</v>
      </c>
      <c r="E11" s="18" t="n">
        <v>24498</v>
      </c>
      <c r="F11" s="18" t="n">
        <v>21809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2642</v>
      </c>
      <c r="C14" s="18" t="n">
        <v>2700</v>
      </c>
      <c r="D14" s="18" t="n">
        <v>2801</v>
      </c>
      <c r="E14" s="18" t="n">
        <v>2981</v>
      </c>
      <c r="F14" s="18" t="n">
        <v>3134</v>
      </c>
    </row>
    <row r="15">
      <c r="A15" s="19" t="inlineStr">
        <is>
          <t>(8)  EBIT (Operating Income)</t>
        </is>
      </c>
      <c r="B15" s="24" t="n">
        <v>8946</v>
      </c>
      <c r="C15" s="24" t="n">
        <v>3848</v>
      </c>
      <c r="D15" s="24" t="n">
        <v>5707</v>
      </c>
      <c r="E15" s="24" t="n">
        <v>5566</v>
      </c>
      <c r="F15" s="24" t="n">
        <v>4843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421</v>
      </c>
      <c r="C17" s="18" t="n">
        <v>478</v>
      </c>
      <c r="D17" s="18" t="n">
        <v>502</v>
      </c>
      <c r="E17" s="18" t="n">
        <v>411</v>
      </c>
      <c r="F17" s="18" t="n">
        <v>468</v>
      </c>
    </row>
    <row r="18">
      <c r="A18" s="21" t="inlineStr">
        <is>
          <t xml:space="preserve">     Interest Income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8907</v>
      </c>
      <c r="C21" s="24" t="n">
        <v>3418</v>
      </c>
      <c r="D21" s="24" t="n">
        <v>5297</v>
      </c>
      <c r="E21" s="24" t="n">
        <v>5261</v>
      </c>
      <c r="F21" s="24" t="n">
        <v>4767</v>
      </c>
    </row>
    <row r="22">
      <c r="A22" s="17" t="inlineStr">
        <is>
          <t>(11) Income Tax Expense</t>
        </is>
      </c>
      <c r="B22" s="18" t="n">
        <v>1961</v>
      </c>
      <c r="C22" s="18" t="n">
        <v>638</v>
      </c>
      <c r="D22" s="18" t="n">
        <v>1159</v>
      </c>
      <c r="E22" s="18" t="n">
        <v>1170</v>
      </c>
      <c r="F22" s="18" t="n">
        <v>1062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6946</v>
      </c>
      <c r="C24" s="24" t="n">
        <v>2780</v>
      </c>
      <c r="D24" s="24" t="n">
        <v>4138</v>
      </c>
      <c r="E24" s="24" t="n">
        <v>4091</v>
      </c>
      <c r="F24" s="24" t="n">
        <v>3705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106005</v>
      </c>
      <c r="C30" s="16" t="n">
        <v>109120</v>
      </c>
      <c r="D30" s="16" t="n">
        <v>107412</v>
      </c>
      <c r="E30" s="16" t="n">
        <v>106566</v>
      </c>
      <c r="F30" s="16" t="n">
        <v>104780</v>
      </c>
    </row>
    <row r="31">
      <c r="A31" s="17" t="inlineStr">
        <is>
          <t>Cost of Revenue</t>
        </is>
      </c>
      <c r="B31" s="18" t="n">
        <v>74963</v>
      </c>
      <c r="C31" s="18" t="n">
        <v>82306</v>
      </c>
      <c r="D31" s="18" t="n">
        <v>77828</v>
      </c>
      <c r="E31" s="18" t="n">
        <v>76502</v>
      </c>
      <c r="F31" s="18" t="n">
        <v>78128</v>
      </c>
    </row>
    <row r="32">
      <c r="A32" s="26" t="inlineStr">
        <is>
          <t>Gross Profit</t>
        </is>
      </c>
      <c r="B32" s="27" t="n">
        <v>31042</v>
      </c>
      <c r="C32" s="27" t="n">
        <v>26814</v>
      </c>
      <c r="D32" s="27" t="n">
        <v>29584</v>
      </c>
      <c r="E32" s="27" t="n">
        <v>30064</v>
      </c>
      <c r="F32" s="27" t="n">
        <v>26652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19752</v>
      </c>
      <c r="C37" s="18" t="n">
        <v>20581</v>
      </c>
      <c r="D37" s="18" t="n">
        <v>21462</v>
      </c>
      <c r="E37" s="18" t="n">
        <v>21969</v>
      </c>
      <c r="F37" s="18" t="n">
        <v>21809</v>
      </c>
    </row>
    <row r="38">
      <c r="A38" s="17" t="inlineStr">
        <is>
          <t>Other Expenses</t>
        </is>
      </c>
      <c r="B38" s="18" t="n">
        <v>2344</v>
      </c>
      <c r="C38" s="18" t="n">
        <v>2385</v>
      </c>
      <c r="D38" s="18" t="n">
        <v>2415</v>
      </c>
      <c r="E38" s="18" t="n">
        <v>2529</v>
      </c>
      <c r="F38" s="18" t="n">
        <v>0</v>
      </c>
    </row>
    <row r="39">
      <c r="A39" s="26" t="inlineStr">
        <is>
          <t>Total Operating Expenses</t>
        </is>
      </c>
      <c r="B39" s="27" t="n">
        <v>22096</v>
      </c>
      <c r="C39" s="27" t="n">
        <v>22966</v>
      </c>
      <c r="D39" s="27" t="n">
        <v>23877</v>
      </c>
      <c r="E39" s="27" t="n">
        <v>24498</v>
      </c>
      <c r="F39" s="27" t="n">
        <v>21809</v>
      </c>
    </row>
    <row r="40">
      <c r="A40" s="17" t="inlineStr">
        <is>
          <t>Cost &amp; Expenses (COGS + Opex)</t>
        </is>
      </c>
      <c r="B40" s="18" t="n">
        <v>97059</v>
      </c>
      <c r="C40" s="18" t="n">
        <v>105272</v>
      </c>
      <c r="D40" s="18" t="n">
        <v>101705</v>
      </c>
      <c r="E40" s="18" t="n">
        <v>101000</v>
      </c>
      <c r="F40" s="18" t="n">
        <v>99937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8946</v>
      </c>
      <c r="C42" s="16" t="n">
        <v>3848</v>
      </c>
      <c r="D42" s="16" t="n">
        <v>5707</v>
      </c>
      <c r="E42" s="16" t="n">
        <v>5566</v>
      </c>
      <c r="F42" s="16" t="n">
        <v>4843</v>
      </c>
    </row>
    <row r="43">
      <c r="A43" s="17" t="inlineStr">
        <is>
          <t>EBIT (FMP field)</t>
        </is>
      </c>
      <c r="B43" s="18" t="n">
        <v>9328</v>
      </c>
      <c r="C43" s="18" t="n">
        <v>3896</v>
      </c>
      <c r="D43" s="18" t="n">
        <v>5799</v>
      </c>
      <c r="E43" s="18" t="n">
        <v>5672</v>
      </c>
      <c r="F43" s="18" t="n">
        <v>4843</v>
      </c>
    </row>
    <row r="44">
      <c r="A44" s="26" t="inlineStr">
        <is>
          <t>EBITDA</t>
        </is>
      </c>
      <c r="B44" s="27" t="n">
        <v>11970</v>
      </c>
      <c r="C44" s="27" t="n">
        <v>6596</v>
      </c>
      <c r="D44" s="27" t="n">
        <v>8600</v>
      </c>
      <c r="E44" s="27" t="n">
        <v>8653</v>
      </c>
      <c r="F44" s="27" t="n">
        <v>7977</v>
      </c>
    </row>
    <row r="45">
      <c r="A45" s="17" t="inlineStr">
        <is>
          <t>Depreciation &amp; Amortisation</t>
        </is>
      </c>
      <c r="B45" s="18" t="n">
        <v>2642</v>
      </c>
      <c r="C45" s="18" t="n">
        <v>2700</v>
      </c>
      <c r="D45" s="18" t="n">
        <v>2801</v>
      </c>
      <c r="E45" s="18" t="n">
        <v>2981</v>
      </c>
      <c r="F45" s="18" t="n">
        <v>3134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421</v>
      </c>
      <c r="C48" s="18" t="n">
        <v>478</v>
      </c>
      <c r="D48" s="18" t="n">
        <v>502</v>
      </c>
      <c r="E48" s="18" t="n">
        <v>411</v>
      </c>
      <c r="F48" s="18" t="n">
        <v>468</v>
      </c>
    </row>
    <row r="49">
      <c r="A49" s="17" t="inlineStr">
        <is>
          <t>Net Interest Income</t>
        </is>
      </c>
      <c r="B49" s="18" t="n">
        <v>-421</v>
      </c>
      <c r="C49" s="18" t="n">
        <v>-478</v>
      </c>
      <c r="D49" s="18" t="n">
        <v>-502</v>
      </c>
      <c r="E49" s="18" t="n">
        <v>-411</v>
      </c>
      <c r="F49" s="18" t="n">
        <v>-468</v>
      </c>
    </row>
    <row r="50">
      <c r="A50" s="17" t="inlineStr">
        <is>
          <t>Non-Operating Income (ex-interest)</t>
        </is>
      </c>
      <c r="B50" s="18" t="n">
        <v>-382</v>
      </c>
      <c r="C50" s="18" t="n">
        <v>-48</v>
      </c>
      <c r="D50" s="18" t="n">
        <v>-92</v>
      </c>
      <c r="E50" s="18" t="n">
        <v>-106</v>
      </c>
      <c r="F50" s="18" t="n">
        <v>0</v>
      </c>
    </row>
    <row r="51">
      <c r="A51" s="17" t="inlineStr">
        <is>
          <t>Total Other Income / (Expenses)</t>
        </is>
      </c>
      <c r="B51" s="18" t="n">
        <v>-39</v>
      </c>
      <c r="C51" s="18" t="n">
        <v>-430</v>
      </c>
      <c r="D51" s="18" t="n">
        <v>-410</v>
      </c>
      <c r="E51" s="18" t="n">
        <v>-305</v>
      </c>
      <c r="F51" s="18" t="n">
        <v>-76</v>
      </c>
    </row>
    <row r="52">
      <c r="A52" s="26" t="inlineStr">
        <is>
          <t>EBT / Income Before Tax</t>
        </is>
      </c>
      <c r="B52" s="27" t="n">
        <v>8907</v>
      </c>
      <c r="C52" s="27" t="n">
        <v>3418</v>
      </c>
      <c r="D52" s="27" t="n">
        <v>5297</v>
      </c>
      <c r="E52" s="27" t="n">
        <v>5261</v>
      </c>
      <c r="F52" s="27" t="n">
        <v>4767</v>
      </c>
    </row>
    <row r="53">
      <c r="A53" s="17" t="inlineStr">
        <is>
          <t>Income Tax Expense</t>
        </is>
      </c>
      <c r="B53" s="18" t="n">
        <v>1961</v>
      </c>
      <c r="C53" s="18" t="n">
        <v>638</v>
      </c>
      <c r="D53" s="18" t="n">
        <v>1159</v>
      </c>
      <c r="E53" s="18" t="n">
        <v>1170</v>
      </c>
      <c r="F53" s="18" t="n">
        <v>1062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6946</v>
      </c>
      <c r="C55" s="18" t="n">
        <v>2780</v>
      </c>
      <c r="D55" s="18" t="n">
        <v>4138</v>
      </c>
      <c r="E55" s="18" t="n">
        <v>4091</v>
      </c>
      <c r="F55" s="18" t="n">
        <v>3705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6946</v>
      </c>
      <c r="C59" s="27" t="n">
        <v>2780</v>
      </c>
      <c r="D59" s="27" t="n">
        <v>4138</v>
      </c>
      <c r="E59" s="27" t="n">
        <v>4091</v>
      </c>
      <c r="F59" s="27" t="n">
        <v>3705</v>
      </c>
    </row>
    <row r="60">
      <c r="A60" s="15" t="inlineStr">
        <is>
          <t>Bottom Line Net Income</t>
        </is>
      </c>
      <c r="B60" s="16" t="n">
        <v>6946</v>
      </c>
      <c r="C60" s="16" t="n">
        <v>2780</v>
      </c>
      <c r="D60" s="16" t="n">
        <v>4138</v>
      </c>
      <c r="E60" s="16" t="n">
        <v>4091</v>
      </c>
      <c r="F60" s="16" t="n">
        <v>3705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14.23</v>
      </c>
      <c r="C62" s="18" t="n">
        <v>6.02</v>
      </c>
      <c r="D62" s="18" t="n">
        <v>8.960000000000001</v>
      </c>
      <c r="E62" s="18" t="n">
        <v>8.890000000000001</v>
      </c>
      <c r="F62" s="18" t="n">
        <v>8.16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488.1</v>
      </c>
      <c r="C64" s="18" t="n">
        <v>462.1</v>
      </c>
      <c r="D64" s="18" t="n">
        <v>461.5</v>
      </c>
      <c r="E64" s="18" t="n">
        <v>460.4</v>
      </c>
      <c r="F64" s="18" t="n">
        <v>454.1</v>
      </c>
    </row>
    <row r="65">
      <c r="A65" s="17" t="inlineStr">
        <is>
          <t>Shares Outstanding — Diluted (mm)</t>
        </is>
      </c>
      <c r="B65" s="18" t="n">
        <v>492.7</v>
      </c>
      <c r="C65" s="18" t="n">
        <v>464.7</v>
      </c>
      <c r="D65" s="18" t="n">
        <v>462.8</v>
      </c>
      <c r="E65" s="18" t="n">
        <v>461.8</v>
      </c>
      <c r="F65" s="18" t="n">
        <v>455.6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TGT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5911</v>
      </c>
      <c r="C5" s="18" t="n">
        <v>2229</v>
      </c>
      <c r="D5" s="18" t="n">
        <v>3805</v>
      </c>
      <c r="E5" s="18" t="n">
        <v>4762</v>
      </c>
      <c r="F5" s="18" t="n">
        <v>5488</v>
      </c>
    </row>
    <row r="6">
      <c r="A6" s="17" t="inlineStr">
        <is>
          <t>(2)  Receivables</t>
        </is>
      </c>
      <c r="B6" s="18" t="n">
        <v>1353</v>
      </c>
      <c r="C6" s="18" t="n">
        <v>1695</v>
      </c>
      <c r="D6" s="18" t="n">
        <v>1404</v>
      </c>
      <c r="E6" s="18" t="n">
        <v>1541</v>
      </c>
      <c r="F6" s="18" t="n">
        <v>1807</v>
      </c>
    </row>
    <row r="7">
      <c r="A7" s="17" t="inlineStr">
        <is>
          <t>(3)  Inventory</t>
        </is>
      </c>
      <c r="B7" s="18" t="n">
        <v>13902</v>
      </c>
      <c r="C7" s="18" t="n">
        <v>13499</v>
      </c>
      <c r="D7" s="18" t="n">
        <v>11886</v>
      </c>
      <c r="E7" s="18" t="n">
        <v>12740</v>
      </c>
      <c r="F7" s="18" t="n">
        <v>12304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21573</v>
      </c>
      <c r="C9" s="24" t="n">
        <v>17846</v>
      </c>
      <c r="D9" s="24" t="n">
        <v>17498</v>
      </c>
      <c r="E9" s="24" t="n">
        <v>19454</v>
      </c>
      <c r="F9" s="24" t="n">
        <v>20005</v>
      </c>
    </row>
    <row r="10">
      <c r="A10" s="17" t="inlineStr">
        <is>
          <t>(6)  PP&amp;E (Net)</t>
        </is>
      </c>
      <c r="B10" s="18" t="n">
        <v>30737</v>
      </c>
      <c r="C10" s="18" t="n">
        <v>34169</v>
      </c>
      <c r="D10" s="18" t="n">
        <v>36458</v>
      </c>
      <c r="E10" s="18" t="n">
        <v>36785</v>
      </c>
      <c r="F10" s="18" t="n">
        <v>37452</v>
      </c>
    </row>
    <row r="11">
      <c r="A11" s="17" t="inlineStr">
        <is>
          <t>(7)  Goodwill</t>
        </is>
      </c>
      <c r="B11" s="18" t="n">
        <v>631</v>
      </c>
      <c r="C11" s="18" t="n">
        <v>631</v>
      </c>
      <c r="D11" s="18" t="n">
        <v>631</v>
      </c>
      <c r="E11" s="18" t="n">
        <v>631</v>
      </c>
      <c r="F11" s="18" t="n">
        <v>631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32238</v>
      </c>
      <c r="C14" s="24" t="n">
        <v>35489</v>
      </c>
      <c r="D14" s="24" t="n">
        <v>37858</v>
      </c>
      <c r="E14" s="24" t="n">
        <v>38315</v>
      </c>
      <c r="F14" s="24" t="n">
        <v>39485</v>
      </c>
    </row>
    <row r="15">
      <c r="A15" s="19" t="inlineStr">
        <is>
          <t>(11) Total Assets</t>
        </is>
      </c>
      <c r="B15" s="24" t="n">
        <v>53811</v>
      </c>
      <c r="C15" s="24" t="n">
        <v>53335</v>
      </c>
      <c r="D15" s="24" t="n">
        <v>55356</v>
      </c>
      <c r="E15" s="24" t="n">
        <v>57769</v>
      </c>
      <c r="F15" s="24" t="n">
        <v>59490</v>
      </c>
    </row>
    <row r="16" ht="6" customHeight="1"/>
    <row r="17">
      <c r="A17" s="17" t="inlineStr">
        <is>
          <t>(12) Accounts Payable</t>
        </is>
      </c>
      <c r="B17" s="18" t="n">
        <v>15478</v>
      </c>
      <c r="C17" s="18" t="n">
        <v>13487</v>
      </c>
      <c r="D17" s="18" t="n">
        <v>12098</v>
      </c>
      <c r="E17" s="18" t="n">
        <v>13053</v>
      </c>
      <c r="F17" s="18" t="n">
        <v>12622</v>
      </c>
    </row>
    <row r="18">
      <c r="A18" s="17" t="inlineStr">
        <is>
          <t>(13) Short-Term Borrowings</t>
        </is>
      </c>
      <c r="B18" s="18" t="n">
        <v>171</v>
      </c>
      <c r="C18" s="18" t="n">
        <v>130</v>
      </c>
      <c r="D18" s="18" t="n">
        <v>1116</v>
      </c>
      <c r="E18" s="18" t="n">
        <v>1636</v>
      </c>
      <c r="F18" s="18" t="n">
        <v>2130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21747</v>
      </c>
      <c r="C21" s="24" t="n">
        <v>19500</v>
      </c>
      <c r="D21" s="24" t="n">
        <v>19304</v>
      </c>
      <c r="E21" s="24" t="n">
        <v>20799</v>
      </c>
      <c r="F21" s="24" t="n">
        <v>21230</v>
      </c>
    </row>
    <row r="22">
      <c r="A22" s="17" t="inlineStr">
        <is>
          <t>(17) Long-Term Debt</t>
        </is>
      </c>
      <c r="B22" s="18" t="n">
        <v>13549</v>
      </c>
      <c r="C22" s="18" t="n">
        <v>16009</v>
      </c>
      <c r="D22" s="18" t="n">
        <v>14922</v>
      </c>
      <c r="E22" s="18" t="n">
        <v>14304</v>
      </c>
      <c r="F22" s="18" t="n">
        <v>14326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40984</v>
      </c>
      <c r="C25" s="24" t="n">
        <v>42103</v>
      </c>
      <c r="D25" s="24" t="n">
        <v>41924</v>
      </c>
      <c r="E25" s="24" t="n">
        <v>43103</v>
      </c>
      <c r="F25" s="24" t="n">
        <v>43325</v>
      </c>
    </row>
    <row r="26" ht="6" customHeight="1"/>
    <row r="27">
      <c r="A27" s="17" t="inlineStr">
        <is>
          <t>(21) Common Stock &amp; APIC</t>
        </is>
      </c>
      <c r="B27" s="18" t="n">
        <v>39</v>
      </c>
      <c r="C27" s="18" t="n">
        <v>38</v>
      </c>
      <c r="D27" s="18" t="n">
        <v>38</v>
      </c>
      <c r="E27" s="18" t="n">
        <v>38</v>
      </c>
      <c r="F27" s="18" t="n">
        <v>38</v>
      </c>
    </row>
    <row r="28">
      <c r="A28" s="17" t="inlineStr">
        <is>
          <t>(22) Retained Earnings</t>
        </is>
      </c>
      <c r="B28" s="18" t="n">
        <v>6920</v>
      </c>
      <c r="C28" s="18" t="n">
        <v>5005</v>
      </c>
      <c r="D28" s="18" t="n">
        <v>7093</v>
      </c>
      <c r="E28" s="18" t="n">
        <v>8090</v>
      </c>
      <c r="F28" s="18" t="n">
        <v>9297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12827</v>
      </c>
      <c r="C30" s="24" t="n">
        <v>11232</v>
      </c>
      <c r="D30" s="24" t="n">
        <v>13432</v>
      </c>
      <c r="E30" s="24" t="n">
        <v>14666</v>
      </c>
      <c r="F30" s="24" t="n">
        <v>16165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5911</v>
      </c>
      <c r="C36" s="18" t="n">
        <v>2229</v>
      </c>
      <c r="D36" s="18" t="n">
        <v>3805</v>
      </c>
      <c r="E36" s="18" t="n">
        <v>4762</v>
      </c>
      <c r="F36" s="18" t="n">
        <v>5488</v>
      </c>
    </row>
    <row r="37">
      <c r="A37" s="17" t="inlineStr">
        <is>
          <t>Short-Term Investments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</row>
    <row r="38">
      <c r="A38" s="28" t="inlineStr">
        <is>
          <t>Cash &amp; Short-Term Investments</t>
        </is>
      </c>
      <c r="B38" s="29" t="n">
        <v>5911</v>
      </c>
      <c r="C38" s="29" t="n">
        <v>2229</v>
      </c>
      <c r="D38" s="29" t="n">
        <v>3805</v>
      </c>
      <c r="E38" s="29" t="n">
        <v>4762</v>
      </c>
      <c r="F38" s="29" t="n">
        <v>5488</v>
      </c>
    </row>
    <row r="39">
      <c r="A39" s="17" t="inlineStr">
        <is>
          <t>Accounts Receivable (Trade)</t>
        </is>
      </c>
      <c r="B39" s="18" t="n">
        <v>835</v>
      </c>
      <c r="C39" s="18" t="n">
        <v>1169</v>
      </c>
      <c r="D39" s="18" t="n">
        <v>891</v>
      </c>
      <c r="E39" s="18" t="n">
        <v>998</v>
      </c>
      <c r="F39" s="18" t="n">
        <v>1265</v>
      </c>
    </row>
    <row r="40">
      <c r="A40" s="17" t="inlineStr">
        <is>
          <t>Other Receivables</t>
        </is>
      </c>
      <c r="B40" s="18" t="n">
        <v>518</v>
      </c>
      <c r="C40" s="18" t="n">
        <v>526</v>
      </c>
      <c r="D40" s="18" t="n">
        <v>513</v>
      </c>
      <c r="E40" s="18" t="n">
        <v>543</v>
      </c>
      <c r="F40" s="18" t="n">
        <v>542</v>
      </c>
    </row>
    <row r="41">
      <c r="A41" s="28" t="inlineStr">
        <is>
          <t>Net Receivables (Total)</t>
        </is>
      </c>
      <c r="B41" s="29" t="n">
        <v>1353</v>
      </c>
      <c r="C41" s="29" t="n">
        <v>1695</v>
      </c>
      <c r="D41" s="29" t="n">
        <v>1404</v>
      </c>
      <c r="E41" s="29" t="n">
        <v>1541</v>
      </c>
      <c r="F41" s="29" t="n">
        <v>1807</v>
      </c>
    </row>
    <row r="42">
      <c r="A42" s="17" t="inlineStr">
        <is>
          <t>Inventory</t>
        </is>
      </c>
      <c r="B42" s="18" t="n">
        <v>13902</v>
      </c>
      <c r="C42" s="18" t="n">
        <v>13499</v>
      </c>
      <c r="D42" s="18" t="n">
        <v>11886</v>
      </c>
      <c r="E42" s="18" t="n">
        <v>12740</v>
      </c>
      <c r="F42" s="18" t="n">
        <v>12304</v>
      </c>
    </row>
    <row r="43">
      <c r="A43" s="17" t="inlineStr">
        <is>
          <t>Prepaids</t>
        </is>
      </c>
      <c r="B43" s="18" t="n">
        <v>170</v>
      </c>
      <c r="C43" s="18" t="n">
        <v>188</v>
      </c>
      <c r="D43" s="18" t="n">
        <v>201</v>
      </c>
      <c r="E43" s="18" t="n">
        <v>226</v>
      </c>
      <c r="F43" s="18" t="n">
        <v>223</v>
      </c>
    </row>
    <row r="44">
      <c r="A44" s="17" t="inlineStr">
        <is>
          <t>Other Current Assets</t>
        </is>
      </c>
      <c r="B44" s="18" t="n">
        <v>237</v>
      </c>
      <c r="C44" s="18" t="n">
        <v>235</v>
      </c>
      <c r="D44" s="18" t="n">
        <v>202</v>
      </c>
      <c r="E44" s="18" t="n">
        <v>185</v>
      </c>
      <c r="F44" s="18" t="n">
        <v>183</v>
      </c>
    </row>
    <row r="45">
      <c r="A45" s="26" t="inlineStr">
        <is>
          <t>Total Current Assets</t>
        </is>
      </c>
      <c r="B45" s="27" t="n">
        <v>21573</v>
      </c>
      <c r="C45" s="27" t="n">
        <v>17846</v>
      </c>
      <c r="D45" s="27" t="n">
        <v>17498</v>
      </c>
      <c r="E45" s="27" t="n">
        <v>19454</v>
      </c>
      <c r="F45" s="27" t="n">
        <v>20005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30737</v>
      </c>
      <c r="C47" s="18" t="n">
        <v>34169</v>
      </c>
      <c r="D47" s="18" t="n">
        <v>36458</v>
      </c>
      <c r="E47" s="18" t="n">
        <v>36785</v>
      </c>
      <c r="F47" s="18" t="n">
        <v>37452</v>
      </c>
    </row>
    <row r="48">
      <c r="A48" s="17" t="inlineStr">
        <is>
          <t>Goodwill</t>
        </is>
      </c>
      <c r="B48" s="18" t="n">
        <v>631</v>
      </c>
      <c r="C48" s="18" t="n">
        <v>631</v>
      </c>
      <c r="D48" s="18" t="n">
        <v>631</v>
      </c>
      <c r="E48" s="18" t="n">
        <v>631</v>
      </c>
      <c r="F48" s="18" t="n">
        <v>631</v>
      </c>
    </row>
    <row r="49">
      <c r="A49" s="17" t="inlineStr">
        <is>
          <t>Intangible Assets</t>
        </is>
      </c>
      <c r="B49" s="18" t="n">
        <v>25</v>
      </c>
      <c r="C49" s="18" t="n">
        <v>14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470</v>
      </c>
      <c r="C50" s="18" t="n">
        <v>440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470</v>
      </c>
      <c r="C52" s="18" t="n">
        <v>440</v>
      </c>
      <c r="D52" s="18" t="n">
        <v>0</v>
      </c>
      <c r="E52" s="18" t="n">
        <v>0</v>
      </c>
      <c r="F52" s="18" t="n">
        <v>0</v>
      </c>
    </row>
    <row r="53">
      <c r="A53" s="17" t="inlineStr">
        <is>
          <t>Other Non-Current Assets</t>
        </is>
      </c>
      <c r="B53" s="18" t="n">
        <v>375</v>
      </c>
      <c r="C53" s="18" t="n">
        <v>235</v>
      </c>
      <c r="D53" s="18" t="n">
        <v>769</v>
      </c>
      <c r="E53" s="18" t="n">
        <v>899</v>
      </c>
      <c r="F53" s="18" t="n">
        <v>1402</v>
      </c>
    </row>
    <row r="54">
      <c r="A54" s="26" t="inlineStr">
        <is>
          <t>Total Non-Current Assets</t>
        </is>
      </c>
      <c r="B54" s="27" t="n">
        <v>32238</v>
      </c>
      <c r="C54" s="27" t="n">
        <v>35489</v>
      </c>
      <c r="D54" s="27" t="n">
        <v>37858</v>
      </c>
      <c r="E54" s="27" t="n">
        <v>38315</v>
      </c>
      <c r="F54" s="27" t="n">
        <v>39485</v>
      </c>
    </row>
    <row r="55">
      <c r="A55" s="13" t="inlineStr">
        <is>
          <t>TOTAL ASSETS</t>
        </is>
      </c>
      <c r="B55" s="30" t="n">
        <v>53811</v>
      </c>
      <c r="C55" s="30" t="n">
        <v>53335</v>
      </c>
      <c r="D55" s="30" t="n">
        <v>55356</v>
      </c>
      <c r="E55" s="30" t="n">
        <v>57769</v>
      </c>
      <c r="F55" s="30" t="n">
        <v>59490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15478</v>
      </c>
      <c r="C57" s="18" t="n">
        <v>13487</v>
      </c>
      <c r="D57" s="18" t="n">
        <v>12098</v>
      </c>
      <c r="E57" s="18" t="n">
        <v>13053</v>
      </c>
      <c r="F57" s="18" t="n">
        <v>12622</v>
      </c>
    </row>
    <row r="58">
      <c r="A58" s="17" t="inlineStr">
        <is>
          <t>Short-Term Debt</t>
        </is>
      </c>
      <c r="B58" s="18" t="n">
        <v>171</v>
      </c>
      <c r="C58" s="18" t="n">
        <v>130</v>
      </c>
      <c r="D58" s="18" t="n">
        <v>1116</v>
      </c>
      <c r="E58" s="18" t="n">
        <v>1636</v>
      </c>
      <c r="F58" s="18" t="n">
        <v>2130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1202</v>
      </c>
      <c r="C60" s="18" t="n">
        <v>1240</v>
      </c>
      <c r="D60" s="18" t="n">
        <v>1162</v>
      </c>
      <c r="E60" s="18" t="n">
        <v>1209</v>
      </c>
      <c r="F60" s="18" t="n">
        <v>1197</v>
      </c>
    </row>
    <row r="61">
      <c r="A61" s="17" t="inlineStr">
        <is>
          <t>Accrued &amp; Other Current Liabilities</t>
        </is>
      </c>
      <c r="B61" s="18" t="n">
        <v>1479</v>
      </c>
      <c r="C61" s="18" t="n">
        <v>1665</v>
      </c>
      <c r="D61" s="18" t="n">
        <v>1494</v>
      </c>
      <c r="E61" s="18" t="n">
        <v>1273</v>
      </c>
      <c r="F61" s="18" t="n">
        <v>1546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21747</v>
      </c>
      <c r="C63" s="27" t="n">
        <v>19500</v>
      </c>
      <c r="D63" s="27" t="n">
        <v>19304</v>
      </c>
      <c r="E63" s="27" t="n">
        <v>20799</v>
      </c>
      <c r="F63" s="27" t="n">
        <v>21230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13549</v>
      </c>
      <c r="C65" s="18" t="n">
        <v>16009</v>
      </c>
      <c r="D65" s="18" t="n">
        <v>14922</v>
      </c>
      <c r="E65" s="18" t="n">
        <v>14304</v>
      </c>
      <c r="F65" s="18" t="n">
        <v>14326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479</v>
      </c>
      <c r="C67" s="18" t="n">
        <v>449</v>
      </c>
      <c r="D67" s="18" t="n">
        <v>419</v>
      </c>
      <c r="E67" s="18" t="n">
        <v>388</v>
      </c>
      <c r="F67" s="18" t="n">
        <v>358</v>
      </c>
    </row>
    <row r="68">
      <c r="A68" s="17" t="inlineStr">
        <is>
          <t>Deferred Tax Liabilities</t>
        </is>
      </c>
      <c r="B68" s="18" t="n">
        <v>1566</v>
      </c>
      <c r="C68" s="18" t="n">
        <v>2196</v>
      </c>
      <c r="D68" s="18" t="n">
        <v>2480</v>
      </c>
      <c r="E68" s="18" t="n">
        <v>2303</v>
      </c>
      <c r="F68" s="18" t="n">
        <v>2265</v>
      </c>
    </row>
    <row r="69">
      <c r="A69" s="17" t="inlineStr">
        <is>
          <t>Other Non-Current Liabilities</t>
        </is>
      </c>
      <c r="B69" s="18" t="n">
        <v>1150</v>
      </c>
      <c r="C69" s="18" t="n">
        <v>1311</v>
      </c>
      <c r="D69" s="18" t="n">
        <v>1520</v>
      </c>
      <c r="E69" s="18" t="n">
        <v>1727</v>
      </c>
      <c r="F69" s="18" t="n">
        <v>1684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40984</v>
      </c>
      <c r="C71" s="30" t="n">
        <v>42103</v>
      </c>
      <c r="D71" s="30" t="n">
        <v>41924</v>
      </c>
      <c r="E71" s="30" t="n">
        <v>43103</v>
      </c>
      <c r="F71" s="30" t="n">
        <v>43325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39</v>
      </c>
      <c r="C73" s="18" t="n">
        <v>38</v>
      </c>
      <c r="D73" s="18" t="n">
        <v>38</v>
      </c>
      <c r="E73" s="18" t="n">
        <v>38</v>
      </c>
      <c r="F73" s="18" t="n">
        <v>38</v>
      </c>
    </row>
    <row r="74">
      <c r="A74" s="17" t="inlineStr">
        <is>
          <t>Retained Earnings</t>
        </is>
      </c>
      <c r="B74" s="18" t="n">
        <v>6920</v>
      </c>
      <c r="C74" s="18" t="n">
        <v>5005</v>
      </c>
      <c r="D74" s="18" t="n">
        <v>7093</v>
      </c>
      <c r="E74" s="18" t="n">
        <v>8090</v>
      </c>
      <c r="F74" s="18" t="n">
        <v>9297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12827</v>
      </c>
      <c r="C78" s="27" t="n">
        <v>11232</v>
      </c>
      <c r="D78" s="27" t="n">
        <v>13432</v>
      </c>
      <c r="E78" s="27" t="n">
        <v>14666</v>
      </c>
      <c r="F78" s="27" t="n">
        <v>16165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TGT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8625</v>
      </c>
      <c r="C5" s="24" t="n">
        <v>4018</v>
      </c>
      <c r="D5" s="24" t="n">
        <v>8621</v>
      </c>
      <c r="E5" s="24" t="n">
        <v>7367</v>
      </c>
      <c r="F5" s="24" t="n">
        <v>6562</v>
      </c>
    </row>
    <row r="6">
      <c r="A6" s="17" t="inlineStr">
        <is>
          <t>(2)  Capital Expenditures</t>
        </is>
      </c>
      <c r="B6" s="18" t="n">
        <v>-3544</v>
      </c>
      <c r="C6" s="18" t="n">
        <v>-5528</v>
      </c>
      <c r="D6" s="18" t="n">
        <v>-4806</v>
      </c>
      <c r="E6" s="18" t="n">
        <v>-2891</v>
      </c>
      <c r="F6" s="18" t="n">
        <v>-3727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825</v>
      </c>
      <c r="C9" s="18" t="n">
        <v>2462</v>
      </c>
      <c r="D9" s="18" t="n">
        <v>-147</v>
      </c>
      <c r="E9" s="18" t="n">
        <v>-398</v>
      </c>
      <c r="F9" s="18" t="n">
        <v>341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-1548</v>
      </c>
      <c r="C12" s="18" t="n">
        <v>-1836</v>
      </c>
      <c r="D12" s="18" t="n">
        <v>-2011</v>
      </c>
      <c r="E12" s="18" t="n">
        <v>-2046</v>
      </c>
      <c r="F12" s="18" t="n">
        <v>-2053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5081</v>
      </c>
      <c r="C15" s="24" t="n">
        <v>-1510</v>
      </c>
      <c r="D15" s="24" t="n">
        <v>3815</v>
      </c>
      <c r="E15" s="24" t="n">
        <v>4476</v>
      </c>
      <c r="F15" s="24" t="n">
        <v>2835</v>
      </c>
    </row>
    <row r="16">
      <c r="A16" s="15" t="inlineStr">
        <is>
          <t xml:space="preserve">     Net Change in Cash</t>
        </is>
      </c>
      <c r="B16" s="16" t="n">
        <v>-2600</v>
      </c>
      <c r="C16" s="16" t="n">
        <v>-3682</v>
      </c>
      <c r="D16" s="16" t="n">
        <v>1576</v>
      </c>
      <c r="E16" s="16" t="n">
        <v>957</v>
      </c>
      <c r="F16" s="16" t="n">
        <v>726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6946</v>
      </c>
      <c r="C21" s="18" t="n">
        <v>2780</v>
      </c>
      <c r="D21" s="18" t="n">
        <v>4138</v>
      </c>
      <c r="E21" s="18" t="n">
        <v>4091</v>
      </c>
      <c r="F21" s="18" t="n">
        <v>3705</v>
      </c>
    </row>
    <row r="22">
      <c r="A22" s="17" t="inlineStr">
        <is>
          <t>Depreciation &amp; Amortisation</t>
        </is>
      </c>
      <c r="B22" s="18" t="n">
        <v>2642</v>
      </c>
      <c r="C22" s="18" t="n">
        <v>2700</v>
      </c>
      <c r="D22" s="18" t="n">
        <v>2801</v>
      </c>
      <c r="E22" s="18" t="n">
        <v>2981</v>
      </c>
      <c r="F22" s="18" t="n">
        <v>3134</v>
      </c>
    </row>
    <row r="23">
      <c r="A23" s="17" t="inlineStr">
        <is>
          <t>Deferred Income Tax</t>
        </is>
      </c>
      <c r="B23" s="18" t="n">
        <v>522</v>
      </c>
      <c r="C23" s="18" t="n">
        <v>582</v>
      </c>
      <c r="D23" s="18" t="n">
        <v>298</v>
      </c>
      <c r="E23" s="18" t="n">
        <v>-180</v>
      </c>
      <c r="F23" s="18" t="n">
        <v>-55</v>
      </c>
    </row>
    <row r="24">
      <c r="A24" s="17" t="inlineStr">
        <is>
          <t>Stock-Based Compensation</t>
        </is>
      </c>
      <c r="B24" s="18" t="n">
        <v>228</v>
      </c>
      <c r="C24" s="18" t="n">
        <v>220</v>
      </c>
      <c r="D24" s="18" t="n">
        <v>251</v>
      </c>
      <c r="E24" s="18" t="n">
        <v>304</v>
      </c>
      <c r="F24" s="18" t="n">
        <v>281</v>
      </c>
    </row>
    <row r="25">
      <c r="A25" s="17" t="inlineStr">
        <is>
          <t>Change in Working Capital</t>
        </is>
      </c>
      <c r="B25" s="18" t="n">
        <v>-1445</v>
      </c>
      <c r="C25" s="18" t="n">
        <v>-2436</v>
      </c>
      <c r="D25" s="18" t="n">
        <v>1039</v>
      </c>
      <c r="E25" s="18" t="n">
        <v>145</v>
      </c>
      <c r="F25" s="18" t="n">
        <v>-403</v>
      </c>
    </row>
    <row r="26">
      <c r="A26" s="21" t="inlineStr">
        <is>
          <t xml:space="preserve">  — Accounts Receivable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</row>
    <row r="27">
      <c r="A27" s="21" t="inlineStr">
        <is>
          <t xml:space="preserve">  — Inventory</t>
        </is>
      </c>
      <c r="B27" s="18" t="n">
        <v>-3249</v>
      </c>
      <c r="C27" s="18" t="n">
        <v>403</v>
      </c>
      <c r="D27" s="18" t="n">
        <v>1613</v>
      </c>
      <c r="E27" s="18" t="n">
        <v>-854</v>
      </c>
      <c r="F27" s="18" t="n">
        <v>436</v>
      </c>
    </row>
    <row r="28">
      <c r="A28" s="21" t="inlineStr">
        <is>
          <t xml:space="preserve">  — Accounts Payable</t>
        </is>
      </c>
      <c r="B28" s="18" t="n">
        <v>2628</v>
      </c>
      <c r="C28" s="18" t="n">
        <v>-2237</v>
      </c>
      <c r="D28" s="18" t="n">
        <v>-1216</v>
      </c>
      <c r="E28" s="18" t="n">
        <v>1008</v>
      </c>
      <c r="F28" s="18" t="n">
        <v>-501</v>
      </c>
    </row>
    <row r="29">
      <c r="A29" s="21" t="inlineStr">
        <is>
          <t xml:space="preserve">  — Other Working Capital</t>
        </is>
      </c>
      <c r="B29" s="18" t="n">
        <v>-824</v>
      </c>
      <c r="C29" s="18" t="n">
        <v>-602</v>
      </c>
      <c r="D29" s="18" t="n">
        <v>642</v>
      </c>
      <c r="E29" s="18" t="n">
        <v>-9</v>
      </c>
      <c r="F29" s="18" t="n">
        <v>-338</v>
      </c>
    </row>
    <row r="30">
      <c r="A30" s="17" t="inlineStr">
        <is>
          <t>Other Non-Cash Items</t>
        </is>
      </c>
      <c r="B30" s="18" t="n">
        <v>-268</v>
      </c>
      <c r="C30" s="18" t="n">
        <v>172</v>
      </c>
      <c r="D30" s="18" t="n">
        <v>94</v>
      </c>
      <c r="E30" s="18" t="n">
        <v>26</v>
      </c>
      <c r="F30" s="18" t="n">
        <v>-100</v>
      </c>
    </row>
    <row r="31">
      <c r="A31" s="26" t="inlineStr">
        <is>
          <t>Net Cash from Operations (CFO)</t>
        </is>
      </c>
      <c r="B31" s="27" t="n">
        <v>8625</v>
      </c>
      <c r="C31" s="27" t="n">
        <v>4018</v>
      </c>
      <c r="D31" s="27" t="n">
        <v>8621</v>
      </c>
      <c r="E31" s="27" t="n">
        <v>7367</v>
      </c>
      <c r="F31" s="27" t="n">
        <v>6562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-3544</v>
      </c>
      <c r="C33" s="18" t="n">
        <v>-5528</v>
      </c>
      <c r="D33" s="18" t="n">
        <v>-4806</v>
      </c>
      <c r="E33" s="18" t="n">
        <v>-2891</v>
      </c>
      <c r="F33" s="18" t="n">
        <v>-3727</v>
      </c>
    </row>
    <row r="34">
      <c r="A34" s="21" t="inlineStr">
        <is>
          <t xml:space="preserve">  (Alt: Invest. in PP&amp;E)</t>
        </is>
      </c>
      <c r="B34" s="18" t="n">
        <v>-3544</v>
      </c>
      <c r="C34" s="18" t="n">
        <v>-5528</v>
      </c>
      <c r="D34" s="18" t="n">
        <v>-4806</v>
      </c>
      <c r="E34" s="18" t="n">
        <v>-2891</v>
      </c>
      <c r="F34" s="18" t="n">
        <v>0</v>
      </c>
    </row>
    <row r="35">
      <c r="A35" s="17" t="inlineStr">
        <is>
          <t>Acquisitions (Net)</t>
        </is>
      </c>
      <c r="B35" s="18" t="n">
        <v>356</v>
      </c>
      <c r="C35" s="18" t="n">
        <v>8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-7</v>
      </c>
      <c r="C36" s="18" t="n">
        <v>-24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Sales / Maturities of Investments</t>
        </is>
      </c>
      <c r="B37" s="18" t="n">
        <v>7</v>
      </c>
      <c r="C37" s="18" t="n">
        <v>16</v>
      </c>
      <c r="D37" s="18" t="n">
        <v>0</v>
      </c>
      <c r="E37" s="18" t="n">
        <v>0</v>
      </c>
      <c r="F37" s="18" t="n">
        <v>0</v>
      </c>
    </row>
    <row r="38">
      <c r="A38" s="17" t="inlineStr">
        <is>
          <t>Other Investing Activities</t>
        </is>
      </c>
      <c r="B38" s="18" t="n">
        <v>34</v>
      </c>
      <c r="C38" s="18" t="n">
        <v>24</v>
      </c>
      <c r="D38" s="18" t="n">
        <v>46</v>
      </c>
      <c r="E38" s="18" t="n">
        <v>31</v>
      </c>
      <c r="F38" s="18" t="n">
        <v>-3649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825</v>
      </c>
      <c r="C41" s="18" t="n">
        <v>2462</v>
      </c>
      <c r="D41" s="18" t="n">
        <v>-147</v>
      </c>
      <c r="E41" s="18" t="n">
        <v>-398</v>
      </c>
      <c r="F41" s="18" t="n">
        <v>341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-7188</v>
      </c>
      <c r="C44" s="18" t="n">
        <v>-2646</v>
      </c>
      <c r="D44" s="18" t="n">
        <v>-127</v>
      </c>
      <c r="E44" s="18" t="n">
        <v>-1007</v>
      </c>
      <c r="F44" s="18" t="n">
        <v>-408</v>
      </c>
    </row>
    <row r="45">
      <c r="A45" s="17" t="inlineStr">
        <is>
          <t>Dividends Paid</t>
        </is>
      </c>
      <c r="B45" s="18" t="n">
        <v>-1548</v>
      </c>
      <c r="C45" s="18" t="n">
        <v>-1836</v>
      </c>
      <c r="D45" s="18" t="n">
        <v>-2011</v>
      </c>
      <c r="E45" s="18" t="n">
        <v>-2046</v>
      </c>
      <c r="F45" s="18" t="n">
        <v>-2053</v>
      </c>
    </row>
    <row r="46">
      <c r="A46" s="17" t="inlineStr">
        <is>
          <t>Other Financing Activities</t>
        </is>
      </c>
      <c r="B46" s="18" t="n">
        <v>8</v>
      </c>
      <c r="C46" s="18" t="n">
        <v>4</v>
      </c>
      <c r="D46" s="18" t="n">
        <v>0</v>
      </c>
      <c r="E46" s="18" t="n">
        <v>-99</v>
      </c>
      <c r="F46" s="18" t="n">
        <v>-67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5" t="inlineStr">
        <is>
          <t>Net Change in Cash</t>
        </is>
      </c>
      <c r="B50" s="16" t="n">
        <v>-2600</v>
      </c>
      <c r="C50" s="16" t="n">
        <v>-3682</v>
      </c>
      <c r="D50" s="16" t="n">
        <v>1576</v>
      </c>
      <c r="E50" s="16" t="n">
        <v>957</v>
      </c>
      <c r="F50" s="16" t="n">
        <v>726</v>
      </c>
    </row>
    <row r="51">
      <c r="A51" s="17" t="inlineStr">
        <is>
          <t>Cash at Beginning of Period</t>
        </is>
      </c>
      <c r="B51" s="18" t="n">
        <v>8511</v>
      </c>
      <c r="C51" s="18" t="n">
        <v>5911</v>
      </c>
      <c r="D51" s="18" t="n">
        <v>2229</v>
      </c>
      <c r="E51" s="18" t="n">
        <v>3805</v>
      </c>
      <c r="F51" s="18" t="n">
        <v>4762</v>
      </c>
    </row>
    <row r="52">
      <c r="A52" s="26" t="inlineStr">
        <is>
          <t>Cash at End of Period</t>
        </is>
      </c>
      <c r="B52" s="27" t="n">
        <v>5911</v>
      </c>
      <c r="C52" s="27" t="n">
        <v>2229</v>
      </c>
      <c r="D52" s="27" t="n">
        <v>3805</v>
      </c>
      <c r="E52" s="27" t="n">
        <v>4762</v>
      </c>
      <c r="F52" s="27" t="n">
        <v>5488</v>
      </c>
    </row>
    <row r="53">
      <c r="A53" s="26" t="inlineStr">
        <is>
          <t>Free Cash Flow</t>
        </is>
      </c>
      <c r="B53" s="27" t="n">
        <v>5081</v>
      </c>
      <c r="C53" s="27" t="n">
        <v>-1510</v>
      </c>
      <c r="D53" s="27" t="n">
        <v>3815</v>
      </c>
      <c r="E53" s="27" t="n">
        <v>4476</v>
      </c>
      <c r="F53" s="27" t="n">
        <v>2835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TGT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492.7</v>
      </c>
      <c r="C61" s="18" t="n">
        <v>464.7</v>
      </c>
      <c r="D61" s="18" t="n">
        <v>462.8</v>
      </c>
      <c r="E61" s="18" t="n">
        <v>461.8</v>
      </c>
      <c r="F61" s="18" t="n">
        <v>455.6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TGT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2026</t>
        </is>
      </c>
      <c r="C4" s="14" t="inlineStr">
        <is>
          <t>2025</t>
        </is>
      </c>
      <c r="D4" s="14" t="inlineStr">
        <is>
          <t>2024</t>
        </is>
      </c>
      <c r="E4" s="14" t="inlineStr">
        <is>
          <t>2023</t>
        </is>
      </c>
      <c r="F4" s="14" t="inlineStr">
        <is>
          <t>2022</t>
        </is>
      </c>
    </row>
    <row r="5">
      <c r="A5" s="17" t="inlineStr">
        <is>
          <t>data</t>
        </is>
      </c>
      <c r="B5" s="18" t="n">
        <v>915</v>
      </c>
      <c r="C5" s="18" t="n">
        <v>649</v>
      </c>
      <c r="D5" s="18" t="n">
        <v>16485</v>
      </c>
      <c r="E5" s="18" t="n">
        <v>17646</v>
      </c>
      <c r="F5" s="18" t="n">
        <v>17931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TGT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57044.5056</v>
      </c>
      <c r="C5" s="44" t="inlineStr">
        <is>
          <t>FMP marketCap  |  price $125.6</t>
        </is>
      </c>
    </row>
    <row r="6">
      <c r="A6" s="17" t="inlineStr">
        <is>
          <t>Debt  (gross book value, $mm)</t>
        </is>
      </c>
      <c r="B6" s="43" t="n">
        <v>16456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1.011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1.007</v>
      </c>
      <c r="C17" s="44" t="inlineStr">
        <is>
          <t>Mean-reversion toward market beta of 1.0</t>
        </is>
      </c>
    </row>
    <row r="18">
      <c r="A18" s="17" t="inlineStr">
        <is>
          <t>Damodaran industry unlevered  (Discount Stores)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0.29x,  t = 22.3%)</t>
        </is>
      </c>
      <c r="B19" s="50" t="n">
        <v>1.224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1.081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10.3</v>
      </c>
      <c r="C33" s="44" t="inlineStr">
        <is>
          <t>EBIT $4843mm  /  Int Exp $468mm</t>
        </is>
      </c>
    </row>
    <row r="34">
      <c r="A34" s="17" t="inlineStr">
        <is>
          <t>Synthetic rating  (Damodaran ICR table)</t>
        </is>
      </c>
      <c r="B34" s="53" t="inlineStr">
        <is>
          <t>AA</t>
        </is>
      </c>
      <c r="C34" s="44" t="inlineStr">
        <is>
          <t>ICR 10.3x  →  AA</t>
        </is>
      </c>
    </row>
    <row r="35">
      <c r="A35" s="17" t="inlineStr">
        <is>
          <t>Synthetic Rd  (Rf + Damodaran default spread)</t>
        </is>
      </c>
      <c r="B35" s="46" t="n">
        <v>0.0529</v>
      </c>
      <c r="C35" s="44" t="inlineStr">
        <is>
          <t>Rf 4.57% + spread 0.72%</t>
        </is>
      </c>
    </row>
    <row r="36">
      <c r="A36" s="17" t="inlineStr">
        <is>
          <t>Accounting Rd  (Gross int exp / Avg gross debt)</t>
        </is>
      </c>
      <c r="B36" s="46" t="n">
        <v>0.02889245585874799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0.0409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0.2228</v>
      </c>
      <c r="C40" s="44" t="inlineStr">
        <is>
          <t>FMP: $1062mm  /  $4767mm</t>
        </is>
      </c>
    </row>
    <row r="41">
      <c r="A41" s="47" t="inlineStr">
        <is>
          <t>► Selected tax rate  (user override)</t>
        </is>
      </c>
      <c r="B41" s="48" t="n">
        <v>0.2228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(E/V × Re)  +  (D/V × Rd × (1 − t))</t>
        </is>
      </c>
      <c r="B44" s="55">
        <f>B8*B28+B9*B37*(1-B41)</f>
        <v/>
      </c>
      <c r="C44" s="56" t="inlineStr">
        <is>
          <t>Used as discount rate in DCF tab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0" customWidth="1" min="14" max="14"/>
  </cols>
  <sheetData>
    <row r="1" ht="28" customHeight="1">
      <c r="A1" s="1" t="inlineStr">
        <is>
          <t>TGT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5" t="inlineStr">
        <is>
          <t>2031E</t>
        </is>
      </c>
      <c r="M3" s="66" t="inlineStr">
        <is>
          <t>Terminal</t>
        </is>
      </c>
      <c r="N3" s="63" t="inlineStr">
        <is>
          <t>Source / Notes</t>
        </is>
      </c>
    </row>
    <row r="4" ht="16" customHeight="1">
      <c r="A4" s="67" t="inlineStr">
        <is>
          <t>FMP analyst consensus: 2026E – 2031E  (6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-0.0002</v>
      </c>
      <c r="H7" s="71" t="n">
        <v>0.0354</v>
      </c>
      <c r="I7" s="71" t="n">
        <v>0.0294</v>
      </c>
      <c r="J7" s="72">
        <f>I7</f>
        <v/>
      </c>
      <c r="K7" s="72">
        <f>I7</f>
        <v/>
      </c>
      <c r="L7" s="72">
        <f>I7</f>
        <v/>
      </c>
      <c r="M7" s="73" t="n">
        <v>0.03</v>
      </c>
      <c r="N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0.0822</v>
      </c>
      <c r="H8" s="71" t="n">
        <v>0.0822</v>
      </c>
      <c r="I8" s="71" t="n">
        <v>0.0822</v>
      </c>
      <c r="J8" s="72">
        <f>I8</f>
        <v/>
      </c>
      <c r="K8" s="72">
        <f>I8</f>
        <v/>
      </c>
      <c r="L8" s="72">
        <f>I8</f>
        <v/>
      </c>
      <c r="M8" s="73" t="n">
        <v>0.0761</v>
      </c>
      <c r="N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2">
        <f>G9</f>
        <v/>
      </c>
      <c r="M9" s="73">
        <f>G9</f>
        <v/>
      </c>
      <c r="N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2">
        <f>G10</f>
        <v/>
      </c>
      <c r="M10" s="73">
        <f>G10</f>
        <v/>
      </c>
      <c r="N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G11*5/6</f>
        <v/>
      </c>
      <c r="I11" s="72">
        <f>G11*4/6</f>
        <v/>
      </c>
      <c r="J11" s="72">
        <f>G11*3/6</f>
        <v/>
      </c>
      <c r="K11" s="72">
        <f>G11*2/6</f>
        <v/>
      </c>
      <c r="L11" s="72">
        <f>G11*1/6</f>
        <v/>
      </c>
      <c r="M11" s="73" t="n">
        <v>0</v>
      </c>
      <c r="N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2">
        <f>G12</f>
        <v/>
      </c>
      <c r="M12" s="73">
        <f>G12</f>
        <v/>
      </c>
      <c r="N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104762</v>
      </c>
      <c r="H15" s="77" t="n">
        <v>108466.1</v>
      </c>
      <c r="I15" s="77" t="n">
        <v>111659.5</v>
      </c>
      <c r="J15" s="78">
        <f>I15*(1+J7)</f>
        <v/>
      </c>
      <c r="K15" s="78">
        <f>J15*(1+K7)</f>
        <v/>
      </c>
      <c r="L15" s="78">
        <f>K15*(1+L7)</f>
        <v/>
      </c>
      <c r="M15" s="79">
        <f>L15*(1+M7)</f>
        <v/>
      </c>
      <c r="N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104,522 — 105,062</t>
        </is>
      </c>
      <c r="H16" s="82" t="inlineStr">
        <is>
          <t>107,111 — 110,388</t>
        </is>
      </c>
      <c r="I16" s="82" t="inlineStr">
        <is>
          <t>108,619 — 114,335</t>
        </is>
      </c>
      <c r="J16" s="82" t="inlineStr">
        <is>
          <t>115,209 — 115,525</t>
        </is>
      </c>
      <c r="K16" s="82" t="inlineStr">
        <is>
          <t>116,151 — 121,362</t>
        </is>
      </c>
      <c r="L16" s="82" t="inlineStr">
        <is>
          <t>119,958 — 125,341</t>
        </is>
      </c>
      <c r="M16" s="83" t="inlineStr">
        <is>
          <t>—</t>
        </is>
      </c>
      <c r="N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23</v>
      </c>
      <c r="H17" s="84" t="n">
        <v>27</v>
      </c>
      <c r="I17" s="84" t="n">
        <v>25</v>
      </c>
      <c r="J17" s="84" t="n">
        <v>17</v>
      </c>
      <c r="K17" s="85" t="n">
        <v>8</v>
      </c>
      <c r="L17" s="85" t="n">
        <v>9</v>
      </c>
      <c r="M17" s="83" t="inlineStr">
        <is>
          <t>—</t>
        </is>
      </c>
      <c r="N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8">
        <f>IFERROR(L15/K15-1,"")</f>
        <v/>
      </c>
      <c r="M18" s="89">
        <f>M7</f>
        <v/>
      </c>
      <c r="N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8606.4</v>
      </c>
      <c r="H20" s="77" t="n">
        <v>8910.700000000001</v>
      </c>
      <c r="I20" s="77" t="n">
        <v>9173.1</v>
      </c>
      <c r="J20" s="78">
        <f>J15*J8</f>
        <v/>
      </c>
      <c r="K20" s="78">
        <f>K15*K8</f>
        <v/>
      </c>
      <c r="L20" s="78">
        <f>L15*L8</f>
        <v/>
      </c>
      <c r="M20" s="79">
        <f>M15*M8</f>
        <v/>
      </c>
      <c r="N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8,587 — 8,631</t>
        </is>
      </c>
      <c r="H21" s="82" t="inlineStr">
        <is>
          <t>8,799 — 9,069</t>
        </is>
      </c>
      <c r="I21" s="82" t="inlineStr">
        <is>
          <t>8,923 — 9,393</t>
        </is>
      </c>
      <c r="J21" s="82" t="inlineStr">
        <is>
          <t>9,465 — 9,491</t>
        </is>
      </c>
      <c r="K21" s="82" t="inlineStr">
        <is>
          <t>9,542 — 9,970</t>
        </is>
      </c>
      <c r="L21" s="82" t="inlineStr">
        <is>
          <t>9,855 — 10,297</t>
        </is>
      </c>
      <c r="M21" s="83" t="inlineStr">
        <is>
          <t>—</t>
        </is>
      </c>
      <c r="N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8">
        <f>IFERROR(L20/L15,"")</f>
        <v/>
      </c>
      <c r="M22" s="89">
        <f>IFERROR(M20/M15,"")</f>
        <v/>
      </c>
      <c r="N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91">
        <f>-L15*L9</f>
        <v/>
      </c>
      <c r="M25" s="79">
        <f>-M15*M9</f>
        <v/>
      </c>
      <c r="N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93">
        <f>M20+M25</f>
        <v/>
      </c>
      <c r="N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95">
        <f>-M26*M12</f>
        <v/>
      </c>
      <c r="N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96">
        <f>M26+M27</f>
        <v/>
      </c>
      <c r="N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95">
        <f>-M25</f>
        <v/>
      </c>
      <c r="N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95">
        <f>-M15*M10</f>
        <v/>
      </c>
      <c r="N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95">
        <f>-M15*M11</f>
        <v/>
      </c>
      <c r="N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96">
        <f>M28+M29+M30+M31</f>
        <v/>
      </c>
      <c r="N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97">
        <f>IFERROR(M32/M15,"")</f>
        <v/>
      </c>
      <c r="N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74" t="inlineStr">
        <is>
          <t>Growth tier: LOW (-1.3%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10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74" t="inlineStr">
        <is>
          <t>Growth tier: LOW (-1.3%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</row>
    <row r="40" ht="20" customHeight="1">
      <c r="A40" s="102" t="inlineStr">
        <is>
          <t>Terminal Year UFCF  (grown by g)</t>
        </is>
      </c>
      <c r="B40" s="103">
        <f>M32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  <c r="N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M20*B38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105" t="n"/>
      <c r="N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6" t="n">
        <v>5.5</v>
      </c>
      <c r="M45" s="107" t="n">
        <v>6</v>
      </c>
      <c r="N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8">
        <f>1/(1+B36)^L45</f>
        <v/>
      </c>
      <c r="M46" s="109">
        <f>1/(1+B36)^M45</f>
        <v/>
      </c>
      <c r="N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96">
        <f>L32*L46</f>
        <v/>
      </c>
      <c r="M47" s="105" t="n"/>
      <c r="N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G47+H47+I47+J47+K47+L47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110" t="n"/>
      <c r="N48" s="80" t="inlineStr">
        <is>
          <t>Sum of 6 discounted annual FCFs</t>
        </is>
      </c>
    </row>
    <row r="49" ht="20" customHeight="1">
      <c r="A49" s="63" t="inlineStr">
        <is>
          <t>PV of Terminal Value  [Gordon Growth]</t>
        </is>
      </c>
      <c r="B49" s="93">
        <f>B41*M46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110" t="n"/>
      <c r="N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B42*M46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110" t="n"/>
      <c r="N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  <c r="N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0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455.6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  <c r="N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  <c r="N60" s="105" t="n"/>
    </row>
    <row r="61" ht="20" customHeight="1">
      <c r="A61" s="102" t="inlineStr">
        <is>
          <t>Current Market Price  ($)</t>
        </is>
      </c>
      <c r="B61" s="112" t="n">
        <v>125.6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</row>
  </sheetData>
  <mergeCells count="9">
    <mergeCell ref="A6:N6"/>
    <mergeCell ref="A35:N35"/>
    <mergeCell ref="A4:N4"/>
    <mergeCell ref="A24:N24"/>
    <mergeCell ref="A2:N2"/>
    <mergeCell ref="A52:N52"/>
    <mergeCell ref="A14:N14"/>
    <mergeCell ref="A44:N44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TGT  |  Master Prompt v2  |  23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25.4% ✗ (&gt;40%)  |  GM trend +0.9% ✗ (&gt;+1pp)  |  ROIC-WACC +6.5% ✓ (&gt;+5pp)  |  Rev consistency σ=1.9% ✓ (&lt;8%)  [2/4 indicators positive — proxy score]</t>
        </is>
      </c>
      <c r="E9" s="131" t="inlineStr">
        <is>
          <t>MOD-LOW</t>
        </is>
      </c>
      <c r="F9" s="132" t="n">
        <v>5</v>
      </c>
      <c r="G9" s="133">
        <f>IF(F9="",0,C9*F9*10)</f>
        <v/>
      </c>
      <c r="H9" s="134" t="inlineStr">
        <is>
          <t>GM 25.4% ✗ (&gt;40%)  |  GM trend +0.9% ✗ (&gt;+1pp)  |  ROIC-WACC +6.5% ✓ (&gt;+5pp)  |  Rev consistency σ=1.9% ✓ (&lt;8%)  [2/4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+1.4% ✓ (&gt;=-2pp)  |  GM maintained +0.9% ✓  |  Op margin +1.1% ✓ (≥-2pp)  |  Capital returns HIGH ✓  |  Share count -1.8%/yr ✓ (net buyback)  |  Goodwill/Equity 4% ✓ (&lt;40%)  [6/6 indicators positive — proxy score]</t>
        </is>
      </c>
      <c r="E11" s="135" t="inlineStr">
        <is>
          <t>HIGH</t>
        </is>
      </c>
      <c r="F11" s="132" t="n">
        <v>10</v>
      </c>
      <c r="G11" s="133">
        <f>IF(F11="",0,C11*F11*10)</f>
        <v/>
      </c>
      <c r="H11" s="134" t="inlineStr">
        <is>
          <t>ROIC trend +1.4% ✓ (&gt;=-2pp)  |  GM maintained +0.9% ✓  |  Op margin +1.1% ✓ (≥-2pp)  |  Capital returns HIGH ✓  |  Share count -1.8%/yr ✓ (net buyback)  |  Goodwill/Equity 4% ✓ (&lt;40%)  [6/6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-1.3%</t>
        </is>
      </c>
      <c r="E13" s="136" t="inlineStr">
        <is>
          <t>LOW</t>
        </is>
      </c>
      <c r="F13" s="132" t="n">
        <v>0</v>
      </c>
      <c r="G13" s="133">
        <f>IF(F13="",0,C13*F13*10)</f>
        <v/>
      </c>
      <c r="H13" s="134" t="inlineStr">
        <is>
          <t>-1.3%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77%</t>
        </is>
      </c>
      <c r="E14" s="137" t="inlineStr">
        <is>
          <t>MOD-HIGH</t>
        </is>
      </c>
      <c r="F14" s="132" t="n">
        <v>7.98</v>
      </c>
      <c r="G14" s="133">
        <f>IF(F14="",0,C14*F14*10)</f>
        <v/>
      </c>
      <c r="H14" s="134" t="inlineStr">
        <is>
          <t>77%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$408mm latest FY — 5yr+ consistent equity-funded  [payout 14% of FCF — low, building cash]</t>
        </is>
      </c>
      <c r="E15" s="135" t="inlineStr">
        <is>
          <t>HIGH</t>
        </is>
      </c>
      <c r="F15" s="132" t="n">
        <v>10</v>
      </c>
      <c r="G15" s="133">
        <f>IF(F15="",0,C15*F15*10)</f>
        <v/>
      </c>
      <c r="H15" s="134" t="inlineStr">
        <is>
          <t>$408mm latest FY — 5yr+ consistent equity-funded  [payout 14% of FCF — low, building cash]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14.7%  [through-cycle: 70/30 latest+5yr median, latest 13.9% → smoothed 14.7%]</t>
        </is>
      </c>
      <c r="E16" s="137" t="inlineStr">
        <is>
          <t>MOD-HIGH</t>
        </is>
      </c>
      <c r="F16" s="132" t="n">
        <v>8.029999999999999</v>
      </c>
      <c r="G16" s="133">
        <f>IF(F16="",0,C16*F16*10)</f>
        <v/>
      </c>
      <c r="H16" s="134" t="inlineStr">
        <is>
          <t>14.7%  [through-cycle: 70/30 latest+5yr median, latest 13.9% → smoothed 14.7%]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2.0x  [through-cycle: 70/30 latest+5yr median, latest 2.1x → smoothed 2.0x]</t>
        </is>
      </c>
      <c r="E18" s="137" t="inlineStr">
        <is>
          <t>MOD-HIGH</t>
        </is>
      </c>
      <c r="F18" s="132" t="n">
        <v>8.99</v>
      </c>
      <c r="G18" s="133">
        <f>IF(F18="",0,C18*F18*10)</f>
        <v/>
      </c>
      <c r="H18" s="134" t="inlineStr">
        <is>
          <t>2.0x  [through-cycle: 70/30 latest+5yr median, latest 2.1x → smoothed 2.0x]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10.3x</t>
        </is>
      </c>
      <c r="E19" s="135" t="inlineStr">
        <is>
          <t>HIGH</t>
        </is>
      </c>
      <c r="F19" s="132" t="n">
        <v>10</v>
      </c>
      <c r="G19" s="133">
        <f>IF(F19="",0,C19*F19*10)</f>
        <v/>
      </c>
      <c r="H19" s="134" t="inlineStr">
        <is>
          <t>10.3x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σ=1.9%  |  OM trend -3.8%, σ=1.6%  [quality = direction + stability]</t>
        </is>
      </c>
      <c r="E20" s="137" t="inlineStr">
        <is>
          <t>MOD-HIGH</t>
        </is>
      </c>
      <c r="F20" s="132" t="n">
        <v>6.67</v>
      </c>
      <c r="G20" s="133">
        <f>IF(F20="",0,C20*F20*10)</f>
        <v/>
      </c>
      <c r="H20" s="134" t="inlineStr">
        <is>
          <t>Rev growth σ=1.9%  |  OM trend -3.8%, σ=1.6%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Current 12.9x  |  5yr avg 17.6x  |  DCF-implied 12.4x [ref only — not used as benchmark]  [-27% vs benchmark]  [trail=10.00 | no_fwd_data(fallback) | abs=12.0 → blended 40/40/20=10.40]</t>
        </is>
      </c>
      <c r="E22" s="135" t="inlineStr">
        <is>
          <t>HIGH</t>
        </is>
      </c>
      <c r="F22" s="132" t="n">
        <v>10.4</v>
      </c>
      <c r="G22" s="133">
        <f>IF(F22="",0,C22*F22*10)</f>
        <v/>
      </c>
      <c r="H22" s="134" t="inlineStr">
        <is>
          <t>Current 12.9x  |  5yr avg 17.6x  |  DCF-implied 12.4x [ref only — not used as benchmark]  [-27% vs benchmark]  [trail=10.00 | no_fwd_data(fallback) | abs=12.0 → blended 40/40/20=10.40]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16.9x  |  5yr avg 17.4x  |  DCF-implied 16.2x [ref only — not used as benchmark]  [-3% vs benchmark]  [trail=7.43 | no_fwd_data(fallback) | abs=10.0 → blended 40/40/20=7.94]</t>
        </is>
      </c>
      <c r="E23" s="137" t="inlineStr">
        <is>
          <t>MOD-HIGH</t>
        </is>
      </c>
      <c r="F23" s="132" t="n">
        <v>7.94</v>
      </c>
      <c r="G23" s="133">
        <f>IF(F23="",0,C23*F23*10)</f>
        <v/>
      </c>
      <c r="H23" s="134" t="inlineStr">
        <is>
          <t>Current 16.9x  |  5yr avg 17.4x  |  DCF-implied 16.2x [ref only — not used as benchmark]  [-3% vs benchmark]  [trail=7.43 | no_fwd_data(fallback) | abs=10.0 → blended 40/40/20=7.94]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2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3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2026-05-23T03:18:19Z</dcterms:created>
  <dcterms:modified xmlns:dcterms="http://purl.org/dc/terms/" xmlns:xsi="http://www.w3.org/2001/XMLSchema-instance" xsi:type="dcterms:W3CDTF">2026-05-23T03:18:42Z</dcterms:modified>
</cp:coreProperties>
</file>