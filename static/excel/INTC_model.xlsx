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B71C1C"/>
      <sz val="10"/>
    </font>
    <font>
      <name val="Arial"/>
      <b val="1"/>
      <color rgb="001B5E20"/>
      <sz val="10"/>
    </font>
    <font>
      <name val="Arial"/>
      <b val="1"/>
      <color rgb="00E65100"/>
      <sz val="10"/>
    </font>
    <font>
      <name val="Arial"/>
      <b val="1"/>
      <color rgb="00B71C1C"/>
      <sz val="11"/>
    </font>
    <font>
      <name val="Arial"/>
      <color rgb="00444444"/>
      <sz val="8"/>
    </font>
  </fonts>
  <fills count="22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B71C1C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FEBEE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4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4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3" fillId="16" borderId="0" applyAlignment="1" pivotButton="0" quotePrefix="0" xfId="0">
      <alignment horizontal="left" vertical="center" wrapText="1" indent="1"/>
    </xf>
    <xf numFmtId="0" fontId="26" fillId="4" borderId="1" applyAlignment="1" pivotButton="0" quotePrefix="0" xfId="0">
      <alignment horizontal="left" vertical="center" indent="1"/>
    </xf>
    <xf numFmtId="0" fontId="26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8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9" borderId="1" applyAlignment="1" pivotButton="0" quotePrefix="0" xfId="0">
      <alignment horizontal="center" vertical="center"/>
    </xf>
    <xf numFmtId="0" fontId="31" fillId="20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29" fillId="5" borderId="1" applyAlignment="1" pivotButton="0" quotePrefix="0" xfId="0">
      <alignment horizontal="left" vertical="center" indent="1"/>
    </xf>
    <xf numFmtId="0" fontId="32" fillId="21" borderId="1" applyAlignment="1" pivotButton="0" quotePrefix="0" xfId="0">
      <alignment horizontal="left" vertical="center" indent="1"/>
    </xf>
    <xf numFmtId="0" fontId="0" fillId="21" borderId="1" pivotButton="0" quotePrefix="0" xfId="0"/>
    <xf numFmtId="2" fontId="32" fillId="21" borderId="1" applyAlignment="1" pivotButton="0" quotePrefix="0" xfId="0">
      <alignment horizontal="center" vertical="center"/>
    </xf>
    <xf numFmtId="0" fontId="25" fillId="3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INTC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52853</v>
      </c>
    </row>
    <row r="7">
      <c r="A7" s="4" t="inlineStr">
        <is>
          <t>Gross Profit ($mm)</t>
        </is>
      </c>
      <c r="B7" s="6" t="n">
        <v>18375</v>
      </c>
    </row>
    <row r="8">
      <c r="A8" s="4" t="inlineStr">
        <is>
          <t>EBITDA ($mm)</t>
        </is>
      </c>
      <c r="B8" s="6" t="n">
        <v>14354</v>
      </c>
    </row>
    <row r="9">
      <c r="A9" s="4" t="inlineStr">
        <is>
          <t>EBIT ($mm)</t>
        </is>
      </c>
      <c r="B9" s="6" t="n">
        <v>-23</v>
      </c>
    </row>
    <row r="10">
      <c r="A10" s="4" t="inlineStr">
        <is>
          <t>Net Income ($mm)</t>
        </is>
      </c>
      <c r="B10" s="6" t="n">
        <v>-267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79024</v>
      </c>
      <c r="C5" s="15" t="n">
        <v>63054</v>
      </c>
      <c r="D5" s="15" t="n">
        <v>54228</v>
      </c>
      <c r="E5" s="15" t="n">
        <v>53101</v>
      </c>
      <c r="F5" s="15" t="n">
        <v>52853</v>
      </c>
    </row>
    <row r="6">
      <c r="A6" s="16" t="inlineStr">
        <is>
          <t>(2)  Cost of Revenue (COGS)</t>
        </is>
      </c>
      <c r="B6" s="17" t="n">
        <v>35209</v>
      </c>
      <c r="C6" s="17" t="n">
        <v>36188</v>
      </c>
      <c r="D6" s="17" t="n">
        <v>32517</v>
      </c>
      <c r="E6" s="17" t="n">
        <v>35756</v>
      </c>
      <c r="F6" s="17" t="n">
        <v>34478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6543</v>
      </c>
      <c r="C9" s="17" t="n">
        <v>7002</v>
      </c>
      <c r="D9" s="17" t="n">
        <v>5634</v>
      </c>
      <c r="E9" s="17" t="n">
        <v>5507</v>
      </c>
      <c r="F9" s="17" t="n">
        <v>4607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24359</v>
      </c>
      <c r="C11" s="17" t="n">
        <v>24530</v>
      </c>
      <c r="D11" s="17" t="n">
        <v>21680</v>
      </c>
      <c r="E11" s="17" t="n">
        <v>29023</v>
      </c>
      <c r="F11" s="17" t="n">
        <v>18398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11792</v>
      </c>
      <c r="C14" s="17" t="n">
        <v>13035</v>
      </c>
      <c r="D14" s="17" t="n">
        <v>9602</v>
      </c>
      <c r="E14" s="17" t="n">
        <v>11379</v>
      </c>
      <c r="F14" s="17" t="n">
        <v>11706</v>
      </c>
    </row>
    <row r="15">
      <c r="A15" s="18" t="inlineStr">
        <is>
          <t>(8)  EBIT (Operating Income)</t>
        </is>
      </c>
      <c r="B15" s="23" t="n">
        <v>19456</v>
      </c>
      <c r="C15" s="23" t="n">
        <v>2334</v>
      </c>
      <c r="D15" s="23" t="n">
        <v>93</v>
      </c>
      <c r="E15" s="23" t="n">
        <v>-11678</v>
      </c>
      <c r="F15" s="23" t="n">
        <v>-23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597</v>
      </c>
      <c r="C17" s="17" t="n">
        <v>496</v>
      </c>
      <c r="D17" s="17" t="n">
        <v>878</v>
      </c>
      <c r="E17" s="17" t="n">
        <v>824</v>
      </c>
      <c r="F17" s="17" t="n">
        <v>1091</v>
      </c>
    </row>
    <row r="18">
      <c r="A18" s="20" t="inlineStr">
        <is>
          <t xml:space="preserve">     Interest Income</t>
        </is>
      </c>
      <c r="B18" s="17" t="n">
        <v>144</v>
      </c>
      <c r="C18" s="17" t="n">
        <v>589</v>
      </c>
      <c r="D18" s="17" t="n">
        <v>1335</v>
      </c>
      <c r="E18" s="17" t="n">
        <v>1805</v>
      </c>
      <c r="F18" s="17" t="n">
        <v>1007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21703</v>
      </c>
      <c r="C21" s="23" t="n">
        <v>7768</v>
      </c>
      <c r="D21" s="23" t="n">
        <v>762</v>
      </c>
      <c r="E21" s="23" t="n">
        <v>-11210</v>
      </c>
      <c r="F21" s="23" t="n">
        <v>1557</v>
      </c>
    </row>
    <row r="22">
      <c r="A22" s="16" t="inlineStr">
        <is>
          <t>(11) Income Tax Expense</t>
        </is>
      </c>
      <c r="B22" s="17" t="n">
        <v>1835</v>
      </c>
      <c r="C22" s="17" t="n">
        <v>-249</v>
      </c>
      <c r="D22" s="17" t="n">
        <v>-913</v>
      </c>
      <c r="E22" s="17" t="n">
        <v>8023</v>
      </c>
      <c r="F22" s="17" t="n">
        <v>1531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19868</v>
      </c>
      <c r="C24" s="23" t="n">
        <v>8014</v>
      </c>
      <c r="D24" s="23" t="n">
        <v>1689</v>
      </c>
      <c r="E24" s="23" t="n">
        <v>-18756</v>
      </c>
      <c r="F24" s="23" t="n">
        <v>-267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79024</v>
      </c>
      <c r="C30" s="15" t="n">
        <v>63054</v>
      </c>
      <c r="D30" s="15" t="n">
        <v>54228</v>
      </c>
      <c r="E30" s="15" t="n">
        <v>53101</v>
      </c>
      <c r="F30" s="15" t="n">
        <v>52853</v>
      </c>
    </row>
    <row r="31">
      <c r="A31" s="16" t="inlineStr">
        <is>
          <t>Cost of Revenue</t>
        </is>
      </c>
      <c r="B31" s="17" t="n">
        <v>35209</v>
      </c>
      <c r="C31" s="17" t="n">
        <v>36188</v>
      </c>
      <c r="D31" s="17" t="n">
        <v>32517</v>
      </c>
      <c r="E31" s="17" t="n">
        <v>35756</v>
      </c>
      <c r="F31" s="17" t="n">
        <v>34478</v>
      </c>
    </row>
    <row r="32">
      <c r="A32" s="25" t="inlineStr">
        <is>
          <t>Gross Profit</t>
        </is>
      </c>
      <c r="B32" s="26" t="n">
        <v>43815</v>
      </c>
      <c r="C32" s="26" t="n">
        <v>26866</v>
      </c>
      <c r="D32" s="26" t="n">
        <v>21711</v>
      </c>
      <c r="E32" s="26" t="n">
        <v>17345</v>
      </c>
      <c r="F32" s="26" t="n">
        <v>18375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15190</v>
      </c>
      <c r="C34" s="17" t="n">
        <v>17528</v>
      </c>
      <c r="D34" s="17" t="n">
        <v>16046</v>
      </c>
      <c r="E34" s="17" t="n">
        <v>16546</v>
      </c>
      <c r="F34" s="17" t="n">
        <v>13774</v>
      </c>
    </row>
    <row r="35">
      <c r="A35" s="16" t="inlineStr">
        <is>
          <t>General &amp; Administrative</t>
        </is>
      </c>
      <c r="B35" s="17" t="n">
        <v>5443</v>
      </c>
      <c r="C35" s="17" t="n">
        <v>5802</v>
      </c>
      <c r="D35" s="17" t="n">
        <v>4684</v>
      </c>
      <c r="E35" s="17" t="n">
        <v>4651</v>
      </c>
      <c r="F35" s="17" t="n">
        <v>0</v>
      </c>
    </row>
    <row r="36">
      <c r="A36" s="16" t="inlineStr">
        <is>
          <t>Selling &amp; Marketing</t>
        </is>
      </c>
      <c r="B36" s="17" t="n">
        <v>1100</v>
      </c>
      <c r="C36" s="17" t="n">
        <v>1200</v>
      </c>
      <c r="D36" s="17" t="n">
        <v>950</v>
      </c>
      <c r="E36" s="17" t="n">
        <v>856</v>
      </c>
      <c r="F36" s="17" t="n">
        <v>0</v>
      </c>
    </row>
    <row r="37">
      <c r="A37" s="16" t="inlineStr">
        <is>
          <t>SG&amp;A (Combined)</t>
        </is>
      </c>
      <c r="B37" s="17" t="n">
        <v>6543</v>
      </c>
      <c r="C37" s="17" t="n">
        <v>7002</v>
      </c>
      <c r="D37" s="17" t="n">
        <v>5634</v>
      </c>
      <c r="E37" s="17" t="n">
        <v>5507</v>
      </c>
      <c r="F37" s="17" t="n">
        <v>4607</v>
      </c>
    </row>
    <row r="38">
      <c r="A38" s="16" t="inlineStr">
        <is>
          <t>Other Expenses</t>
        </is>
      </c>
      <c r="B38" s="17" t="n">
        <v>2626</v>
      </c>
      <c r="C38" s="17" t="n">
        <v>0</v>
      </c>
      <c r="D38" s="17" t="n">
        <v>0</v>
      </c>
      <c r="E38" s="17" t="n">
        <v>6970</v>
      </c>
      <c r="F38" s="17" t="n">
        <v>17</v>
      </c>
    </row>
    <row r="39">
      <c r="A39" s="25" t="inlineStr">
        <is>
          <t>Total Operating Expenses</t>
        </is>
      </c>
      <c r="B39" s="26" t="n">
        <v>24359</v>
      </c>
      <c r="C39" s="26" t="n">
        <v>24530</v>
      </c>
      <c r="D39" s="26" t="n">
        <v>21680</v>
      </c>
      <c r="E39" s="26" t="n">
        <v>29023</v>
      </c>
      <c r="F39" s="26" t="n">
        <v>18398</v>
      </c>
    </row>
    <row r="40">
      <c r="A40" s="16" t="inlineStr">
        <is>
          <t>Cost &amp; Expenses (COGS + Opex)</t>
        </is>
      </c>
      <c r="B40" s="17" t="n">
        <v>59568</v>
      </c>
      <c r="C40" s="17" t="n">
        <v>60718</v>
      </c>
      <c r="D40" s="17" t="n">
        <v>54135</v>
      </c>
      <c r="E40" s="17" t="n">
        <v>64779</v>
      </c>
      <c r="F40" s="17" t="n">
        <v>52876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19456</v>
      </c>
      <c r="C42" s="15" t="n">
        <v>2334</v>
      </c>
      <c r="D42" s="15" t="n">
        <v>93</v>
      </c>
      <c r="E42" s="15" t="n">
        <v>-11678</v>
      </c>
      <c r="F42" s="15" t="n">
        <v>-23</v>
      </c>
    </row>
    <row r="43">
      <c r="A43" s="16" t="inlineStr">
        <is>
          <t>EBIT (FMP field)</t>
        </is>
      </c>
      <c r="B43" s="17" t="n">
        <v>22082</v>
      </c>
      <c r="C43" s="17" t="n">
        <v>8264</v>
      </c>
      <c r="D43" s="17" t="n">
        <v>1640</v>
      </c>
      <c r="E43" s="17" t="n">
        <v>-10176</v>
      </c>
      <c r="F43" s="17" t="n">
        <v>2648</v>
      </c>
    </row>
    <row r="44">
      <c r="A44" s="25" t="inlineStr">
        <is>
          <t>EBITDA</t>
        </is>
      </c>
      <c r="B44" s="26" t="n">
        <v>33874</v>
      </c>
      <c r="C44" s="26" t="n">
        <v>21299</v>
      </c>
      <c r="D44" s="26" t="n">
        <v>11242</v>
      </c>
      <c r="E44" s="26" t="n">
        <v>1203</v>
      </c>
      <c r="F44" s="26" t="n">
        <v>14354</v>
      </c>
    </row>
    <row r="45">
      <c r="A45" s="16" t="inlineStr">
        <is>
          <t>Depreciation &amp; Amortisation</t>
        </is>
      </c>
      <c r="B45" s="17" t="n">
        <v>11792</v>
      </c>
      <c r="C45" s="17" t="n">
        <v>13035</v>
      </c>
      <c r="D45" s="17" t="n">
        <v>9602</v>
      </c>
      <c r="E45" s="17" t="n">
        <v>11379</v>
      </c>
      <c r="F45" s="17" t="n">
        <v>11706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144</v>
      </c>
      <c r="C47" s="17" t="n">
        <v>589</v>
      </c>
      <c r="D47" s="17" t="n">
        <v>1335</v>
      </c>
      <c r="E47" s="17" t="n">
        <v>1805</v>
      </c>
      <c r="F47" s="17" t="n">
        <v>1007</v>
      </c>
    </row>
    <row r="48">
      <c r="A48" s="16" t="inlineStr">
        <is>
          <t>Interest Expense</t>
        </is>
      </c>
      <c r="B48" s="17" t="n">
        <v>597</v>
      </c>
      <c r="C48" s="17" t="n">
        <v>496</v>
      </c>
      <c r="D48" s="17" t="n">
        <v>878</v>
      </c>
      <c r="E48" s="17" t="n">
        <v>824</v>
      </c>
      <c r="F48" s="17" t="n">
        <v>1091</v>
      </c>
    </row>
    <row r="49">
      <c r="A49" s="16" t="inlineStr">
        <is>
          <t>Net Interest Income</t>
        </is>
      </c>
      <c r="B49" s="17" t="n">
        <v>-453</v>
      </c>
      <c r="C49" s="17" t="n">
        <v>93</v>
      </c>
      <c r="D49" s="17" t="n">
        <v>457</v>
      </c>
      <c r="E49" s="17" t="n">
        <v>981</v>
      </c>
      <c r="F49" s="17" t="n">
        <v>-84</v>
      </c>
    </row>
    <row r="50">
      <c r="A50" s="16" t="inlineStr">
        <is>
          <t>Non-Operating Income (ex-interest)</t>
        </is>
      </c>
      <c r="B50" s="17" t="n">
        <v>-2626</v>
      </c>
      <c r="C50" s="17" t="n">
        <v>-5930</v>
      </c>
      <c r="D50" s="17" t="n">
        <v>-1547</v>
      </c>
      <c r="E50" s="17" t="n">
        <v>-1502</v>
      </c>
      <c r="F50" s="17" t="n">
        <v>-2671</v>
      </c>
    </row>
    <row r="51">
      <c r="A51" s="16" t="inlineStr">
        <is>
          <t>Total Other Income / (Expenses)</t>
        </is>
      </c>
      <c r="B51" s="17" t="n">
        <v>2247</v>
      </c>
      <c r="C51" s="17" t="n">
        <v>5434</v>
      </c>
      <c r="D51" s="17" t="n">
        <v>669</v>
      </c>
      <c r="E51" s="17" t="n">
        <v>468</v>
      </c>
      <c r="F51" s="17" t="n">
        <v>1580</v>
      </c>
    </row>
    <row r="52">
      <c r="A52" s="25" t="inlineStr">
        <is>
          <t>EBT / Income Before Tax</t>
        </is>
      </c>
      <c r="B52" s="26" t="n">
        <v>21703</v>
      </c>
      <c r="C52" s="26" t="n">
        <v>7768</v>
      </c>
      <c r="D52" s="26" t="n">
        <v>762</v>
      </c>
      <c r="E52" s="26" t="n">
        <v>-11210</v>
      </c>
      <c r="F52" s="26" t="n">
        <v>1557</v>
      </c>
    </row>
    <row r="53">
      <c r="A53" s="16" t="inlineStr">
        <is>
          <t>Income Tax Expense</t>
        </is>
      </c>
      <c r="B53" s="17" t="n">
        <v>1835</v>
      </c>
      <c r="C53" s="17" t="n">
        <v>-249</v>
      </c>
      <c r="D53" s="17" t="n">
        <v>-913</v>
      </c>
      <c r="E53" s="17" t="n">
        <v>8023</v>
      </c>
      <c r="F53" s="17" t="n">
        <v>1531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19868</v>
      </c>
      <c r="C55" s="17" t="n">
        <v>8017</v>
      </c>
      <c r="D55" s="17" t="n">
        <v>1675</v>
      </c>
      <c r="E55" s="17" t="n">
        <v>-19233</v>
      </c>
      <c r="F55" s="17" t="n">
        <v>26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19868</v>
      </c>
      <c r="C59" s="26" t="n">
        <v>8014</v>
      </c>
      <c r="D59" s="26" t="n">
        <v>1689</v>
      </c>
      <c r="E59" s="26" t="n">
        <v>-18756</v>
      </c>
      <c r="F59" s="26" t="n">
        <v>-267</v>
      </c>
    </row>
    <row r="60">
      <c r="A60" s="14" t="inlineStr">
        <is>
          <t>Bottom Line Net Income</t>
        </is>
      </c>
      <c r="B60" s="15" t="n">
        <v>19868</v>
      </c>
      <c r="C60" s="15" t="n">
        <v>8014</v>
      </c>
      <c r="D60" s="15" t="n">
        <v>1689</v>
      </c>
      <c r="E60" s="15" t="n">
        <v>-18756</v>
      </c>
      <c r="F60" s="15" t="n">
        <v>-267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4.89</v>
      </c>
      <c r="C62" s="17" t="n">
        <v>1.95</v>
      </c>
      <c r="D62" s="17" t="n">
        <v>0.4</v>
      </c>
      <c r="E62" s="17" t="n">
        <v>-4.38</v>
      </c>
      <c r="F62" s="17" t="n">
        <v>-0.0589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4059</v>
      </c>
      <c r="C64" s="17" t="n">
        <v>4108</v>
      </c>
      <c r="D64" s="17" t="n">
        <v>4190</v>
      </c>
      <c r="E64" s="17" t="n">
        <v>4280</v>
      </c>
      <c r="F64" s="17" t="n">
        <v>4856</v>
      </c>
    </row>
    <row r="65">
      <c r="A65" s="16" t="inlineStr">
        <is>
          <t>Shares Outstanding — Diluted (mm)</t>
        </is>
      </c>
      <c r="B65" s="17" t="n">
        <v>4090</v>
      </c>
      <c r="C65" s="17" t="n">
        <v>4123</v>
      </c>
      <c r="D65" s="17" t="n">
        <v>4212</v>
      </c>
      <c r="E65" s="17" t="n">
        <v>4280</v>
      </c>
      <c r="F65" s="17" t="n">
        <v>4856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4827</v>
      </c>
      <c r="C5" s="17" t="n">
        <v>11144</v>
      </c>
      <c r="D5" s="17" t="n">
        <v>7079</v>
      </c>
      <c r="E5" s="17" t="n">
        <v>8249</v>
      </c>
      <c r="F5" s="17" t="n">
        <v>14265</v>
      </c>
    </row>
    <row r="6">
      <c r="A6" s="16" t="inlineStr">
        <is>
          <t>(2)  Receivables</t>
        </is>
      </c>
      <c r="B6" s="17" t="n">
        <v>9457</v>
      </c>
      <c r="C6" s="17" t="n">
        <v>4133</v>
      </c>
      <c r="D6" s="17" t="n">
        <v>3402</v>
      </c>
      <c r="E6" s="17" t="n">
        <v>3478</v>
      </c>
      <c r="F6" s="17" t="n">
        <v>3839</v>
      </c>
    </row>
    <row r="7">
      <c r="A7" s="16" t="inlineStr">
        <is>
          <t>(3)  Inventory</t>
        </is>
      </c>
      <c r="B7" s="17" t="n">
        <v>10776</v>
      </c>
      <c r="C7" s="17" t="n">
        <v>13224</v>
      </c>
      <c r="D7" s="17" t="n">
        <v>11127</v>
      </c>
      <c r="E7" s="17" t="n">
        <v>12198</v>
      </c>
      <c r="F7" s="17" t="n">
        <v>11618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58558</v>
      </c>
      <c r="C9" s="23" t="n">
        <v>50407</v>
      </c>
      <c r="D9" s="23" t="n">
        <v>43269</v>
      </c>
      <c r="E9" s="23" t="n">
        <v>47324</v>
      </c>
      <c r="F9" s="23" t="n">
        <v>63688</v>
      </c>
    </row>
    <row r="10">
      <c r="A10" s="16" t="inlineStr">
        <is>
          <t>(6)  PP&amp;E (Net)</t>
        </is>
      </c>
      <c r="B10" s="17" t="n">
        <v>63245</v>
      </c>
      <c r="C10" s="17" t="n">
        <v>80860</v>
      </c>
      <c r="D10" s="17" t="n">
        <v>97152</v>
      </c>
      <c r="E10" s="17" t="n">
        <v>107919</v>
      </c>
      <c r="F10" s="17" t="n">
        <v>105414</v>
      </c>
    </row>
    <row r="11">
      <c r="A11" s="16" t="inlineStr">
        <is>
          <t>(7)  Goodwill</t>
        </is>
      </c>
      <c r="B11" s="17" t="n">
        <v>26963</v>
      </c>
      <c r="C11" s="17" t="n">
        <v>27591</v>
      </c>
      <c r="D11" s="17" t="n">
        <v>27591</v>
      </c>
      <c r="E11" s="17" t="n">
        <v>24693</v>
      </c>
      <c r="F11" s="17" t="n">
        <v>23912</v>
      </c>
    </row>
    <row r="12">
      <c r="A12" s="16" t="inlineStr">
        <is>
          <t>(8)  Deferred Tax Assets</t>
        </is>
      </c>
      <c r="B12" s="17" t="n">
        <v>0</v>
      </c>
      <c r="C12" s="17" t="n">
        <v>3450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109848</v>
      </c>
      <c r="C14" s="23" t="n">
        <v>131696</v>
      </c>
      <c r="D14" s="23" t="n">
        <v>148303</v>
      </c>
      <c r="E14" s="23" t="n">
        <v>149161</v>
      </c>
      <c r="F14" s="23" t="n">
        <v>147741</v>
      </c>
    </row>
    <row r="15">
      <c r="A15" s="18" t="inlineStr">
        <is>
          <t>(11) Total Assets</t>
        </is>
      </c>
      <c r="B15" s="23" t="n">
        <v>168406</v>
      </c>
      <c r="C15" s="23" t="n">
        <v>182103</v>
      </c>
      <c r="D15" s="23" t="n">
        <v>191572</v>
      </c>
      <c r="E15" s="23" t="n">
        <v>196485</v>
      </c>
      <c r="F15" s="23" t="n">
        <v>211429</v>
      </c>
    </row>
    <row r="16" ht="6" customHeight="1"/>
    <row r="17">
      <c r="A17" s="16" t="inlineStr">
        <is>
          <t>(12) Accounts Payable</t>
        </is>
      </c>
      <c r="B17" s="17" t="n">
        <v>5747</v>
      </c>
      <c r="C17" s="17" t="n">
        <v>9595</v>
      </c>
      <c r="D17" s="17" t="n">
        <v>8578</v>
      </c>
      <c r="E17" s="17" t="n">
        <v>12556</v>
      </c>
      <c r="F17" s="17" t="n">
        <v>9882</v>
      </c>
    </row>
    <row r="18">
      <c r="A18" s="16" t="inlineStr">
        <is>
          <t>(13) Short-Term Borrowings</t>
        </is>
      </c>
      <c r="B18" s="17" t="n">
        <v>4600</v>
      </c>
      <c r="C18" s="17" t="n">
        <v>4323</v>
      </c>
      <c r="D18" s="17" t="n">
        <v>2300</v>
      </c>
      <c r="E18" s="17" t="n">
        <v>3729</v>
      </c>
      <c r="F18" s="17" t="n">
        <v>2499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27462</v>
      </c>
      <c r="C21" s="23" t="n">
        <v>32155</v>
      </c>
      <c r="D21" s="23" t="n">
        <v>28053</v>
      </c>
      <c r="E21" s="23" t="n">
        <v>35666</v>
      </c>
      <c r="F21" s="23" t="n">
        <v>31575</v>
      </c>
    </row>
    <row r="22">
      <c r="A22" s="16" t="inlineStr">
        <is>
          <t>(17) Long-Term Debt</t>
        </is>
      </c>
      <c r="B22" s="17" t="n">
        <v>33510</v>
      </c>
      <c r="C22" s="17" t="n">
        <v>37684</v>
      </c>
      <c r="D22" s="17" t="n">
        <v>46978</v>
      </c>
      <c r="E22" s="17" t="n">
        <v>46282</v>
      </c>
      <c r="F22" s="17" t="n">
        <v>44086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73015</v>
      </c>
      <c r="C25" s="23" t="n">
        <v>78817</v>
      </c>
      <c r="D25" s="23" t="n">
        <v>81607</v>
      </c>
      <c r="E25" s="23" t="n">
        <v>91453</v>
      </c>
      <c r="F25" s="23" t="n">
        <v>85069</v>
      </c>
    </row>
    <row r="26" ht="6" customHeight="1"/>
    <row r="27">
      <c r="A27" s="16" t="inlineStr">
        <is>
          <t>(21) Common Stock &amp; APIC</t>
        </is>
      </c>
      <c r="B27" s="17" t="n">
        <v>28006</v>
      </c>
      <c r="C27" s="17" t="n">
        <v>31580</v>
      </c>
      <c r="D27" s="17" t="n">
        <v>36649</v>
      </c>
      <c r="E27" s="17" t="n">
        <v>50949</v>
      </c>
      <c r="F27" s="17" t="n">
        <v>65185</v>
      </c>
    </row>
    <row r="28">
      <c r="A28" s="16" t="inlineStr">
        <is>
          <t>(22) Retained Earnings</t>
        </is>
      </c>
      <c r="B28" s="17" t="n">
        <v>68265</v>
      </c>
      <c r="C28" s="17" t="n">
        <v>70405</v>
      </c>
      <c r="D28" s="17" t="n">
        <v>69156</v>
      </c>
      <c r="E28" s="17" t="n">
        <v>49032</v>
      </c>
      <c r="F28" s="17" t="n">
        <v>48983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95391</v>
      </c>
      <c r="C30" s="23" t="n">
        <v>101423</v>
      </c>
      <c r="D30" s="23" t="n">
        <v>105590</v>
      </c>
      <c r="E30" s="23" t="n">
        <v>99270</v>
      </c>
      <c r="F30" s="23" t="n">
        <v>114281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4827</v>
      </c>
      <c r="C36" s="17" t="n">
        <v>11144</v>
      </c>
      <c r="D36" s="17" t="n">
        <v>7079</v>
      </c>
      <c r="E36" s="17" t="n">
        <v>8249</v>
      </c>
      <c r="F36" s="17" t="n">
        <v>14265</v>
      </c>
    </row>
    <row r="37">
      <c r="A37" s="16" t="inlineStr">
        <is>
          <t>Short-Term Investments</t>
        </is>
      </c>
      <c r="B37" s="17" t="n">
        <v>24426</v>
      </c>
      <c r="C37" s="17" t="n">
        <v>17194</v>
      </c>
      <c r="D37" s="17" t="n">
        <v>17955</v>
      </c>
      <c r="E37" s="17" t="n">
        <v>13813</v>
      </c>
      <c r="F37" s="17" t="n">
        <v>23151</v>
      </c>
    </row>
    <row r="38">
      <c r="A38" s="27" t="inlineStr">
        <is>
          <t>Cash &amp; Short-Term Investments</t>
        </is>
      </c>
      <c r="B38" s="28" t="n">
        <v>29253</v>
      </c>
      <c r="C38" s="28" t="n">
        <v>28338</v>
      </c>
      <c r="D38" s="28" t="n">
        <v>25034</v>
      </c>
      <c r="E38" s="28" t="n">
        <v>22062</v>
      </c>
      <c r="F38" s="28" t="n">
        <v>37416</v>
      </c>
    </row>
    <row r="39">
      <c r="A39" s="16" t="inlineStr">
        <is>
          <t>Accounts Receivable (Trade)</t>
        </is>
      </c>
      <c r="B39" s="17" t="n">
        <v>9457</v>
      </c>
      <c r="C39" s="17" t="n">
        <v>4133</v>
      </c>
      <c r="D39" s="17" t="n">
        <v>3402</v>
      </c>
      <c r="E39" s="17" t="n">
        <v>3478</v>
      </c>
      <c r="F39" s="17" t="n">
        <v>3839</v>
      </c>
    </row>
    <row r="40">
      <c r="A40" s="16" t="inlineStr">
        <is>
          <t>Other Receivables</t>
        </is>
      </c>
      <c r="B40" s="17" t="n">
        <v>0</v>
      </c>
      <c r="C40" s="17" t="n">
        <v>0</v>
      </c>
      <c r="D40" s="17" t="n">
        <v>0</v>
      </c>
      <c r="E40" s="17" t="n">
        <v>0</v>
      </c>
      <c r="F40" s="17" t="n">
        <v>0</v>
      </c>
    </row>
    <row r="41">
      <c r="A41" s="27" t="inlineStr">
        <is>
          <t>Net Receivables (Total)</t>
        </is>
      </c>
      <c r="B41" s="28" t="n">
        <v>9457</v>
      </c>
      <c r="C41" s="28" t="n">
        <v>4133</v>
      </c>
      <c r="D41" s="28" t="n">
        <v>3402</v>
      </c>
      <c r="E41" s="28" t="n">
        <v>3478</v>
      </c>
      <c r="F41" s="28" t="n">
        <v>3839</v>
      </c>
    </row>
    <row r="42">
      <c r="A42" s="16" t="inlineStr">
        <is>
          <t>Inventory</t>
        </is>
      </c>
      <c r="B42" s="17" t="n">
        <v>10776</v>
      </c>
      <c r="C42" s="17" t="n">
        <v>13224</v>
      </c>
      <c r="D42" s="17" t="n">
        <v>11127</v>
      </c>
      <c r="E42" s="17" t="n">
        <v>12198</v>
      </c>
      <c r="F42" s="17" t="n">
        <v>11618</v>
      </c>
    </row>
    <row r="43">
      <c r="A43" s="16" t="inlineStr">
        <is>
          <t>Prepaids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9072</v>
      </c>
      <c r="C44" s="17" t="n">
        <v>4712</v>
      </c>
      <c r="D44" s="17" t="n">
        <v>3706</v>
      </c>
      <c r="E44" s="17" t="n">
        <v>9586</v>
      </c>
      <c r="F44" s="17" t="n">
        <v>10815</v>
      </c>
    </row>
    <row r="45">
      <c r="A45" s="25" t="inlineStr">
        <is>
          <t>Total Current Assets</t>
        </is>
      </c>
      <c r="B45" s="26" t="n">
        <v>58558</v>
      </c>
      <c r="C45" s="26" t="n">
        <v>50407</v>
      </c>
      <c r="D45" s="26" t="n">
        <v>43269</v>
      </c>
      <c r="E45" s="26" t="n">
        <v>47324</v>
      </c>
      <c r="F45" s="26" t="n">
        <v>63688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63245</v>
      </c>
      <c r="C47" s="17" t="n">
        <v>80860</v>
      </c>
      <c r="D47" s="17" t="n">
        <v>97152</v>
      </c>
      <c r="E47" s="17" t="n">
        <v>107919</v>
      </c>
      <c r="F47" s="17" t="n">
        <v>105414</v>
      </c>
    </row>
    <row r="48">
      <c r="A48" s="16" t="inlineStr">
        <is>
          <t>Goodwill</t>
        </is>
      </c>
      <c r="B48" s="17" t="n">
        <v>26963</v>
      </c>
      <c r="C48" s="17" t="n">
        <v>27591</v>
      </c>
      <c r="D48" s="17" t="n">
        <v>27591</v>
      </c>
      <c r="E48" s="17" t="n">
        <v>24693</v>
      </c>
      <c r="F48" s="17" t="n">
        <v>23912</v>
      </c>
    </row>
    <row r="49">
      <c r="A49" s="16" t="inlineStr">
        <is>
          <t>Intangible Assets</t>
        </is>
      </c>
      <c r="B49" s="17" t="n">
        <v>7270</v>
      </c>
      <c r="C49" s="17" t="n">
        <v>6018</v>
      </c>
      <c r="D49" s="17" t="n">
        <v>4589</v>
      </c>
      <c r="E49" s="17" t="n">
        <v>3691</v>
      </c>
      <c r="F49" s="17" t="n">
        <v>2772</v>
      </c>
    </row>
    <row r="50">
      <c r="A50" s="16" t="inlineStr">
        <is>
          <t>Long-Term Investments</t>
        </is>
      </c>
      <c r="B50" s="17" t="n">
        <v>6298</v>
      </c>
      <c r="C50" s="17" t="n">
        <v>5912</v>
      </c>
      <c r="D50" s="17" t="n">
        <v>5829</v>
      </c>
      <c r="E50" s="17" t="n">
        <v>5383</v>
      </c>
      <c r="F50" s="17" t="n">
        <v>8512</v>
      </c>
    </row>
    <row r="51">
      <c r="A51" s="16" t="inlineStr">
        <is>
          <t>Tax Assets (Deferred)</t>
        </is>
      </c>
      <c r="B51" s="17" t="n">
        <v>0</v>
      </c>
      <c r="C51" s="17" t="n">
        <v>3450</v>
      </c>
      <c r="D51" s="17" t="n">
        <v>0</v>
      </c>
      <c r="E51" s="17" t="n">
        <v>0</v>
      </c>
      <c r="F51" s="17" t="n">
        <v>0</v>
      </c>
    </row>
    <row r="52">
      <c r="A52" s="16" t="inlineStr">
        <is>
          <t>Total Investments</t>
        </is>
      </c>
      <c r="B52" s="17" t="n">
        <v>30724</v>
      </c>
      <c r="C52" s="17" t="n">
        <v>23106</v>
      </c>
      <c r="D52" s="17" t="n">
        <v>23784</v>
      </c>
      <c r="E52" s="17" t="n">
        <v>19196</v>
      </c>
      <c r="F52" s="17" t="n">
        <v>31663</v>
      </c>
    </row>
    <row r="53">
      <c r="A53" s="16" t="inlineStr">
        <is>
          <t>Other Non-Current Assets</t>
        </is>
      </c>
      <c r="B53" s="17" t="n">
        <v>6072</v>
      </c>
      <c r="C53" s="17" t="n">
        <v>7865</v>
      </c>
      <c r="D53" s="17" t="n">
        <v>13142</v>
      </c>
      <c r="E53" s="17" t="n">
        <v>7475</v>
      </c>
      <c r="F53" s="17" t="n">
        <v>7131</v>
      </c>
    </row>
    <row r="54">
      <c r="A54" s="25" t="inlineStr">
        <is>
          <t>Total Non-Current Assets</t>
        </is>
      </c>
      <c r="B54" s="26" t="n">
        <v>109848</v>
      </c>
      <c r="C54" s="26" t="n">
        <v>131696</v>
      </c>
      <c r="D54" s="26" t="n">
        <v>148303</v>
      </c>
      <c r="E54" s="26" t="n">
        <v>149161</v>
      </c>
      <c r="F54" s="26" t="n">
        <v>147741</v>
      </c>
    </row>
    <row r="55">
      <c r="A55" s="12" t="inlineStr">
        <is>
          <t>TOTAL ASSETS</t>
        </is>
      </c>
      <c r="B55" s="29" t="n">
        <v>168406</v>
      </c>
      <c r="C55" s="29" t="n">
        <v>182103</v>
      </c>
      <c r="D55" s="29" t="n">
        <v>191572</v>
      </c>
      <c r="E55" s="29" t="n">
        <v>196485</v>
      </c>
      <c r="F55" s="29" t="n">
        <v>211429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5747</v>
      </c>
      <c r="C57" s="17" t="n">
        <v>9595</v>
      </c>
      <c r="D57" s="17" t="n">
        <v>8578</v>
      </c>
      <c r="E57" s="17" t="n">
        <v>12556</v>
      </c>
      <c r="F57" s="17" t="n">
        <v>9882</v>
      </c>
    </row>
    <row r="58">
      <c r="A58" s="16" t="inlineStr">
        <is>
          <t>Short-Term Debt</t>
        </is>
      </c>
      <c r="B58" s="17" t="n">
        <v>4600</v>
      </c>
      <c r="C58" s="17" t="n">
        <v>4323</v>
      </c>
      <c r="D58" s="17" t="n">
        <v>2300</v>
      </c>
      <c r="E58" s="17" t="n">
        <v>3729</v>
      </c>
      <c r="F58" s="17" t="n">
        <v>2499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0</v>
      </c>
      <c r="C60" s="17" t="n">
        <v>0</v>
      </c>
      <c r="D60" s="17" t="n">
        <v>0</v>
      </c>
      <c r="E60" s="17" t="n">
        <v>0</v>
      </c>
      <c r="F60" s="17" t="n">
        <v>0</v>
      </c>
    </row>
    <row r="61">
      <c r="A61" s="16" t="inlineStr">
        <is>
          <t>Accrued &amp; Other Current Liabilities</t>
        </is>
      </c>
      <c r="B61" s="17" t="n">
        <v>8326</v>
      </c>
      <c r="C61" s="17" t="n">
        <v>6528</v>
      </c>
      <c r="D61" s="17" t="n">
        <v>12413</v>
      </c>
      <c r="E61" s="17" t="n">
        <v>3343</v>
      </c>
      <c r="F61" s="17" t="n">
        <v>14600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27462</v>
      </c>
      <c r="C63" s="26" t="n">
        <v>32155</v>
      </c>
      <c r="D63" s="26" t="n">
        <v>28053</v>
      </c>
      <c r="E63" s="26" t="n">
        <v>35666</v>
      </c>
      <c r="F63" s="26" t="n">
        <v>31575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33510</v>
      </c>
      <c r="C65" s="17" t="n">
        <v>37684</v>
      </c>
      <c r="D65" s="17" t="n">
        <v>46978</v>
      </c>
      <c r="E65" s="17" t="n">
        <v>46282</v>
      </c>
      <c r="F65" s="17" t="n">
        <v>44086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185</v>
      </c>
      <c r="C67" s="17" t="n">
        <v>0</v>
      </c>
      <c r="D67" s="17" t="n">
        <v>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2667</v>
      </c>
      <c r="C68" s="17" t="n">
        <v>202</v>
      </c>
      <c r="D68" s="17" t="n">
        <v>0</v>
      </c>
      <c r="E68" s="17" t="n">
        <v>0</v>
      </c>
      <c r="F68" s="17" t="n">
        <v>0</v>
      </c>
    </row>
    <row r="69">
      <c r="A69" s="16" t="inlineStr">
        <is>
          <t>Other Non-Current Liabilities</t>
        </is>
      </c>
      <c r="B69" s="17" t="n">
        <v>9191</v>
      </c>
      <c r="C69" s="17" t="n">
        <v>8776</v>
      </c>
      <c r="D69" s="17" t="n">
        <v>6576</v>
      </c>
      <c r="E69" s="17" t="n">
        <v>9505</v>
      </c>
      <c r="F69" s="17" t="n">
        <v>9408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73015</v>
      </c>
      <c r="C71" s="29" t="n">
        <v>78817</v>
      </c>
      <c r="D71" s="29" t="n">
        <v>81607</v>
      </c>
      <c r="E71" s="29" t="n">
        <v>91453</v>
      </c>
      <c r="F71" s="29" t="n">
        <v>85069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28006</v>
      </c>
      <c r="C73" s="17" t="n">
        <v>31580</v>
      </c>
      <c r="D73" s="17" t="n">
        <v>36649</v>
      </c>
      <c r="E73" s="17" t="n">
        <v>50949</v>
      </c>
      <c r="F73" s="17" t="n">
        <v>65185</v>
      </c>
    </row>
    <row r="74">
      <c r="A74" s="16" t="inlineStr">
        <is>
          <t>Retained Earnings</t>
        </is>
      </c>
      <c r="B74" s="17" t="n">
        <v>68265</v>
      </c>
      <c r="C74" s="17" t="n">
        <v>70405</v>
      </c>
      <c r="D74" s="17" t="n">
        <v>69156</v>
      </c>
      <c r="E74" s="17" t="n">
        <v>49032</v>
      </c>
      <c r="F74" s="17" t="n">
        <v>48983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0</v>
      </c>
      <c r="C77" s="17" t="n">
        <v>1863</v>
      </c>
      <c r="D77" s="17" t="n">
        <v>4375</v>
      </c>
      <c r="E77" s="17" t="n">
        <v>5762</v>
      </c>
      <c r="F77" s="17" t="n">
        <v>12079</v>
      </c>
    </row>
    <row r="78">
      <c r="A78" s="25" t="inlineStr">
        <is>
          <t>Total Equity (inc. Minority)</t>
        </is>
      </c>
      <c r="B78" s="26" t="n">
        <v>95391</v>
      </c>
      <c r="C78" s="26" t="n">
        <v>103286</v>
      </c>
      <c r="D78" s="26" t="n">
        <v>109965</v>
      </c>
      <c r="E78" s="26" t="n">
        <v>105032</v>
      </c>
      <c r="F78" s="26" t="n">
        <v>126360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38101</v>
      </c>
      <c r="C80" s="15" t="n">
        <v>42051</v>
      </c>
      <c r="D80" s="15" t="n">
        <v>49278</v>
      </c>
      <c r="E80" s="15" t="n">
        <v>50011</v>
      </c>
      <c r="F80" s="15" t="n">
        <v>46585</v>
      </c>
    </row>
    <row r="81">
      <c r="A81" s="14" t="inlineStr">
        <is>
          <t>Net Debt</t>
        </is>
      </c>
      <c r="B81" s="15" t="n">
        <v>33274</v>
      </c>
      <c r="C81" s="15" t="n">
        <v>30907</v>
      </c>
      <c r="D81" s="15" t="n">
        <v>42199</v>
      </c>
      <c r="E81" s="15" t="n">
        <v>41762</v>
      </c>
      <c r="F81" s="15" t="n">
        <v>32320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29456</v>
      </c>
      <c r="C5" s="23" t="n">
        <v>15433</v>
      </c>
      <c r="D5" s="23" t="n">
        <v>11471</v>
      </c>
      <c r="E5" s="23" t="n">
        <v>8288</v>
      </c>
      <c r="F5" s="23" t="n">
        <v>9697</v>
      </c>
    </row>
    <row r="6">
      <c r="A6" s="16" t="inlineStr">
        <is>
          <t>(2)  Capital Expenditures</t>
        </is>
      </c>
      <c r="B6" s="17" t="n">
        <v>-20329</v>
      </c>
      <c r="C6" s="17" t="n">
        <v>-25050</v>
      </c>
      <c r="D6" s="17" t="n">
        <v>-25750</v>
      </c>
      <c r="E6" s="17" t="n">
        <v>-23944</v>
      </c>
      <c r="F6" s="17" t="n">
        <v>-14646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2474</v>
      </c>
      <c r="C9" s="17" t="n">
        <v>5164</v>
      </c>
      <c r="D9" s="17" t="n">
        <v>7024</v>
      </c>
      <c r="E9" s="17" t="n">
        <v>687</v>
      </c>
      <c r="F9" s="17" t="n">
        <v>-3750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0</v>
      </c>
      <c r="C11" s="17" t="n">
        <v>2009</v>
      </c>
      <c r="D11" s="17" t="n">
        <v>4001</v>
      </c>
      <c r="E11" s="17" t="n">
        <v>12714</v>
      </c>
      <c r="F11" s="17" t="n">
        <v>13477</v>
      </c>
    </row>
    <row r="12">
      <c r="A12" s="16" t="inlineStr">
        <is>
          <t>(7)  Dividends Paid</t>
        </is>
      </c>
      <c r="B12" s="17" t="n">
        <v>-5644</v>
      </c>
      <c r="C12" s="17" t="n">
        <v>-5997</v>
      </c>
      <c r="D12" s="17" t="n">
        <v>-3088</v>
      </c>
      <c r="E12" s="17" t="n">
        <v>-1599</v>
      </c>
      <c r="F12" s="17" t="n">
        <v>0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9127</v>
      </c>
      <c r="C15" s="23" t="n">
        <v>-9617</v>
      </c>
      <c r="D15" s="23" t="n">
        <v>-14279</v>
      </c>
      <c r="E15" s="23" t="n">
        <v>-15656</v>
      </c>
      <c r="F15" s="23" t="n">
        <v>-4949</v>
      </c>
    </row>
    <row r="16">
      <c r="A16" s="14" t="inlineStr">
        <is>
          <t xml:space="preserve">     Net Change in Cash</t>
        </is>
      </c>
      <c r="B16" s="15" t="n">
        <v>-1038</v>
      </c>
      <c r="C16" s="15" t="n">
        <v>6317</v>
      </c>
      <c r="D16" s="15" t="n">
        <v>-4065</v>
      </c>
      <c r="E16" s="15" t="n">
        <v>1170</v>
      </c>
      <c r="F16" s="15" t="n">
        <v>6463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19868</v>
      </c>
      <c r="C21" s="17" t="n">
        <v>8017</v>
      </c>
      <c r="D21" s="17" t="n">
        <v>1675</v>
      </c>
      <c r="E21" s="17" t="n">
        <v>-19233</v>
      </c>
      <c r="F21" s="17" t="n">
        <v>26</v>
      </c>
    </row>
    <row r="22">
      <c r="A22" s="16" t="inlineStr">
        <is>
          <t>Depreciation &amp; Amortisation</t>
        </is>
      </c>
      <c r="B22" s="17" t="n">
        <v>11792</v>
      </c>
      <c r="C22" s="17" t="n">
        <v>13035</v>
      </c>
      <c r="D22" s="17" t="n">
        <v>9602</v>
      </c>
      <c r="E22" s="17" t="n">
        <v>11379</v>
      </c>
      <c r="F22" s="17" t="n">
        <v>11706</v>
      </c>
    </row>
    <row r="23">
      <c r="A23" s="16" t="inlineStr">
        <is>
          <t>Deferred Income Tax</t>
        </is>
      </c>
      <c r="B23" s="17" t="n">
        <v>0</v>
      </c>
      <c r="C23" s="17" t="n">
        <v>-5148</v>
      </c>
      <c r="D23" s="17" t="n">
        <v>-2033</v>
      </c>
      <c r="E23" s="17" t="n">
        <v>6132</v>
      </c>
      <c r="F23" s="17" t="n">
        <v>328</v>
      </c>
    </row>
    <row r="24">
      <c r="A24" s="16" t="inlineStr">
        <is>
          <t>Stock-Based Compensation</t>
        </is>
      </c>
      <c r="B24" s="17" t="n">
        <v>2036</v>
      </c>
      <c r="C24" s="17" t="n">
        <v>3128</v>
      </c>
      <c r="D24" s="17" t="n">
        <v>3229</v>
      </c>
      <c r="E24" s="17" t="n">
        <v>3410</v>
      </c>
      <c r="F24" s="17" t="n">
        <v>2434</v>
      </c>
    </row>
    <row r="25">
      <c r="A25" s="16" t="inlineStr">
        <is>
          <t>Change in Working Capital</t>
        </is>
      </c>
      <c r="B25" s="17" t="n">
        <v>-5408</v>
      </c>
      <c r="C25" s="17" t="n">
        <v>339</v>
      </c>
      <c r="D25" s="17" t="n">
        <v>-569</v>
      </c>
      <c r="E25" s="17" t="n">
        <v>1103</v>
      </c>
      <c r="F25" s="17" t="n">
        <v>-1747</v>
      </c>
    </row>
    <row r="26">
      <c r="A26" s="20" t="inlineStr">
        <is>
          <t xml:space="preserve">  — Accounts Receivable</t>
        </is>
      </c>
      <c r="B26" s="17" t="n">
        <v>-2674</v>
      </c>
      <c r="C26" s="17" t="n">
        <v>5327</v>
      </c>
      <c r="D26" s="17" t="n">
        <v>731</v>
      </c>
      <c r="E26" s="17" t="n">
        <v>-75</v>
      </c>
      <c r="F26" s="17" t="n">
        <v>-449</v>
      </c>
    </row>
    <row r="27">
      <c r="A27" s="20" t="inlineStr">
        <is>
          <t xml:space="preserve">  — Inventory</t>
        </is>
      </c>
      <c r="B27" s="17" t="n">
        <v>-2339</v>
      </c>
      <c r="C27" s="17" t="n">
        <v>-2436</v>
      </c>
      <c r="D27" s="17" t="n">
        <v>2097</v>
      </c>
      <c r="E27" s="17" t="n">
        <v>-1105</v>
      </c>
      <c r="F27" s="17" t="n">
        <v>-138</v>
      </c>
    </row>
    <row r="28">
      <c r="A28" s="20" t="inlineStr">
        <is>
          <t xml:space="preserve">  — Accounts Payable</t>
        </is>
      </c>
      <c r="B28" s="17" t="n">
        <v>1190</v>
      </c>
      <c r="C28" s="17" t="n">
        <v>-29</v>
      </c>
      <c r="D28" s="17" t="n">
        <v>-801</v>
      </c>
      <c r="E28" s="17" t="n">
        <v>634</v>
      </c>
      <c r="F28" s="17" t="n">
        <v>297</v>
      </c>
    </row>
    <row r="29">
      <c r="A29" s="20" t="inlineStr">
        <is>
          <t xml:space="preserve">  — Other Working Capital</t>
        </is>
      </c>
      <c r="B29" s="17" t="n">
        <v>-1585</v>
      </c>
      <c r="C29" s="17" t="n">
        <v>-2523</v>
      </c>
      <c r="D29" s="17" t="n">
        <v>-2596</v>
      </c>
      <c r="E29" s="17" t="n">
        <v>1649</v>
      </c>
      <c r="F29" s="17" t="n">
        <v>-1457</v>
      </c>
    </row>
    <row r="30">
      <c r="A30" s="16" t="inlineStr">
        <is>
          <t>Other Non-Cash Items</t>
        </is>
      </c>
      <c r="B30" s="17" t="n">
        <v>1168</v>
      </c>
      <c r="C30" s="17" t="n">
        <v>-3938</v>
      </c>
      <c r="D30" s="17" t="n">
        <v>-433</v>
      </c>
      <c r="E30" s="17" t="n">
        <v>5497</v>
      </c>
      <c r="F30" s="17" t="n">
        <v>-3050</v>
      </c>
    </row>
    <row r="31">
      <c r="A31" s="25" t="inlineStr">
        <is>
          <t>Net Cash from Operations (CFO)</t>
        </is>
      </c>
      <c r="B31" s="26" t="n">
        <v>29456</v>
      </c>
      <c r="C31" s="26" t="n">
        <v>15433</v>
      </c>
      <c r="D31" s="26" t="n">
        <v>11471</v>
      </c>
      <c r="E31" s="26" t="n">
        <v>8288</v>
      </c>
      <c r="F31" s="26" t="n">
        <v>9697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-20329</v>
      </c>
      <c r="C33" s="17" t="n">
        <v>-25050</v>
      </c>
      <c r="D33" s="17" t="n">
        <v>-25750</v>
      </c>
      <c r="E33" s="17" t="n">
        <v>-23944</v>
      </c>
      <c r="F33" s="17" t="n">
        <v>-14646</v>
      </c>
    </row>
    <row r="34">
      <c r="A34" s="20" t="inlineStr">
        <is>
          <t xml:space="preserve">  (Alt: Invest. in PP&amp;E)</t>
        </is>
      </c>
      <c r="B34" s="17" t="n">
        <v>-20329</v>
      </c>
      <c r="C34" s="17" t="n">
        <v>-25050</v>
      </c>
      <c r="D34" s="17" t="n">
        <v>-25750</v>
      </c>
      <c r="E34" s="17" t="n">
        <v>-23944</v>
      </c>
      <c r="F34" s="17" t="n">
        <v>-14646</v>
      </c>
    </row>
    <row r="35">
      <c r="A35" s="16" t="inlineStr">
        <is>
          <t>Acquisitions (Net)</t>
        </is>
      </c>
      <c r="B35" s="17" t="n">
        <v>-209</v>
      </c>
      <c r="C35" s="17" t="n">
        <v>6579</v>
      </c>
      <c r="D35" s="17" t="n">
        <v>-13</v>
      </c>
      <c r="E35" s="17" t="n">
        <v>-82</v>
      </c>
      <c r="F35" s="17" t="n">
        <v>0</v>
      </c>
    </row>
    <row r="36">
      <c r="A36" s="16" t="inlineStr">
        <is>
          <t>Purchases of Investments</t>
        </is>
      </c>
      <c r="B36" s="17" t="n">
        <v>-41167</v>
      </c>
      <c r="C36" s="17" t="n">
        <v>-44157</v>
      </c>
      <c r="D36" s="17" t="n">
        <v>-44414</v>
      </c>
      <c r="E36" s="17" t="n">
        <v>-37940</v>
      </c>
      <c r="F36" s="17" t="n">
        <v>-24319</v>
      </c>
    </row>
    <row r="37">
      <c r="A37" s="16" t="inlineStr">
        <is>
          <t>Sales / Maturities of Investments</t>
        </is>
      </c>
      <c r="B37" s="17" t="n">
        <v>35880</v>
      </c>
      <c r="C37" s="17" t="n">
        <v>53691</v>
      </c>
      <c r="D37" s="17" t="n">
        <v>44549</v>
      </c>
      <c r="E37" s="17" t="n">
        <v>42510</v>
      </c>
      <c r="F37" s="17" t="n">
        <v>16058</v>
      </c>
    </row>
    <row r="38">
      <c r="A38" s="16" t="inlineStr">
        <is>
          <t>Other Investing Activities</t>
        </is>
      </c>
      <c r="B38" s="17" t="n">
        <v>1542</v>
      </c>
      <c r="C38" s="17" t="n">
        <v>-1294</v>
      </c>
      <c r="D38" s="17" t="n">
        <v>1587</v>
      </c>
      <c r="E38" s="17" t="n">
        <v>1200</v>
      </c>
      <c r="F38" s="17" t="n">
        <v>8086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2474</v>
      </c>
      <c r="C41" s="17" t="n">
        <v>5164</v>
      </c>
      <c r="D41" s="17" t="n">
        <v>7024</v>
      </c>
      <c r="E41" s="17" t="n">
        <v>687</v>
      </c>
      <c r="F41" s="17" t="n">
        <v>-3750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0</v>
      </c>
      <c r="C43" s="17" t="n">
        <v>2009</v>
      </c>
      <c r="D43" s="17" t="n">
        <v>4001</v>
      </c>
      <c r="E43" s="17" t="n">
        <v>12714</v>
      </c>
      <c r="F43" s="17" t="n">
        <v>13477</v>
      </c>
    </row>
    <row r="44">
      <c r="A44" s="16" t="inlineStr">
        <is>
          <t>Common Stock Repurchased (Buybacks)</t>
        </is>
      </c>
      <c r="B44" s="17" t="n">
        <v>-2415</v>
      </c>
      <c r="C44" s="17" t="n">
        <v>0</v>
      </c>
      <c r="D44" s="17" t="n">
        <v>0</v>
      </c>
      <c r="E44" s="17" t="n">
        <v>0</v>
      </c>
      <c r="F44" s="17" t="n">
        <v>0</v>
      </c>
    </row>
    <row r="45">
      <c r="A45" s="16" t="inlineStr">
        <is>
          <t>Dividends Paid</t>
        </is>
      </c>
      <c r="B45" s="17" t="n">
        <v>-5644</v>
      </c>
      <c r="C45" s="17" t="n">
        <v>-5997</v>
      </c>
      <c r="D45" s="17" t="n">
        <v>-3088</v>
      </c>
      <c r="E45" s="17" t="n">
        <v>-1599</v>
      </c>
      <c r="F45" s="17" t="n">
        <v>0</v>
      </c>
    </row>
    <row r="46">
      <c r="A46" s="16" t="inlineStr">
        <is>
          <t>Other Financing Activities</t>
        </is>
      </c>
      <c r="B46" s="17" t="n">
        <v>-626</v>
      </c>
      <c r="C46" s="17" t="n">
        <v>-61</v>
      </c>
      <c r="D46" s="17" t="n">
        <v>568</v>
      </c>
      <c r="E46" s="17" t="n">
        <v>-664</v>
      </c>
      <c r="F46" s="17" t="n">
        <v>1860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0</v>
      </c>
      <c r="C49" s="17" t="n">
        <v>0</v>
      </c>
      <c r="D49" s="17" t="n">
        <v>0</v>
      </c>
      <c r="E49" s="17" t="n">
        <v>0</v>
      </c>
      <c r="F49" s="17" t="n">
        <v>0</v>
      </c>
    </row>
    <row r="50">
      <c r="A50" s="14" t="inlineStr">
        <is>
          <t>Net Change in Cash</t>
        </is>
      </c>
      <c r="B50" s="15" t="n">
        <v>-1038</v>
      </c>
      <c r="C50" s="15" t="n">
        <v>6317</v>
      </c>
      <c r="D50" s="15" t="n">
        <v>-4065</v>
      </c>
      <c r="E50" s="15" t="n">
        <v>1170</v>
      </c>
      <c r="F50" s="15" t="n">
        <v>6463</v>
      </c>
    </row>
    <row r="51">
      <c r="A51" s="16" t="inlineStr">
        <is>
          <t>Cash at Beginning of Period</t>
        </is>
      </c>
      <c r="B51" s="17" t="n">
        <v>5865</v>
      </c>
      <c r="C51" s="17" t="n">
        <v>4827</v>
      </c>
      <c r="D51" s="17" t="n">
        <v>11144</v>
      </c>
      <c r="E51" s="17" t="n">
        <v>7079</v>
      </c>
      <c r="F51" s="17" t="n">
        <v>8249</v>
      </c>
    </row>
    <row r="52">
      <c r="A52" s="25" t="inlineStr">
        <is>
          <t>Cash at End of Period</t>
        </is>
      </c>
      <c r="B52" s="26" t="n">
        <v>4827</v>
      </c>
      <c r="C52" s="26" t="n">
        <v>11144</v>
      </c>
      <c r="D52" s="26" t="n">
        <v>7079</v>
      </c>
      <c r="E52" s="26" t="n">
        <v>8249</v>
      </c>
      <c r="F52" s="26" t="n">
        <v>14712</v>
      </c>
    </row>
    <row r="53">
      <c r="A53" s="25" t="inlineStr">
        <is>
          <t>Free Cash Flow</t>
        </is>
      </c>
      <c r="B53" s="26" t="n">
        <v>9127</v>
      </c>
      <c r="C53" s="26" t="n">
        <v>-9617</v>
      </c>
      <c r="D53" s="26" t="n">
        <v>-14279</v>
      </c>
      <c r="E53" s="26" t="n">
        <v>-15656</v>
      </c>
      <c r="F53" s="26" t="n">
        <v>-4949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4090</v>
      </c>
      <c r="C61" s="17" t="n">
        <v>4123</v>
      </c>
      <c r="D61" s="17" t="n">
        <v>4212</v>
      </c>
      <c r="E61" s="17" t="n">
        <v>4280</v>
      </c>
      <c r="F61" s="17" t="n">
        <v>4856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INTC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32228</v>
      </c>
      <c r="C5" s="17" t="n">
        <v>30290</v>
      </c>
      <c r="D5" s="17" t="n">
        <v>29258</v>
      </c>
      <c r="E5" s="17" t="n">
        <v>31708</v>
      </c>
      <c r="F5" s="17" t="n">
        <v>40511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INTC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343939.185</v>
      </c>
      <c r="C5" s="43" t="inlineStr">
        <is>
          <t>FMP marketCap  |  price $68.5</t>
        </is>
      </c>
    </row>
    <row r="6">
      <c r="A6" s="16" t="inlineStr">
        <is>
          <t>Debt  (gross book value, $mm)</t>
        </is>
      </c>
      <c r="B6" s="42" t="n">
        <v>46585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1.349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1.234</v>
      </c>
      <c r="C17" s="43" t="inlineStr">
        <is>
          <t>Mean-reversion toward market beta of 1.0</t>
        </is>
      </c>
    </row>
    <row r="18">
      <c r="A18" s="16" t="inlineStr">
        <is>
          <t>Damodaran industry unlevered  (Semiconductors)</t>
        </is>
      </c>
      <c r="B18" s="49" t="n">
        <v>1.15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0.14x,  t = 98.3%)</t>
        </is>
      </c>
      <c r="B19" s="49" t="n">
        <v>1.153</v>
      </c>
      <c r="C19" s="43">
        <f> unlevered × (1 + (1 − t) × D/E)</f>
        <v/>
      </c>
    </row>
    <row r="20">
      <c r="A20" s="16" t="inlineStr">
        <is>
          <t>Peer median beta</t>
        </is>
      </c>
      <c r="B20" s="49" t="n">
        <v>1.279</v>
      </c>
      <c r="C20" s="43" t="inlineStr">
        <is>
          <t xml:space="preserve">AMD: 1.963  |  QCOM: 1.279  |  AVGO: 1.253  |  TSM: </t>
        </is>
      </c>
    </row>
    <row r="21">
      <c r="A21" s="46" t="inlineStr">
        <is>
          <t>► Selected beta  (user override)</t>
        </is>
      </c>
      <c r="B21" s="50" t="n">
        <v>1.254</v>
      </c>
      <c r="C21" s="48" t="inlineStr">
        <is>
          <t>Default = average of 4 source(s) above — override freely</t>
        </is>
      </c>
    </row>
    <row r="22">
      <c r="A22" s="41" t="n"/>
      <c r="B22" s="41" t="n"/>
      <c r="C22" s="41" t="n"/>
    </row>
    <row r="23" ht="18" customHeight="1">
      <c r="A23" s="24" t="inlineStr">
        <is>
          <t>STEP 3 — EQUITY RISK PREMIUM  (ERP)</t>
        </is>
      </c>
    </row>
    <row r="24">
      <c r="A24" s="16" t="inlineStr">
        <is>
          <t>Damodaran implied ERP — US market (current)</t>
        </is>
      </c>
      <c r="B24" s="45" t="n">
        <v>0.0472</v>
      </c>
      <c r="C24" s="43" t="inlineStr">
        <is>
          <t>Damodaran.com implied ERP — Jan 2026</t>
        </is>
      </c>
    </row>
    <row r="25">
      <c r="A25" s="16" t="inlineStr">
        <is>
          <t>Damodaran historical avg — US 1928–2025</t>
        </is>
      </c>
      <c r="B25" s="45" t="n">
        <v>0.042</v>
      </c>
      <c r="C25" s="43" t="inlineStr">
        <is>
          <t>Arithmetic average excess return over T-bill</t>
        </is>
      </c>
    </row>
    <row r="26">
      <c r="A26" s="46" t="inlineStr">
        <is>
          <t>► Selected ERP  (user override)</t>
        </is>
      </c>
      <c r="B26" s="47" t="n">
        <v>0.0446</v>
      </c>
      <c r="C26" s="48" t="inlineStr">
        <is>
          <t>Default = average of Damodaran implied &amp; historical avg — override freely</t>
        </is>
      </c>
    </row>
    <row r="27">
      <c r="A27" s="41" t="n"/>
      <c r="B27" s="41" t="n"/>
      <c r="C27" s="41" t="n"/>
    </row>
    <row r="28" ht="18" customHeight="1">
      <c r="A28" s="24" t="inlineStr">
        <is>
          <t>STEP 4 — COST OF EQUITY  (CAPM:  Re = Rf + β × ERP)</t>
        </is>
      </c>
    </row>
    <row r="29">
      <c r="A29" s="18" t="inlineStr">
        <is>
          <t>Cost of equity  (Re)</t>
        </is>
      </c>
      <c r="B29" s="51">
        <f>B13+B21*B26</f>
        <v/>
      </c>
      <c r="C29" s="44" t="inlineStr">
        <is>
          <t>CAPM formula — references selected inputs above</t>
        </is>
      </c>
    </row>
    <row r="30">
      <c r="A30" s="41" t="n"/>
      <c r="B30" s="41" t="n"/>
      <c r="C30" s="41" t="n"/>
    </row>
    <row r="31" ht="18" customHeight="1">
      <c r="A31" s="24" t="inlineStr">
        <is>
          <t>STEP 5 — COST OF DEBT  (Pre-tax Rd)</t>
        </is>
      </c>
    </row>
    <row r="32">
      <c r="A32" s="16" t="inlineStr">
        <is>
          <t>Credit rating  (S&amp;P / Moody's)</t>
        </is>
      </c>
      <c r="B32" s="52" t="inlineStr">
        <is>
          <t>BBB</t>
        </is>
      </c>
      <c r="C32" s="43" t="inlineStr">
        <is>
          <t>User input</t>
        </is>
      </c>
    </row>
    <row r="33">
      <c r="A33" s="16" t="inlineStr">
        <is>
          <t>FRED matched yield  (rating-tier index)</t>
        </is>
      </c>
      <c r="B33" s="45" t="n">
        <v>0.0521</v>
      </c>
      <c r="C33" s="43" t="inlineStr">
        <is>
          <t>FRED BAMLC0A4CBBBEY — BBB</t>
        </is>
      </c>
    </row>
    <row r="34">
      <c r="A34" s="16" t="inlineStr">
        <is>
          <t>Interest Coverage Ratio  (EBIT / Gross Int Exp)</t>
        </is>
      </c>
      <c r="B34" s="49" t="n">
        <v>0</v>
      </c>
      <c r="C34" s="43" t="inlineStr">
        <is>
          <t>EBIT $23mm  /  Int Exp $1091mm</t>
        </is>
      </c>
    </row>
    <row r="35">
      <c r="A35" s="16" t="inlineStr">
        <is>
          <t>Synthetic rating  (Damodaran ICR table)</t>
        </is>
      </c>
      <c r="B35" s="52" t="inlineStr">
        <is>
          <t>CC</t>
        </is>
      </c>
      <c r="C35" s="43" t="inlineStr">
        <is>
          <t>ICR 0.0x  →  CC</t>
        </is>
      </c>
    </row>
    <row r="36">
      <c r="A36" s="16" t="inlineStr">
        <is>
          <t>Synthetic Rd  (Rf + Damodaran default spread)</t>
        </is>
      </c>
      <c r="B36" s="45" t="n">
        <v>0.1632</v>
      </c>
      <c r="C36" s="43" t="inlineStr">
        <is>
          <t>Rf 4.32% + spread 12.00%</t>
        </is>
      </c>
    </row>
    <row r="37">
      <c r="A37" s="16" t="inlineStr">
        <is>
          <t>Accounting Rd  (Gross int exp / Avg gross debt)</t>
        </is>
      </c>
      <c r="B37" s="45" t="n">
        <v>0.02258892707772579</v>
      </c>
      <c r="C37" s="43" t="inlineStr">
        <is>
          <t>Cross-check only — backward-looking</t>
        </is>
      </c>
    </row>
    <row r="38">
      <c r="A38" s="46" t="inlineStr">
        <is>
          <t>► Selected pre-tax Rd  (user override)</t>
        </is>
      </c>
      <c r="B38" s="47" t="n">
        <v>0.0793</v>
      </c>
      <c r="C38" s="48" t="inlineStr">
        <is>
          <t>Default = average of 3 source(s) above — override freely</t>
        </is>
      </c>
    </row>
    <row r="39">
      <c r="A39" s="41" t="n"/>
      <c r="B39" s="41" t="n"/>
      <c r="C39" s="41" t="n"/>
    </row>
    <row r="40" ht="18" customHeight="1">
      <c r="A40" s="24" t="inlineStr">
        <is>
          <t>STEP 6 — TAX RATE</t>
        </is>
      </c>
    </row>
    <row r="41">
      <c r="A41" s="16" t="inlineStr">
        <is>
          <t>Effective tax rate  (tax expense / pre-tax income)</t>
        </is>
      </c>
      <c r="B41" s="45" t="n">
        <v>0.9833</v>
      </c>
      <c r="C41" s="43" t="inlineStr">
        <is>
          <t>FMP: $1531mm  /  $1557mm</t>
        </is>
      </c>
    </row>
    <row r="42">
      <c r="A42" s="46" t="inlineStr">
        <is>
          <t>► Selected tax rate  (user override)</t>
        </is>
      </c>
      <c r="B42" s="47" t="n">
        <v>0.9833</v>
      </c>
      <c r="C42" s="48" t="inlineStr">
        <is>
          <t>Adjust to normalised / marginal rate if preferred</t>
        </is>
      </c>
    </row>
    <row r="43">
      <c r="A43" s="41" t="n"/>
      <c r="B43" s="41" t="n"/>
      <c r="C43" s="41" t="n"/>
    </row>
    <row r="44" ht="18" customHeight="1">
      <c r="A44" s="3" t="inlineStr">
        <is>
          <t>WACC OUTPUT</t>
        </is>
      </c>
    </row>
    <row r="45" ht="22" customHeight="1">
      <c r="A45" s="53" t="inlineStr">
        <is>
          <t>WACC  =  (E/V × Re)  +  (D/V × Rd × (1 − t))</t>
        </is>
      </c>
      <c r="B45" s="54">
        <f>B8*B29+B9*B38*(1-B42)</f>
        <v/>
      </c>
      <c r="C45" s="55" t="inlineStr">
        <is>
          <t>Used as discount rate in DCF tab</t>
        </is>
      </c>
    </row>
    <row r="46">
      <c r="A46" s="41" t="n"/>
      <c r="B46" s="41" t="n"/>
      <c r="C46" s="41" t="n"/>
    </row>
    <row r="47" ht="18" customHeight="1">
      <c r="A47" s="9" t="inlineStr">
        <is>
          <t>SENSITIVITY — WACC (%)  by Beta offset × ERP offset</t>
        </is>
      </c>
    </row>
    <row r="48">
      <c r="A48" s="56" t="inlineStr">
        <is>
          <t>Beta offset  \  ERP offset →</t>
        </is>
      </c>
      <c r="B48" s="56" t="inlineStr">
        <is>
          <t>-1.0%</t>
        </is>
      </c>
      <c r="C48" s="56" t="inlineStr">
        <is>
          <t>-0.5%</t>
        </is>
      </c>
      <c r="D48" s="56" t="inlineStr">
        <is>
          <t>Base ERP</t>
        </is>
      </c>
      <c r="E48" s="56" t="inlineStr">
        <is>
          <t>+0.5%</t>
        </is>
      </c>
      <c r="F48" s="56" t="inlineStr">
        <is>
          <t>+1.0%</t>
        </is>
      </c>
    </row>
    <row r="49">
      <c r="A49" s="57" t="inlineStr">
        <is>
          <t>-1.0</t>
        </is>
      </c>
      <c r="B49" s="58">
        <f>B8*(B13+(B21+(-1.0))*(B26+(-0.01)))+B9*B38*(1-B42)</f>
        <v/>
      </c>
      <c r="C49" s="58">
        <f>B8*(B13+(B21+(-1.0))*(B26+(-0.005)))+B9*B38*(1-B42)</f>
        <v/>
      </c>
      <c r="D49" s="58">
        <f>B8*(B13+(B21+(-1.0))*(B26+(0.0)))+B9*B38*(1-B42)</f>
        <v/>
      </c>
      <c r="E49" s="58">
        <f>B8*(B13+(B21+(-1.0))*(B26+(0.005)))+B9*B38*(1-B42)</f>
        <v/>
      </c>
      <c r="F49" s="58">
        <f>B8*(B13+(B21+(-1.0))*(B26+(0.01)))+B9*B38*(1-B42)</f>
        <v/>
      </c>
    </row>
    <row r="50">
      <c r="A50" s="57" t="inlineStr">
        <is>
          <t>-0.5</t>
        </is>
      </c>
      <c r="B50" s="58">
        <f>B8*(B13+(B21+(-0.5))*(B26+(-0.01)))+B9*B38*(1-B42)</f>
        <v/>
      </c>
      <c r="C50" s="58">
        <f>B8*(B13+(B21+(-0.5))*(B26+(-0.005)))+B9*B38*(1-B42)</f>
        <v/>
      </c>
      <c r="D50" s="58">
        <f>B8*(B13+(B21+(-0.5))*(B26+(0.0)))+B9*B38*(1-B42)</f>
        <v/>
      </c>
      <c r="E50" s="58">
        <f>B8*(B13+(B21+(-0.5))*(B26+(0.005)))+B9*B38*(1-B42)</f>
        <v/>
      </c>
      <c r="F50" s="58">
        <f>B8*(B13+(B21+(-0.5))*(B26+(0.01)))+B9*B38*(1-B42)</f>
        <v/>
      </c>
    </row>
    <row r="51">
      <c r="A51" s="59" t="inlineStr">
        <is>
          <t>Base β</t>
        </is>
      </c>
      <c r="B51" s="60">
        <f>B8*(B13+(B21+(0.0))*(B26+(-0.01)))+B9*B38*(1-B42)</f>
        <v/>
      </c>
      <c r="C51" s="60">
        <f>B8*(B13+(B21+(0.0))*(B26+(-0.005)))+B9*B38*(1-B42)</f>
        <v/>
      </c>
      <c r="D51" s="61">
        <f>B8*(B13+(B21+(0.0))*(B26+(0.0)))+B9*B38*(1-B42)</f>
        <v/>
      </c>
      <c r="E51" s="60">
        <f>B8*(B13+(B21+(0.0))*(B26+(0.005)))+B9*B38*(1-B42)</f>
        <v/>
      </c>
      <c r="F51" s="60">
        <f>B8*(B13+(B21+(0.0))*(B26+(0.01)))+B9*B38*(1-B42)</f>
        <v/>
      </c>
    </row>
    <row r="52">
      <c r="A52" s="57" t="inlineStr">
        <is>
          <t>+0.5</t>
        </is>
      </c>
      <c r="B52" s="58">
        <f>B8*(B13+(B21+(0.5))*(B26+(-0.01)))+B9*B38*(1-B42)</f>
        <v/>
      </c>
      <c r="C52" s="58">
        <f>B8*(B13+(B21+(0.5))*(B26+(-0.005)))+B9*B38*(1-B42)</f>
        <v/>
      </c>
      <c r="D52" s="58">
        <f>B8*(B13+(B21+(0.5))*(B26+(0.0)))+B9*B38*(1-B42)</f>
        <v/>
      </c>
      <c r="E52" s="58">
        <f>B8*(B13+(B21+(0.5))*(B26+(0.005)))+B9*B38*(1-B42)</f>
        <v/>
      </c>
      <c r="F52" s="58">
        <f>B8*(B13+(B21+(0.5))*(B26+(0.01)))+B9*B38*(1-B42)</f>
        <v/>
      </c>
    </row>
    <row r="53">
      <c r="A53" s="57" t="inlineStr">
        <is>
          <t>+1.0</t>
        </is>
      </c>
      <c r="B53" s="58">
        <f>B8*(B13+(B21+(1.0))*(B26+(-0.01)))+B9*B38*(1-B42)</f>
        <v/>
      </c>
      <c r="C53" s="58">
        <f>B8*(B13+(B21+(1.0))*(B26+(-0.005)))+B9*B38*(1-B42)</f>
        <v/>
      </c>
      <c r="D53" s="58">
        <f>B8*(B13+(B21+(1.0))*(B26+(0.0)))+B9*B38*(1-B42)</f>
        <v/>
      </c>
      <c r="E53" s="58">
        <f>B8*(B13+(B21+(1.0))*(B26+(0.005)))+B9*B38*(1-B42)</f>
        <v/>
      </c>
      <c r="F53" s="58">
        <f>B8*(B13+(B21+(1.0))*(B26+(0.01)))+B9*B38*(1-B42)</f>
        <v/>
      </c>
    </row>
  </sheetData>
  <mergeCells count="11">
    <mergeCell ref="A28:C28"/>
    <mergeCell ref="A11:C11"/>
    <mergeCell ref="A44:C44"/>
    <mergeCell ref="A47:C47"/>
    <mergeCell ref="A1:C1"/>
    <mergeCell ref="A23:C23"/>
    <mergeCell ref="A31:C31"/>
    <mergeCell ref="A40:C40"/>
    <mergeCell ref="A15:C15"/>
    <mergeCell ref="A4:C4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INTC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4" t="inlineStr">
        <is>
          <t>2030E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-0.2021</v>
      </c>
      <c r="D7" s="69" t="n">
        <v>-0.14</v>
      </c>
      <c r="E7" s="69" t="n">
        <v>-0.0208</v>
      </c>
      <c r="F7" s="69" t="n">
        <v>-0.0047</v>
      </c>
      <c r="G7" s="70" t="n">
        <v>0.0275</v>
      </c>
      <c r="H7" s="70" t="n">
        <v>0.07340000000000001</v>
      </c>
      <c r="I7" s="70" t="n">
        <v>0.0604</v>
      </c>
      <c r="J7" s="70" t="n">
        <v>0.1725</v>
      </c>
      <c r="K7" s="70" t="n">
        <v>0.091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0.4287</v>
      </c>
      <c r="C8" s="69" t="n">
        <v>0.3378</v>
      </c>
      <c r="D8" s="69" t="n">
        <v>0.2073</v>
      </c>
      <c r="E8" s="69" t="n">
        <v>0.0227</v>
      </c>
      <c r="F8" s="69" t="n">
        <v>0.2716</v>
      </c>
      <c r="G8" s="70" t="n">
        <v>0.2536</v>
      </c>
      <c r="H8" s="70" t="n">
        <v>0.2536</v>
      </c>
      <c r="I8" s="70" t="n">
        <v>0.2536</v>
      </c>
      <c r="J8" s="70" t="n">
        <v>0.2536</v>
      </c>
      <c r="K8" s="70" t="n">
        <v>0.2536</v>
      </c>
      <c r="L8" s="71" t="n">
        <v>0.2716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0.1492</v>
      </c>
      <c r="C9" s="69" t="n">
        <v>0.2067</v>
      </c>
      <c r="D9" s="69" t="n">
        <v>0.1771</v>
      </c>
      <c r="E9" s="69" t="n">
        <v>0.2143</v>
      </c>
      <c r="F9" s="69" t="n">
        <v>0.2215</v>
      </c>
      <c r="G9" s="73" t="n">
        <v>0.2215</v>
      </c>
      <c r="H9" s="73" t="n">
        <v>0.2215</v>
      </c>
      <c r="I9" s="73" t="n">
        <v>0.2215</v>
      </c>
      <c r="J9" s="73" t="n">
        <v>0.2215</v>
      </c>
      <c r="K9" s="73" t="n">
        <v>0.2215</v>
      </c>
      <c r="L9" s="71" t="n">
        <v>0.2215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0.2573</v>
      </c>
      <c r="C10" s="69" t="n">
        <v>0.3973</v>
      </c>
      <c r="D10" s="69" t="n">
        <v>0.4748</v>
      </c>
      <c r="E10" s="69" t="n">
        <v>0.4509</v>
      </c>
      <c r="F10" s="69" t="n">
        <v>0.2771</v>
      </c>
      <c r="G10" s="73" t="n">
        <v>0.2771</v>
      </c>
      <c r="H10" s="73" t="n">
        <v>0.2771</v>
      </c>
      <c r="I10" s="73" t="n">
        <v>0.2771</v>
      </c>
      <c r="J10" s="73" t="n">
        <v>0.2771</v>
      </c>
      <c r="K10" s="73" t="n">
        <v>0.2771</v>
      </c>
      <c r="L10" s="71" t="n">
        <v>0.2771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0.08459999999999999</v>
      </c>
      <c r="C12" s="69" t="n">
        <v>0.0321</v>
      </c>
      <c r="D12" s="69" t="n">
        <v>1.1982</v>
      </c>
      <c r="E12" s="69" t="n">
        <v>0.7157</v>
      </c>
      <c r="F12" s="69" t="n">
        <v>0.9833</v>
      </c>
      <c r="G12" s="73" t="n">
        <v>0.9833</v>
      </c>
      <c r="H12" s="73" t="n">
        <v>0.9833</v>
      </c>
      <c r="I12" s="73" t="n">
        <v>0.9833</v>
      </c>
      <c r="J12" s="73" t="n">
        <v>0.9833</v>
      </c>
      <c r="K12" s="73" t="n">
        <v>0.9833</v>
      </c>
      <c r="L12" s="71" t="n">
        <v>0.9833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79024</v>
      </c>
      <c r="C15" s="75" t="n">
        <v>63054</v>
      </c>
      <c r="D15" s="75" t="n">
        <v>54228</v>
      </c>
      <c r="E15" s="75" t="n">
        <v>53101</v>
      </c>
      <c r="F15" s="75" t="n">
        <v>52853</v>
      </c>
      <c r="G15" s="76" t="n">
        <v>54308</v>
      </c>
      <c r="H15" s="76" t="n">
        <v>58296.4</v>
      </c>
      <c r="I15" s="76" t="n">
        <v>61820.3</v>
      </c>
      <c r="J15" s="76" t="n">
        <v>72487</v>
      </c>
      <c r="K15" s="76" t="n">
        <v>79086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51,834 — 58,326</t>
        </is>
      </c>
      <c r="H16" s="80" t="inlineStr">
        <is>
          <t>55,798 — 61,951</t>
        </is>
      </c>
      <c r="I16" s="80" t="inlineStr">
        <is>
          <t>61,797 — 61,843</t>
        </is>
      </c>
      <c r="J16" s="80" t="inlineStr">
        <is>
          <t>68,298 — 77,986</t>
        </is>
      </c>
      <c r="K16" s="80" t="inlineStr">
        <is>
          <t>74,516 — 85,086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32</v>
      </c>
      <c r="H17" s="82" t="n">
        <v>32</v>
      </c>
      <c r="I17" s="82" t="n">
        <v>12</v>
      </c>
      <c r="J17" s="83" t="n">
        <v>7</v>
      </c>
      <c r="K17" s="82" t="n">
        <v>11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4" t="inlineStr">
        <is>
          <t>—</t>
        </is>
      </c>
      <c r="C18" s="85">
        <f>IFERROR(C15/B15-1,"")</f>
        <v/>
      </c>
      <c r="D18" s="85">
        <f>IFERROR(D15/C15-1,"")</f>
        <v/>
      </c>
      <c r="E18" s="85">
        <f>IFERROR(E15/D15-1,"")</f>
        <v/>
      </c>
      <c r="F18" s="85">
        <f>IFERROR(F15/E15-1,"")</f>
        <v/>
      </c>
      <c r="G18" s="86">
        <f>IFERROR(G15/F15-1,"")</f>
        <v/>
      </c>
      <c r="H18" s="86">
        <f>IFERROR(H15/G15-1,"")</f>
        <v/>
      </c>
      <c r="I18" s="86">
        <f>IFERROR(I15/H15-1,"")</f>
        <v/>
      </c>
      <c r="J18" s="86">
        <f>IFERROR(J15/I15-1,"")</f>
        <v/>
      </c>
      <c r="K18" s="86">
        <f>IFERROR(K15/J15-1,"")</f>
        <v/>
      </c>
      <c r="L18" s="87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33874</v>
      </c>
      <c r="C20" s="75" t="n">
        <v>21299</v>
      </c>
      <c r="D20" s="75" t="n">
        <v>11242</v>
      </c>
      <c r="E20" s="75" t="n">
        <v>1203</v>
      </c>
      <c r="F20" s="75" t="n">
        <v>14354</v>
      </c>
      <c r="G20" s="76" t="n">
        <v>13772.4</v>
      </c>
      <c r="H20" s="76" t="n">
        <v>14783.9</v>
      </c>
      <c r="I20" s="76" t="n">
        <v>15677.5</v>
      </c>
      <c r="J20" s="76" t="n">
        <v>18382.6</v>
      </c>
      <c r="K20" s="76" t="n">
        <v>20056.1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13,145 — 14,791</t>
        </is>
      </c>
      <c r="H21" s="80" t="inlineStr">
        <is>
          <t>14,150 — 15,711</t>
        </is>
      </c>
      <c r="I21" s="80" t="inlineStr">
        <is>
          <t>15,672 — 15,683</t>
        </is>
      </c>
      <c r="J21" s="80" t="inlineStr">
        <is>
          <t>17,320 — 19,777</t>
        </is>
      </c>
      <c r="K21" s="80" t="inlineStr">
        <is>
          <t>18,897 — 21,578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5">
        <f>IFERROR(B20/B15,"")</f>
        <v/>
      </c>
      <c r="C22" s="85">
        <f>IFERROR(C20/C15,"")</f>
        <v/>
      </c>
      <c r="D22" s="85">
        <f>IFERROR(D20/D15,"")</f>
        <v/>
      </c>
      <c r="E22" s="85">
        <f>IFERROR(E20/E15,"")</f>
        <v/>
      </c>
      <c r="F22" s="85">
        <f>IFERROR(F20/F15,"")</f>
        <v/>
      </c>
      <c r="G22" s="86">
        <f>IFERROR(G20/G15,"")</f>
        <v/>
      </c>
      <c r="H22" s="86">
        <f>IFERROR(H20/H15,"")</f>
        <v/>
      </c>
      <c r="I22" s="86">
        <f>IFERROR(I20/I15,"")</f>
        <v/>
      </c>
      <c r="J22" s="86">
        <f>IFERROR(J20/J15,"")</f>
        <v/>
      </c>
      <c r="K22" s="86">
        <f>IFERROR(K20/K15,"")</f>
        <v/>
      </c>
      <c r="L22" s="87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8" t="inlineStr">
        <is>
          <t xml:space="preserve">  Less: D&amp;A</t>
        </is>
      </c>
      <c r="B25" s="75" t="n">
        <v>-11792</v>
      </c>
      <c r="C25" s="75" t="n">
        <v>-13035</v>
      </c>
      <c r="D25" s="75" t="n">
        <v>-9602</v>
      </c>
      <c r="E25" s="75" t="n">
        <v>-11379</v>
      </c>
      <c r="F25" s="75" t="n">
        <v>-11706</v>
      </c>
      <c r="G25" s="89">
        <f>-G15*G9</f>
        <v/>
      </c>
      <c r="H25" s="89">
        <f>-H15*H9</f>
        <v/>
      </c>
      <c r="I25" s="89">
        <f>-I15*I9</f>
        <v/>
      </c>
      <c r="J25" s="89">
        <f>-J15*J9</f>
        <v/>
      </c>
      <c r="K25" s="89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90" t="n">
        <v>22082</v>
      </c>
      <c r="C26" s="90" t="n">
        <v>8264</v>
      </c>
      <c r="D26" s="90" t="n">
        <v>1640</v>
      </c>
      <c r="E26" s="90" t="n">
        <v>-10176</v>
      </c>
      <c r="F26" s="90" t="n">
        <v>2648</v>
      </c>
      <c r="G26" s="91">
        <f>G20+G25</f>
        <v/>
      </c>
      <c r="H26" s="91">
        <f>H20+H25</f>
        <v/>
      </c>
      <c r="I26" s="91">
        <f>I20+I25</f>
        <v/>
      </c>
      <c r="J26" s="91">
        <f>J20+J25</f>
        <v/>
      </c>
      <c r="K26" s="91">
        <f>K20+K25</f>
        <v/>
      </c>
      <c r="L26" s="91">
        <f>L20+L25</f>
        <v/>
      </c>
      <c r="M26" s="78">
        <f> EBITDA + D&amp;A  (GAAP operating income, EBIT)</f>
        <v/>
      </c>
    </row>
    <row r="27" ht="20" customHeight="1">
      <c r="A27" s="88" t="inlineStr">
        <is>
          <t xml:space="preserve">  Less: Tax on EBIT  (unlevered)</t>
        </is>
      </c>
      <c r="B27" s="92" t="n">
        <v>-1867</v>
      </c>
      <c r="C27" s="92" t="n">
        <v>-264.9</v>
      </c>
      <c r="D27" s="92" t="n">
        <v>-1965</v>
      </c>
      <c r="E27" s="92" t="n">
        <v>7283</v>
      </c>
      <c r="F27" s="92" t="n">
        <v>-2603.8</v>
      </c>
      <c r="G27" s="93">
        <f>-G26*G12</f>
        <v/>
      </c>
      <c r="H27" s="93">
        <f>-H26*H12</f>
        <v/>
      </c>
      <c r="I27" s="93">
        <f>-I26*I12</f>
        <v/>
      </c>
      <c r="J27" s="93">
        <f>-J26*J12</f>
        <v/>
      </c>
      <c r="K27" s="93">
        <f>-K26*K12</f>
        <v/>
      </c>
      <c r="L27" s="93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90" t="n">
        <v>20215</v>
      </c>
      <c r="C28" s="90" t="n">
        <v>7999.1</v>
      </c>
      <c r="D28" s="90" t="n">
        <v>-325</v>
      </c>
      <c r="E28" s="90" t="n">
        <v>-2893</v>
      </c>
      <c r="F28" s="90" t="n">
        <v>44.2</v>
      </c>
      <c r="G28" s="94">
        <f>G26+G27</f>
        <v/>
      </c>
      <c r="H28" s="94">
        <f>H26+H27</f>
        <v/>
      </c>
      <c r="I28" s="94">
        <f>I26+I27</f>
        <v/>
      </c>
      <c r="J28" s="94">
        <f>J26+J27</f>
        <v/>
      </c>
      <c r="K28" s="94">
        <f>K26+K27</f>
        <v/>
      </c>
      <c r="L28" s="94">
        <f>L26+L27</f>
        <v/>
      </c>
      <c r="M28" s="78">
        <f> EBIT × (1 − tax rate)</f>
        <v/>
      </c>
    </row>
    <row r="29" ht="20" customHeight="1">
      <c r="A29" s="88" t="inlineStr">
        <is>
          <t xml:space="preserve">  (+) D&amp;A add-back  (non-cash)</t>
        </is>
      </c>
      <c r="B29" s="92" t="n">
        <v>11792</v>
      </c>
      <c r="C29" s="92" t="n">
        <v>13035</v>
      </c>
      <c r="D29" s="92" t="n">
        <v>9602</v>
      </c>
      <c r="E29" s="92" t="n">
        <v>11379</v>
      </c>
      <c r="F29" s="92" t="n">
        <v>11706</v>
      </c>
      <c r="G29" s="93">
        <f>-G25</f>
        <v/>
      </c>
      <c r="H29" s="93">
        <f>-H25</f>
        <v/>
      </c>
      <c r="I29" s="93">
        <f>-I25</f>
        <v/>
      </c>
      <c r="J29" s="93">
        <f>-J25</f>
        <v/>
      </c>
      <c r="K29" s="93">
        <f>-K25</f>
        <v/>
      </c>
      <c r="L29" s="93">
        <f>-L25</f>
        <v/>
      </c>
      <c r="M29" s="78">
        <f> D&amp;A added back (non-cash charge — converts NOPAT to cash basis)</f>
        <v/>
      </c>
    </row>
    <row r="30" ht="20" customHeight="1">
      <c r="A30" s="88" t="inlineStr">
        <is>
          <t xml:space="preserve">  (−) Capital Expenditures</t>
        </is>
      </c>
      <c r="B30" s="75" t="n">
        <v>-20329</v>
      </c>
      <c r="C30" s="75" t="n">
        <v>-25050</v>
      </c>
      <c r="D30" s="75" t="n">
        <v>-25750</v>
      </c>
      <c r="E30" s="75" t="n">
        <v>-23944</v>
      </c>
      <c r="F30" s="75" t="n">
        <v>-14646</v>
      </c>
      <c r="G30" s="93">
        <f>-G15*G10</f>
        <v/>
      </c>
      <c r="H30" s="93">
        <f>-H15*H10</f>
        <v/>
      </c>
      <c r="I30" s="93">
        <f>-I15*I10</f>
        <v/>
      </c>
      <c r="J30" s="93">
        <f>-J15*J10</f>
        <v/>
      </c>
      <c r="K30" s="93">
        <f>-K15*K10</f>
        <v/>
      </c>
      <c r="L30" s="93">
        <f>-L15*L10</f>
        <v/>
      </c>
      <c r="M30" s="78">
        <f> Revenue × CapEx % assumption  (negative = cash outflow)</f>
        <v/>
      </c>
    </row>
    <row r="31" ht="20" customHeight="1">
      <c r="A31" s="88" t="inlineStr">
        <is>
          <t xml:space="preserve">  (−) Increase in Net Working Capital</t>
        </is>
      </c>
      <c r="B31" s="92" t="n"/>
      <c r="C31" s="92" t="n"/>
      <c r="D31" s="92" t="n"/>
      <c r="E31" s="92" t="n"/>
      <c r="F31" s="92" t="n"/>
      <c r="G31" s="93">
        <f>-G15*G11</f>
        <v/>
      </c>
      <c r="H31" s="93">
        <f>-H15*H11</f>
        <v/>
      </c>
      <c r="I31" s="93">
        <f>-I15*I11</f>
        <v/>
      </c>
      <c r="J31" s="93">
        <f>-J15*J11</f>
        <v/>
      </c>
      <c r="K31" s="93">
        <f>-K15*K11</f>
        <v/>
      </c>
      <c r="L31" s="93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90" t="n">
        <v>11678</v>
      </c>
      <c r="C32" s="90" t="n">
        <v>-4015.9</v>
      </c>
      <c r="D32" s="90" t="n">
        <v>-16473</v>
      </c>
      <c r="E32" s="90" t="n">
        <v>-15458</v>
      </c>
      <c r="F32" s="90" t="n">
        <v>-2895.8</v>
      </c>
      <c r="G32" s="94">
        <f>G28+G29+G30+G31</f>
        <v/>
      </c>
      <c r="H32" s="94">
        <f>H28+H29+H30+H31</f>
        <v/>
      </c>
      <c r="I32" s="94">
        <f>I28+I29+I30+I31</f>
        <v/>
      </c>
      <c r="J32" s="94">
        <f>J28+J29+J30+J31</f>
        <v/>
      </c>
      <c r="K32" s="94">
        <f>K28+K29+K30+K31</f>
        <v/>
      </c>
      <c r="L32" s="94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5" t="n">
        <v>0.1478</v>
      </c>
      <c r="C33" s="85" t="n">
        <v>-0.06370000000000001</v>
      </c>
      <c r="D33" s="85" t="n">
        <v>-0.3038</v>
      </c>
      <c r="E33" s="85" t="n">
        <v>-0.2911</v>
      </c>
      <c r="F33" s="85" t="n">
        <v>-0.0548</v>
      </c>
      <c r="G33" s="95">
        <f>IFERROR(G32/G15,"")</f>
        <v/>
      </c>
      <c r="H33" s="95">
        <f>IFERROR(H32/H15,"")</f>
        <v/>
      </c>
      <c r="I33" s="95">
        <f>IFERROR(I32/I15,"")</f>
        <v/>
      </c>
      <c r="J33" s="95">
        <f>IFERROR(J32/J15,"")</f>
        <v/>
      </c>
      <c r="K33" s="95">
        <f>IFERROR(K32/K15,"")</f>
        <v/>
      </c>
      <c r="L33" s="95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6">
        <f>WACC!B45</f>
        <v/>
      </c>
      <c r="C36" s="97" t="n"/>
      <c r="D36" s="97" t="n"/>
      <c r="E36" s="97" t="n"/>
      <c r="F36" s="97" t="n"/>
      <c r="G36" s="97" t="n"/>
      <c r="H36" s="97" t="n"/>
      <c r="I36" s="97" t="n"/>
      <c r="J36" s="97" t="n"/>
      <c r="K36" s="97" t="n"/>
      <c r="L36" s="97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8" t="n">
        <v>0.03</v>
      </c>
      <c r="C37" s="97" t="n"/>
      <c r="D37" s="97" t="n"/>
      <c r="E37" s="97" t="n"/>
      <c r="F37" s="97" t="n"/>
      <c r="G37" s="97" t="n"/>
      <c r="H37" s="97" t="n"/>
      <c r="I37" s="97" t="n"/>
      <c r="J37" s="97" t="n"/>
      <c r="K37" s="97" t="n"/>
      <c r="L37" s="97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99" t="n">
        <v>20</v>
      </c>
      <c r="C38" s="97" t="n"/>
      <c r="D38" s="97" t="n"/>
      <c r="E38" s="97" t="n"/>
      <c r="F38" s="97" t="n"/>
      <c r="G38" s="97" t="n"/>
      <c r="H38" s="97" t="n"/>
      <c r="I38" s="97" t="n"/>
      <c r="J38" s="97" t="n"/>
      <c r="K38" s="97" t="n"/>
      <c r="L38" s="97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0" t="inlineStr">
        <is>
          <t>Terminal Year UFCF  (grown by g)</t>
        </is>
      </c>
      <c r="B40" s="101">
        <f>L32</f>
        <v/>
      </c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  <c r="L40" s="102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4">
        <f>B40/(B36-B37)</f>
        <v/>
      </c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4">
        <f>L20*B38</f>
        <v/>
      </c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0" t="inlineStr">
        <is>
          <t>Discount Period  (mid-year convention)</t>
        </is>
      </c>
      <c r="G45" s="104" t="n">
        <v>0.5</v>
      </c>
      <c r="H45" s="104" t="n">
        <v>1.5</v>
      </c>
      <c r="I45" s="104" t="n">
        <v>2.5</v>
      </c>
      <c r="J45" s="104" t="n">
        <v>3.5</v>
      </c>
      <c r="K45" s="104" t="n">
        <v>4.5</v>
      </c>
      <c r="L45" s="105" t="n">
        <v>5</v>
      </c>
      <c r="M45" s="78" t="inlineStr">
        <is>
          <t>Mid-year: 0.5, 1.5, 2.5...  assumes FCF received evenly through each year</t>
        </is>
      </c>
    </row>
    <row r="46" ht="20" customHeight="1">
      <c r="A46" s="100" t="inlineStr">
        <is>
          <t>Discount Factor  =  1 / (1 + WACC) ^ period</t>
        </is>
      </c>
      <c r="G46" s="106">
        <f>1/(1+B36)^G45</f>
        <v/>
      </c>
      <c r="H46" s="106">
        <f>1/(1+B36)^H45</f>
        <v/>
      </c>
      <c r="I46" s="106">
        <f>1/(1+B36)^I45</f>
        <v/>
      </c>
      <c r="J46" s="106">
        <f>1/(1+B36)^J45</f>
        <v/>
      </c>
      <c r="K46" s="106">
        <f>1/(1+B36)^K45</f>
        <v/>
      </c>
      <c r="L46" s="107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4">
        <f>G32*G46</f>
        <v/>
      </c>
      <c r="H47" s="94">
        <f>H32*H46</f>
        <v/>
      </c>
      <c r="I47" s="94">
        <f>I32*I46</f>
        <v/>
      </c>
      <c r="J47" s="94">
        <f>J32*J46</f>
        <v/>
      </c>
      <c r="K47" s="94">
        <f>K32*K46</f>
        <v/>
      </c>
      <c r="L47" s="103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1">
        <f>G47+H47+I47+J47+K47</f>
        <v/>
      </c>
      <c r="C48" s="108" t="n"/>
      <c r="D48" s="108" t="n"/>
      <c r="E48" s="108" t="n"/>
      <c r="F48" s="108" t="n"/>
      <c r="G48" s="108" t="n"/>
      <c r="H48" s="108" t="n"/>
      <c r="I48" s="108" t="n"/>
      <c r="J48" s="108" t="n"/>
      <c r="K48" s="108" t="n"/>
      <c r="L48" s="108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1">
        <f>B41*L46</f>
        <v/>
      </c>
      <c r="C49" s="108" t="n"/>
      <c r="D49" s="108" t="n"/>
      <c r="E49" s="108" t="n"/>
      <c r="F49" s="108" t="n"/>
      <c r="G49" s="108" t="n"/>
      <c r="H49" s="108" t="n"/>
      <c r="I49" s="108" t="n"/>
      <c r="J49" s="108" t="n"/>
      <c r="K49" s="108" t="n"/>
      <c r="L49" s="108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1">
        <f>B42*L46</f>
        <v/>
      </c>
      <c r="C50" s="108" t="n"/>
      <c r="D50" s="108" t="n"/>
      <c r="E50" s="108" t="n"/>
      <c r="F50" s="108" t="n"/>
      <c r="G50" s="108" t="n"/>
      <c r="H50" s="108" t="n"/>
      <c r="I50" s="108" t="n"/>
      <c r="J50" s="108" t="n"/>
      <c r="K50" s="108" t="n"/>
      <c r="L50" s="108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4">
        <f>B48+B49</f>
        <v/>
      </c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</row>
    <row r="54">
      <c r="A54" s="74" t="inlineStr">
        <is>
          <t>Enterprise Value  [Exit Multiple]</t>
        </is>
      </c>
      <c r="B54" s="94">
        <f>B48+B50</f>
        <v/>
      </c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</row>
    <row r="55" ht="20" customHeight="1">
      <c r="A55" s="88" t="inlineStr">
        <is>
          <t xml:space="preserve">  Less: Net Debt  (Debt − Cash)</t>
        </is>
      </c>
      <c r="B55" s="101" t="n">
        <v>32320</v>
      </c>
      <c r="C55" s="102" t="n"/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78" t="inlineStr">
        <is>
          <t>Auto-linked from Balance Sheet: Debt $46,585mm − Cash $14,265mm = $32,320mm  (negative = net cash)</t>
        </is>
      </c>
    </row>
    <row r="56" ht="20" customHeight="1">
      <c r="A56" s="88" t="inlineStr">
        <is>
          <t xml:space="preserve">  Less: Minority Interest</t>
        </is>
      </c>
      <c r="B56" s="101" t="n">
        <v>12079</v>
      </c>
      <c r="C56" s="102" t="n"/>
      <c r="D56" s="102" t="n"/>
      <c r="E56" s="102" t="n"/>
      <c r="F56" s="102" t="n"/>
      <c r="G56" s="102" t="n"/>
      <c r="H56" s="102" t="n"/>
      <c r="I56" s="102" t="n"/>
      <c r="J56" s="102" t="n"/>
      <c r="K56" s="102" t="n"/>
      <c r="L56" s="102" t="n"/>
      <c r="M56" s="78" t="inlineStr">
        <is>
          <t>Auto-linked from Balance Sheet: minorityInterest</t>
        </is>
      </c>
    </row>
    <row r="57" ht="20" customHeight="1">
      <c r="A57" s="88" t="inlineStr">
        <is>
          <t xml:space="preserve">  Shares Outstanding — Diluted  (mm)</t>
        </is>
      </c>
      <c r="B57" s="101" t="n">
        <v>4856</v>
      </c>
      <c r="C57" s="102" t="n"/>
      <c r="D57" s="102" t="n"/>
      <c r="E57" s="102" t="n"/>
      <c r="F57" s="102" t="n"/>
      <c r="G57" s="102" t="n"/>
      <c r="H57" s="102" t="n"/>
      <c r="I57" s="102" t="n"/>
      <c r="J57" s="102" t="n"/>
      <c r="K57" s="102" t="n"/>
      <c r="L57" s="102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09">
        <f>IFERROR((B53-B55-B56)/B57,"")</f>
        <v/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</row>
    <row r="60">
      <c r="A60" s="74" t="inlineStr">
        <is>
          <t>Implied Share Price  [Exit Multiple]  ($)</t>
        </is>
      </c>
      <c r="B60" s="109">
        <f>IFERROR((B54-B55-B56)/B57,"")</f>
        <v/>
      </c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</row>
    <row r="61" ht="20" customHeight="1">
      <c r="A61" s="100" t="inlineStr">
        <is>
          <t>Current Market Price  ($)</t>
        </is>
      </c>
      <c r="B61" s="110" t="n">
        <v>68.5</v>
      </c>
      <c r="C61" s="102" t="n"/>
      <c r="D61" s="102" t="n"/>
      <c r="E61" s="102" t="n"/>
      <c r="F61" s="102" t="n"/>
      <c r="G61" s="102" t="n"/>
      <c r="H61" s="102" t="n"/>
      <c r="I61" s="102" t="n"/>
      <c r="J61" s="102" t="n"/>
      <c r="K61" s="102" t="n"/>
      <c r="L61" s="102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1">
        <f>IFERROR(B59/B61-1,"")</f>
        <v/>
      </c>
      <c r="C62" s="108" t="n"/>
      <c r="D62" s="108" t="n"/>
      <c r="E62" s="108" t="n"/>
      <c r="F62" s="108" t="n"/>
      <c r="G62" s="108" t="n"/>
      <c r="H62" s="108" t="n"/>
      <c r="I62" s="108" t="n"/>
      <c r="J62" s="108" t="n"/>
      <c r="K62" s="108" t="n"/>
      <c r="L62" s="108" t="n"/>
      <c r="M62" s="108" t="n"/>
    </row>
    <row r="63">
      <c r="A63" s="62" t="inlineStr">
        <is>
          <t>Upside / (Downside)  [Exit Multiple]</t>
        </is>
      </c>
      <c r="B63" s="111">
        <f>IFERROR(B60/B61-1,"")</f>
        <v/>
      </c>
      <c r="C63" s="108" t="n"/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2" t="inlineStr">
        <is>
          <t>JS SCORECARD — INTC  |  Master Prompt v2  |  18 Apr 2026</t>
        </is>
      </c>
    </row>
    <row r="2" ht="18" customHeight="1">
      <c r="A2" s="113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4" t="inlineStr">
        <is>
          <t>⚠  HARD FLOOR GATE(S) TRIGGERED — COVERAGE GATE: EBIT/Interest 0.0x &lt; 2.0x  →  Overall score capped at 64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5" t="inlineStr">
        <is>
          <t>CRITERION</t>
        </is>
      </c>
      <c r="B6" s="116" t="inlineStr">
        <is>
          <t>PART</t>
        </is>
      </c>
      <c r="C6" s="116" t="inlineStr">
        <is>
          <t>WEIGHT %</t>
        </is>
      </c>
      <c r="D6" s="116" t="inlineStr">
        <is>
          <t>CALCULATED VALUE</t>
        </is>
      </c>
      <c r="E6" s="116" t="inlineStr">
        <is>
          <t>TIER  ▼</t>
        </is>
      </c>
      <c r="F6" s="116" t="inlineStr">
        <is>
          <t>SCORE</t>
        </is>
      </c>
      <c r="G6" s="116" t="inlineStr">
        <is>
          <t>WTD SCORE</t>
        </is>
      </c>
      <c r="H6" s="115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7" t="inlineStr">
        <is>
          <t xml:space="preserve">  Business Clarity</t>
        </is>
      </c>
      <c r="B8" s="118" t="inlineStr">
        <is>
          <t>P1</t>
        </is>
      </c>
      <c r="C8" s="119" t="n">
        <v>0.025</v>
      </c>
      <c r="D8" s="120" t="inlineStr">
        <is>
          <t>— user input required</t>
        </is>
      </c>
      <c r="E8" s="121" t="n"/>
      <c r="F8" s="122">
        <f>IF(E8="HIGH",10,IF(E8="MOD-HIGH",7,IF(E8="MOD-LOW",3,IF(E8="LOW",0,""))))</f>
        <v/>
      </c>
      <c r="G8" s="123">
        <f>IF(F8="","",C8*F8)</f>
        <v/>
      </c>
      <c r="H8" s="124" t="inlineStr"/>
    </row>
    <row r="9" ht="18" customHeight="1">
      <c r="A9" s="125" t="inlineStr">
        <is>
          <t xml:space="preserve">  Moat Profile</t>
        </is>
      </c>
      <c r="B9" s="126" t="inlineStr">
        <is>
          <t>P1</t>
        </is>
      </c>
      <c r="C9" s="127" t="n">
        <v>0.1</v>
      </c>
      <c r="D9" s="128" t="inlineStr">
        <is>
          <t>GM 34.8% ✗ (&gt;40%)  |  GM trend -7.8% ✗ (&gt;+1pp)  |  ROIC-WACC -9.2% ✗ (&gt;+5pp)  |  Rev consistency σ=8.2% ✗ (&lt;8%)  [0/4 indicators positive — proxy score]</t>
        </is>
      </c>
      <c r="E9" s="129" t="inlineStr">
        <is>
          <t>LOW</t>
        </is>
      </c>
      <c r="F9" s="130">
        <f>IF(E9="HIGH",10,IF(E9="MOD-HIGH",7,IF(E9="MOD-LOW",3,IF(E9="LOW",0,""))))</f>
        <v/>
      </c>
      <c r="G9" s="131">
        <f>IF(F9="","",C9*F9)</f>
        <v/>
      </c>
      <c r="H9" s="132" t="inlineStr">
        <is>
          <t>GM 34.8% ✗ (&gt;40%)  |  GM trend -7.8% ✗ (&gt;+1pp)  |  ROIC-WACC -9.2% ✗ (&gt;+5pp)  |  Rev consistency σ=8.2% ✗ (&lt;8%)  [0/4 indicators positive — proxy score]</t>
        </is>
      </c>
    </row>
    <row r="10" ht="18" customHeight="1">
      <c r="A10" s="117" t="inlineStr">
        <is>
          <t xml:space="preserve">  Long-Term Potential</t>
        </is>
      </c>
      <c r="B10" s="118" t="inlineStr">
        <is>
          <t>P1</t>
        </is>
      </c>
      <c r="C10" s="119" t="n">
        <v>0.1</v>
      </c>
      <c r="D10" s="120" t="inlineStr">
        <is>
          <t>— user input required</t>
        </is>
      </c>
      <c r="E10" s="121" t="n"/>
      <c r="F10" s="122">
        <f>IF(E10="HIGH",10,IF(E10="MOD-HIGH",7,IF(E10="MOD-LOW",3,IF(E10="LOW",0,""))))</f>
        <v/>
      </c>
      <c r="G10" s="123">
        <f>IF(F10="","",C10*F10)</f>
        <v/>
      </c>
      <c r="H10" s="124" t="inlineStr"/>
    </row>
    <row r="11" ht="18" customHeight="1">
      <c r="A11" s="125" t="inlineStr">
        <is>
          <t xml:space="preserve">  Management</t>
        </is>
      </c>
      <c r="B11" s="126" t="inlineStr">
        <is>
          <t>P1</t>
        </is>
      </c>
      <c r="C11" s="127" t="n">
        <v>0.075</v>
      </c>
      <c r="D11" s="128" t="inlineStr">
        <is>
          <t>ROIC trend -1.7% ✓ (≥-2pp)  |  GM maintained -7.8% ✗  |  Op margin -3.7% ✗ (≥-2pp)  |  Capital returns LOW ✗  [1/4 indicators positive — proxy score]</t>
        </is>
      </c>
      <c r="E11" s="129" t="inlineStr">
        <is>
          <t>LOW</t>
        </is>
      </c>
      <c r="F11" s="130">
        <f>IF(E11="HIGH",10,IF(E11="MOD-HIGH",7,IF(E11="MOD-LOW",3,IF(E11="LOW",0,""))))</f>
        <v/>
      </c>
      <c r="G11" s="131">
        <f>IF(F11="","",C11*F11)</f>
        <v/>
      </c>
      <c r="H11" s="132" t="inlineStr">
        <is>
          <t>ROIC trend -1.7% ✓ (≥-2pp)  |  GM maintained -7.8% ✗  |  Op margin -3.7% ✗ (≥-2pp)  |  Capital returns LOW ✗  [1/4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5" t="inlineStr">
        <is>
          <t xml:space="preserve">  Revenue 3yr CAGR</t>
        </is>
      </c>
      <c r="B13" s="126" t="inlineStr">
        <is>
          <t>P2</t>
        </is>
      </c>
      <c r="C13" s="127" t="n">
        <v>0.1</v>
      </c>
      <c r="D13" s="128" t="inlineStr">
        <is>
          <t>-5.7%</t>
        </is>
      </c>
      <c r="E13" s="129" t="inlineStr">
        <is>
          <t>LOW</t>
        </is>
      </c>
      <c r="F13" s="130">
        <f>IF(E13="HIGH",10,IF(E13="MOD-HIGH",7,IF(E13="MOD-LOW",3,IF(E13="LOW",0,""))))</f>
        <v/>
      </c>
      <c r="G13" s="131">
        <f>IF(F13="","",C13*F13)</f>
        <v/>
      </c>
      <c r="H13" s="132" t="inlineStr">
        <is>
          <t>-5.7%</t>
        </is>
      </c>
    </row>
    <row r="14" ht="18" customHeight="1">
      <c r="A14" s="125" t="inlineStr">
        <is>
          <t xml:space="preserve">  Cash Quality  (FCF / Net Income)</t>
        </is>
      </c>
      <c r="B14" s="126" t="inlineStr">
        <is>
          <t>P2</t>
        </is>
      </c>
      <c r="C14" s="127" t="n">
        <v>0.1</v>
      </c>
      <c r="D14" s="128" t="inlineStr">
        <is>
          <t>1854%</t>
        </is>
      </c>
      <c r="E14" s="133" t="inlineStr">
        <is>
          <t>HIGH</t>
        </is>
      </c>
      <c r="F14" s="130">
        <f>IF(E14="HIGH",10,IF(E14="MOD-HIGH",7,IF(E14="MOD-LOW",3,IF(E14="LOW",0,""))))</f>
        <v/>
      </c>
      <c r="G14" s="131">
        <f>IF(F14="","",C14*F14)</f>
        <v/>
      </c>
      <c r="H14" s="132" t="inlineStr">
        <is>
          <t>1854%</t>
        </is>
      </c>
    </row>
    <row r="15" ht="18" customHeight="1">
      <c r="A15" s="125" t="inlineStr">
        <is>
          <t xml:space="preserve">  Capital Returns</t>
        </is>
      </c>
      <c r="B15" s="126" t="inlineStr">
        <is>
          <t>P2</t>
        </is>
      </c>
      <c r="C15" s="127" t="n">
        <v>0.05</v>
      </c>
      <c r="D15" s="128" t="inlineStr">
        <is>
          <t>No capital returns in latest year</t>
        </is>
      </c>
      <c r="E15" s="129" t="inlineStr">
        <is>
          <t>LOW</t>
        </is>
      </c>
      <c r="F15" s="130">
        <f>IF(E15="HIGH",10,IF(E15="MOD-HIGH",7,IF(E15="MOD-LOW",3,IF(E15="LOW",0,""))))</f>
        <v/>
      </c>
      <c r="G15" s="131">
        <f>IF(F15="","",C15*F15)</f>
        <v/>
      </c>
      <c r="H15" s="132" t="inlineStr">
        <is>
          <t>No capital returns in latest year</t>
        </is>
      </c>
    </row>
    <row r="16" ht="18" customHeight="1">
      <c r="A16" s="125" t="inlineStr">
        <is>
          <t xml:space="preserve">  ROIC</t>
        </is>
      </c>
      <c r="B16" s="126" t="inlineStr">
        <is>
          <t>P2</t>
        </is>
      </c>
      <c r="C16" s="127" t="n">
        <v>0.075</v>
      </c>
      <c r="D16" s="128" t="inlineStr">
        <is>
          <t>0.0%</t>
        </is>
      </c>
      <c r="E16" s="129" t="inlineStr">
        <is>
          <t>LOW</t>
        </is>
      </c>
      <c r="F16" s="130">
        <f>IF(E16="HIGH",10,IF(E16="MOD-HIGH",7,IF(E16="MOD-LOW",3,IF(E16="LOW",0,""))))</f>
        <v/>
      </c>
      <c r="G16" s="131">
        <f>IF(F16="","",C16*F16)</f>
        <v/>
      </c>
      <c r="H16" s="132" t="inlineStr">
        <is>
          <t>0.0%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5" t="inlineStr">
        <is>
          <t xml:space="preserve">  Credit Risk  (D / EBITDA)</t>
        </is>
      </c>
      <c r="B18" s="126" t="inlineStr">
        <is>
          <t>P3</t>
        </is>
      </c>
      <c r="C18" s="127" t="n">
        <v>0.05</v>
      </c>
      <c r="D18" s="128" t="inlineStr">
        <is>
          <t>3.2x</t>
        </is>
      </c>
      <c r="E18" s="134" t="inlineStr">
        <is>
          <t>MOD-LOW</t>
        </is>
      </c>
      <c r="F18" s="130">
        <f>IF(E18="HIGH",10,IF(E18="MOD-HIGH",7,IF(E18="MOD-LOW",3,IF(E18="LOW",0,""))))</f>
        <v/>
      </c>
      <c r="G18" s="131">
        <f>IF(F18="","",C18*F18)</f>
        <v/>
      </c>
      <c r="H18" s="132" t="inlineStr">
        <is>
          <t>3.2x</t>
        </is>
      </c>
    </row>
    <row r="19" ht="18" customHeight="1">
      <c r="A19" s="125" t="inlineStr">
        <is>
          <t xml:space="preserve">  Interest Cover  (EBIT / Interest)</t>
        </is>
      </c>
      <c r="B19" s="126" t="inlineStr">
        <is>
          <t>P3</t>
        </is>
      </c>
      <c r="C19" s="127" t="n">
        <v>0.075</v>
      </c>
      <c r="D19" s="128" t="inlineStr">
        <is>
          <t>0.0x</t>
        </is>
      </c>
      <c r="E19" s="129" t="inlineStr">
        <is>
          <t>LOW</t>
        </is>
      </c>
      <c r="F19" s="130">
        <f>IF(E19="HIGH",10,IF(E19="MOD-HIGH",7,IF(E19="MOD-LOW",3,IF(E19="LOW",0,""))))</f>
        <v/>
      </c>
      <c r="G19" s="131">
        <f>IF(F19="","",C19*F19)</f>
        <v/>
      </c>
      <c r="H19" s="132" t="inlineStr">
        <is>
          <t>0.0x</t>
        </is>
      </c>
    </row>
    <row r="20" ht="18" customHeight="1">
      <c r="A20" s="125" t="inlineStr">
        <is>
          <t xml:space="preserve">  Execution Risk</t>
        </is>
      </c>
      <c r="B20" s="126" t="inlineStr">
        <is>
          <t>P3</t>
        </is>
      </c>
      <c r="C20" s="127" t="n">
        <v>0.05</v>
      </c>
      <c r="D20" s="128" t="inlineStr">
        <is>
          <t>Rev growth σ=8.2%  |  Op margin σ=10.9%  [proxy — lower σ = lower risk = higher score]</t>
        </is>
      </c>
      <c r="E20" s="134" t="inlineStr">
        <is>
          <t>MOD-LOW</t>
        </is>
      </c>
      <c r="F20" s="130">
        <f>IF(E20="HIGH",10,IF(E20="MOD-HIGH",7,IF(E20="MOD-LOW",3,IF(E20="LOW",0,""))))</f>
        <v/>
      </c>
      <c r="G20" s="131">
        <f>IF(F20="","",C20*F20)</f>
        <v/>
      </c>
      <c r="H20" s="132" t="inlineStr">
        <is>
          <t>Rev growth σ=8.2%  |  Op margin σ=10.9%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5" t="inlineStr">
        <is>
          <t xml:space="preserve">  Valuation vs Median  (P/E)</t>
        </is>
      </c>
      <c r="B22" s="126" t="inlineStr">
        <is>
          <t>P4</t>
        </is>
      </c>
      <c r="C22" s="127" t="n">
        <v>0.1</v>
      </c>
      <c r="D22" s="128" t="inlineStr">
        <is>
          <t>Current -658.4x  |  5yr avg 49.6x  |  Sector median 80.5x  [-1427% vs benchmark]</t>
        </is>
      </c>
      <c r="E22" s="133" t="inlineStr">
        <is>
          <t>HIGH</t>
        </is>
      </c>
      <c r="F22" s="130">
        <f>IF(E22="HIGH",10,IF(E22="MOD-HIGH",7,IF(E22="MOD-LOW",3,IF(E22="LOW",0,""))))</f>
        <v/>
      </c>
      <c r="G22" s="131">
        <f>IF(F22="","",C22*F22)</f>
        <v/>
      </c>
      <c r="H22" s="132" t="inlineStr">
        <is>
          <t>Current -658.4x  |  5yr avg 49.6x  |  Sector median 80.5x  [-1427% vs benchmark]</t>
        </is>
      </c>
    </row>
    <row r="23" ht="18" customHeight="1">
      <c r="A23" s="125" t="inlineStr">
        <is>
          <t xml:space="preserve">  Valuation vs Median  (P/FCF)</t>
        </is>
      </c>
      <c r="B23" s="126" t="inlineStr">
        <is>
          <t>P4</t>
        </is>
      </c>
      <c r="C23" s="127" t="n">
        <v>0.1</v>
      </c>
      <c r="D23" s="128" t="inlineStr">
        <is>
          <t>Current -35.5x  |  Sector median 51.8x  [-169% vs benchmark]</t>
        </is>
      </c>
      <c r="E23" s="133" t="inlineStr">
        <is>
          <t>HIGH</t>
        </is>
      </c>
      <c r="F23" s="130">
        <f>IF(E23="HIGH",10,IF(E23="MOD-HIGH",7,IF(E23="MOD-LOW",3,IF(E23="LOW",0,""))))</f>
        <v/>
      </c>
      <c r="G23" s="131">
        <f>IF(F23="","",C23*F23)</f>
        <v/>
      </c>
      <c r="H23" s="132" t="inlineStr">
        <is>
          <t>Current -35.5x  |  Sector median 51.8x  [-169%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5" t="inlineStr">
        <is>
          <t>TOTAL SCORE  (max = 100.0)</t>
        </is>
      </c>
      <c r="B25" s="136" t="n"/>
      <c r="C25" s="136" t="n"/>
      <c r="D25" s="136" t="n"/>
      <c r="E25" s="136" t="n"/>
      <c r="F25" s="136" t="n"/>
      <c r="G25" s="137">
        <f>G8+G9+G10+G11+G13+G14+G15+G16+G18+G19+G20+G22+G23</f>
        <v/>
      </c>
      <c r="H25" s="138" t="inlineStr">
        <is>
          <t>Floor cap 64 applies — see gate warning above.</t>
        </is>
      </c>
    </row>
    <row r="26" ht="18" customHeight="1">
      <c r="A26" s="139" t="inlineStr">
        <is>
          <t>FLOOR-ADJUSTED SCORE  (capped at 64)</t>
        </is>
      </c>
      <c r="B26" s="140" t="n"/>
      <c r="C26" s="140" t="n"/>
      <c r="D26" s="140" t="n"/>
      <c r="E26" s="140" t="n"/>
      <c r="F26" s="140" t="n"/>
      <c r="G26" s="141">
        <f>MIN(G25,64)</f>
        <v/>
      </c>
      <c r="H26" s="140" t="n"/>
    </row>
    <row r="27">
      <c r="A27" s="41" t="n"/>
      <c r="B27" s="41" t="n"/>
      <c r="C27" s="41" t="n"/>
      <c r="D27" s="41" t="n"/>
      <c r="E27" s="41" t="n"/>
      <c r="F27" s="41" t="n"/>
      <c r="G27" s="41" t="n"/>
      <c r="H27" s="41" t="n"/>
    </row>
    <row r="28" ht="24" customHeight="1">
      <c r="A28" s="142">
        <f>IF(G26="","Score incomplete — fill qualitative tiers above",IF(G26&gt;=80,"STRONG BUY",IF(G26&gt;=65,"BUY",IF(G26&gt;=50,"HOLD",IF(G26&gt;=35,"REDUCE","SELL")))))</f>
        <v/>
      </c>
    </row>
    <row r="29">
      <c r="A29" s="41" t="n"/>
      <c r="B29" s="41" t="n"/>
      <c r="C29" s="41" t="n"/>
      <c r="D29" s="41" t="n"/>
      <c r="E29" s="41" t="n"/>
      <c r="F29" s="41" t="n"/>
      <c r="G29" s="41" t="n"/>
      <c r="H29" s="41" t="n"/>
    </row>
    <row r="30" ht="18" customHeight="1">
      <c r="A30" s="143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30:H30"/>
    <mergeCell ref="A7:H7"/>
    <mergeCell ref="A2:H2"/>
    <mergeCell ref="A28:H28"/>
    <mergeCell ref="A1:H1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2026-04-18T04:46:47Z</dcterms:created>
  <dcterms:modified xsi:type="dcterms:W3CDTF">2026-04-18T04:46:53Z</dcterms:modified>
</cp:coreProperties>
</file>