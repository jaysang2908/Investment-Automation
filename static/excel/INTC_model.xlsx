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B71C1C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b val="1"/>
      <color rgb="005D4037"/>
      <sz val="10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B71C1C"/>
      <sz val="11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0" fontId="12" fillId="13" borderId="1" applyAlignment="1" pivotButton="0" quotePrefix="0" xfId="0">
      <alignment horizontal="left" indent="2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171" fontId="13" fillId="6" borderId="1" applyAlignment="1" pivotButton="0" quotePrefix="0" xfId="0">
      <alignment horizontal="right"/>
    </xf>
    <xf numFmtId="0" fontId="14" fillId="6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171" fontId="16" fillId="5" borderId="1" applyAlignment="1" pivotButton="0" quotePrefix="0" xfId="0">
      <alignment horizontal="right"/>
    </xf>
    <xf numFmtId="0" fontId="15" fillId="6" borderId="1" applyAlignment="1" pivotButton="0" quotePrefix="0" xfId="0">
      <alignment horizontal="center"/>
    </xf>
    <xf numFmtId="171" fontId="16" fillId="6" borderId="1" applyAlignment="1" pivotButton="0" quotePrefix="0" xfId="0">
      <alignment horizontal="right"/>
    </xf>
    <xf numFmtId="171" fontId="15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indent="2"/>
    </xf>
    <xf numFmtId="0" fontId="3" fillId="15" borderId="1" applyAlignment="1" pivotButton="0" quotePrefix="0" xfId="0">
      <alignment horizontal="left" vertical="center" indent="1"/>
    </xf>
    <xf numFmtId="49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9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right" vertical="center"/>
    </xf>
    <xf numFmtId="0" fontId="20" fillId="15" borderId="1" applyAlignment="1" pivotButton="0" quotePrefix="0" xfId="0">
      <alignment horizontal="left" wrapText="1" indent="1"/>
    </xf>
    <xf numFmtId="0" fontId="3" fillId="14" borderId="1" applyAlignment="1" pivotButton="0" quotePrefix="0" xfId="0">
      <alignment horizontal="left" vertical="center" indent="1"/>
    </xf>
    <xf numFmtId="164" fontId="7" fillId="16" borderId="1" applyAlignment="1" pivotButton="0" quotePrefix="0" xfId="0">
      <alignment horizontal="right" vertical="center"/>
    </xf>
    <xf numFmtId="164" fontId="19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left" wrapText="1" indent="1"/>
    </xf>
    <xf numFmtId="0" fontId="21" fillId="5" borderId="1" applyAlignment="1" pivotButton="0" quotePrefix="0" xfId="0">
      <alignment horizontal="left" vertical="center" indent="2"/>
    </xf>
    <xf numFmtId="0" fontId="14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3" fontId="21" fillId="14" borderId="1" applyAlignment="1" pivotButton="0" quotePrefix="0" xfId="0">
      <alignment horizontal="right" vertical="center"/>
    </xf>
    <xf numFmtId="0" fontId="22" fillId="16" borderId="1" applyAlignment="1" pivotButton="0" quotePrefix="0" xfId="0">
      <alignment horizontal="right" vertical="center"/>
    </xf>
    <xf numFmtId="165" fontId="21" fillId="16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right" vertical="center"/>
    </xf>
    <xf numFmtId="165" fontId="21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4" borderId="1" applyAlignment="1" pivotButton="0" quotePrefix="0" xfId="0">
      <alignment horizontal="right" vertical="center"/>
    </xf>
    <xf numFmtId="164" fontId="3" fillId="16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5" fontId="21" fillId="5" borderId="1" applyAlignment="1" pivotButton="0" quotePrefix="0" xfId="0">
      <alignment horizontal="right" vertical="center"/>
    </xf>
    <xf numFmtId="171" fontId="23" fillId="1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1" fontId="5" fillId="15" borderId="1" applyAlignment="1" pivotButton="0" quotePrefix="0" xfId="0">
      <alignment horizontal="right" vertical="center"/>
    </xf>
    <xf numFmtId="173" fontId="5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5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4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6" fillId="6" borderId="0" applyAlignment="1" pivotButton="0" quotePrefix="0" xfId="0">
      <alignment horizontal="left" vertical="center" wrapText="1" indent="1"/>
    </xf>
    <xf numFmtId="0" fontId="26" fillId="17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8" borderId="1" applyAlignment="1" pivotButton="0" quotePrefix="0" xfId="0">
      <alignment horizontal="left" vertical="center"/>
    </xf>
    <xf numFmtId="0" fontId="28" fillId="18" borderId="1" applyAlignment="1" pivotButton="0" quotePrefix="0" xfId="0">
      <alignment horizontal="center" vertical="center"/>
    </xf>
    <xf numFmtId="168" fontId="6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8" borderId="1" applyAlignment="1" pivotButton="0" quotePrefix="0" xfId="0">
      <alignment horizontal="center" vertical="center"/>
    </xf>
    <xf numFmtId="176" fontId="6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28" fillId="15" borderId="1" applyAlignment="1" pivotButton="0" quotePrefix="0" xfId="0">
      <alignment horizontal="center" vertical="center"/>
    </xf>
    <xf numFmtId="168" fontId="6" fillId="15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0" fillId="19" borderId="1" applyAlignment="1" pivotButton="0" quotePrefix="0" xfId="0">
      <alignment horizontal="center" vertical="center"/>
    </xf>
    <xf numFmtId="176" fontId="3" fillId="15" borderId="1" applyAlignment="1" pivotButton="0" quotePrefix="0" xfId="0">
      <alignment horizontal="center" vertical="center"/>
    </xf>
    <xf numFmtId="176" fontId="6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3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 indent="1"/>
    </xf>
    <xf numFmtId="0" fontId="32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2" fontId="32" fillId="13" borderId="1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INTC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52853</v>
      </c>
    </row>
    <row r="8">
      <c r="A8" s="3" t="inlineStr">
        <is>
          <t>Gross Profit ($mm)</t>
        </is>
      </c>
      <c r="B8" s="7" t="n">
        <v>18375</v>
      </c>
    </row>
    <row r="9">
      <c r="A9" s="3" t="inlineStr">
        <is>
          <t>EBITDA ($mm)</t>
        </is>
      </c>
      <c r="B9" s="7" t="n">
        <v>14354</v>
      </c>
    </row>
    <row r="10">
      <c r="A10" s="3" t="inlineStr">
        <is>
          <t>EBIT ($mm)</t>
        </is>
      </c>
      <c r="B10" s="7" t="n">
        <v>-23</v>
      </c>
    </row>
    <row r="11">
      <c r="A11" s="3" t="inlineStr">
        <is>
          <t>Net Income ($mm)</t>
        </is>
      </c>
      <c r="B11" s="7" t="n">
        <v>-267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INTC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79024</v>
      </c>
      <c r="C5" s="16" t="n">
        <v>63054</v>
      </c>
      <c r="D5" s="16" t="n">
        <v>54228</v>
      </c>
      <c r="E5" s="16" t="n">
        <v>53101</v>
      </c>
      <c r="F5" s="16" t="n">
        <v>52853</v>
      </c>
    </row>
    <row r="6">
      <c r="A6" s="17" t="inlineStr">
        <is>
          <t>(2)  Cost of Revenue (COGS)</t>
        </is>
      </c>
      <c r="B6" s="18" t="n">
        <v>35209</v>
      </c>
      <c r="C6" s="18" t="n">
        <v>36188</v>
      </c>
      <c r="D6" s="18" t="n">
        <v>32517</v>
      </c>
      <c r="E6" s="18" t="n">
        <v>35756</v>
      </c>
      <c r="F6" s="18" t="n">
        <v>34478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6543</v>
      </c>
      <c r="C9" s="18" t="n">
        <v>7002</v>
      </c>
      <c r="D9" s="18" t="n">
        <v>5634</v>
      </c>
      <c r="E9" s="18" t="n">
        <v>5507</v>
      </c>
      <c r="F9" s="18" t="n">
        <v>4607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24359</v>
      </c>
      <c r="C11" s="18" t="n">
        <v>24530</v>
      </c>
      <c r="D11" s="18" t="n">
        <v>21680</v>
      </c>
      <c r="E11" s="18" t="n">
        <v>29023</v>
      </c>
      <c r="F11" s="18" t="n">
        <v>18398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11792</v>
      </c>
      <c r="C14" s="18" t="n">
        <v>13035</v>
      </c>
      <c r="D14" s="18" t="n">
        <v>9602</v>
      </c>
      <c r="E14" s="18" t="n">
        <v>11379</v>
      </c>
      <c r="F14" s="18" t="n">
        <v>11706</v>
      </c>
    </row>
    <row r="15">
      <c r="A15" s="19" t="inlineStr">
        <is>
          <t>(8)  EBIT (Operating Income)</t>
        </is>
      </c>
      <c r="B15" s="24" t="n">
        <v>19456</v>
      </c>
      <c r="C15" s="24" t="n">
        <v>2334</v>
      </c>
      <c r="D15" s="24" t="n">
        <v>93</v>
      </c>
      <c r="E15" s="24" t="n">
        <v>-11678</v>
      </c>
      <c r="F15" s="24" t="n">
        <v>-23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597</v>
      </c>
      <c r="C17" s="18" t="n">
        <v>496</v>
      </c>
      <c r="D17" s="18" t="n">
        <v>878</v>
      </c>
      <c r="E17" s="18" t="n">
        <v>824</v>
      </c>
      <c r="F17" s="18" t="n">
        <v>1091</v>
      </c>
    </row>
    <row r="18">
      <c r="A18" s="21" t="inlineStr">
        <is>
          <t xml:space="preserve">     Interest Income</t>
        </is>
      </c>
      <c r="B18" s="18" t="n">
        <v>144</v>
      </c>
      <c r="C18" s="18" t="n">
        <v>589</v>
      </c>
      <c r="D18" s="18" t="n">
        <v>1335</v>
      </c>
      <c r="E18" s="18" t="n">
        <v>1805</v>
      </c>
      <c r="F18" s="18" t="n">
        <v>1007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21703</v>
      </c>
      <c r="C21" s="24" t="n">
        <v>7768</v>
      </c>
      <c r="D21" s="24" t="n">
        <v>762</v>
      </c>
      <c r="E21" s="24" t="n">
        <v>-11210</v>
      </c>
      <c r="F21" s="24" t="n">
        <v>1557</v>
      </c>
    </row>
    <row r="22">
      <c r="A22" s="17" t="inlineStr">
        <is>
          <t>(11) Income Tax Expense</t>
        </is>
      </c>
      <c r="B22" s="18" t="n">
        <v>1835</v>
      </c>
      <c r="C22" s="18" t="n">
        <v>-249</v>
      </c>
      <c r="D22" s="18" t="n">
        <v>-913</v>
      </c>
      <c r="E22" s="18" t="n">
        <v>8023</v>
      </c>
      <c r="F22" s="18" t="n">
        <v>1531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19868</v>
      </c>
      <c r="C24" s="24" t="n">
        <v>8014</v>
      </c>
      <c r="D24" s="24" t="n">
        <v>1689</v>
      </c>
      <c r="E24" s="24" t="n">
        <v>-18756</v>
      </c>
      <c r="F24" s="24" t="n">
        <v>-267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79024</v>
      </c>
      <c r="C30" s="16" t="n">
        <v>63054</v>
      </c>
      <c r="D30" s="16" t="n">
        <v>54228</v>
      </c>
      <c r="E30" s="16" t="n">
        <v>53101</v>
      </c>
      <c r="F30" s="16" t="n">
        <v>52853</v>
      </c>
    </row>
    <row r="31">
      <c r="A31" s="17" t="inlineStr">
        <is>
          <t>Cost of Revenue</t>
        </is>
      </c>
      <c r="B31" s="18" t="n">
        <v>35209</v>
      </c>
      <c r="C31" s="18" t="n">
        <v>36188</v>
      </c>
      <c r="D31" s="18" t="n">
        <v>32517</v>
      </c>
      <c r="E31" s="18" t="n">
        <v>35756</v>
      </c>
      <c r="F31" s="18" t="n">
        <v>34478</v>
      </c>
    </row>
    <row r="32">
      <c r="A32" s="26" t="inlineStr">
        <is>
          <t>Gross Profit</t>
        </is>
      </c>
      <c r="B32" s="27" t="n">
        <v>43815</v>
      </c>
      <c r="C32" s="27" t="n">
        <v>26866</v>
      </c>
      <c r="D32" s="27" t="n">
        <v>21711</v>
      </c>
      <c r="E32" s="27" t="n">
        <v>17345</v>
      </c>
      <c r="F32" s="27" t="n">
        <v>18375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15190</v>
      </c>
      <c r="C34" s="18" t="n">
        <v>17528</v>
      </c>
      <c r="D34" s="18" t="n">
        <v>16046</v>
      </c>
      <c r="E34" s="18" t="n">
        <v>16546</v>
      </c>
      <c r="F34" s="18" t="n">
        <v>13774</v>
      </c>
    </row>
    <row r="35">
      <c r="A35" s="17" t="inlineStr">
        <is>
          <t>General &amp; Administrative</t>
        </is>
      </c>
      <c r="B35" s="18" t="n">
        <v>5443</v>
      </c>
      <c r="C35" s="18" t="n">
        <v>5802</v>
      </c>
      <c r="D35" s="18" t="n">
        <v>4684</v>
      </c>
      <c r="E35" s="18" t="n">
        <v>4651</v>
      </c>
      <c r="F35" s="18" t="n">
        <v>0</v>
      </c>
    </row>
    <row r="36">
      <c r="A36" s="17" t="inlineStr">
        <is>
          <t>Selling &amp; Marketing</t>
        </is>
      </c>
      <c r="B36" s="18" t="n">
        <v>1100</v>
      </c>
      <c r="C36" s="18" t="n">
        <v>1200</v>
      </c>
      <c r="D36" s="18" t="n">
        <v>950</v>
      </c>
      <c r="E36" s="18" t="n">
        <v>856</v>
      </c>
      <c r="F36" s="18" t="n">
        <v>0</v>
      </c>
    </row>
    <row r="37">
      <c r="A37" s="17" t="inlineStr">
        <is>
          <t>SG&amp;A (Combined)</t>
        </is>
      </c>
      <c r="B37" s="18" t="n">
        <v>6543</v>
      </c>
      <c r="C37" s="18" t="n">
        <v>7002</v>
      </c>
      <c r="D37" s="18" t="n">
        <v>5634</v>
      </c>
      <c r="E37" s="18" t="n">
        <v>5507</v>
      </c>
      <c r="F37" s="18" t="n">
        <v>4607</v>
      </c>
    </row>
    <row r="38">
      <c r="A38" s="17" t="inlineStr">
        <is>
          <t>Other Expenses</t>
        </is>
      </c>
      <c r="B38" s="18" t="n">
        <v>2626</v>
      </c>
      <c r="C38" s="18" t="n">
        <v>0</v>
      </c>
      <c r="D38" s="18" t="n">
        <v>0</v>
      </c>
      <c r="E38" s="18" t="n">
        <v>6970</v>
      </c>
      <c r="F38" s="18" t="n">
        <v>17</v>
      </c>
    </row>
    <row r="39">
      <c r="A39" s="26" t="inlineStr">
        <is>
          <t>Total Operating Expenses</t>
        </is>
      </c>
      <c r="B39" s="27" t="n">
        <v>24359</v>
      </c>
      <c r="C39" s="27" t="n">
        <v>24530</v>
      </c>
      <c r="D39" s="27" t="n">
        <v>21680</v>
      </c>
      <c r="E39" s="27" t="n">
        <v>29023</v>
      </c>
      <c r="F39" s="27" t="n">
        <v>18398</v>
      </c>
    </row>
    <row r="40">
      <c r="A40" s="17" t="inlineStr">
        <is>
          <t>Cost &amp; Expenses (COGS + Opex)</t>
        </is>
      </c>
      <c r="B40" s="18" t="n">
        <v>59568</v>
      </c>
      <c r="C40" s="18" t="n">
        <v>60718</v>
      </c>
      <c r="D40" s="18" t="n">
        <v>54135</v>
      </c>
      <c r="E40" s="18" t="n">
        <v>64779</v>
      </c>
      <c r="F40" s="18" t="n">
        <v>52876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19456</v>
      </c>
      <c r="C42" s="16" t="n">
        <v>2334</v>
      </c>
      <c r="D42" s="16" t="n">
        <v>93</v>
      </c>
      <c r="E42" s="16" t="n">
        <v>-11678</v>
      </c>
      <c r="F42" s="16" t="n">
        <v>-23</v>
      </c>
    </row>
    <row r="43">
      <c r="A43" s="17" t="inlineStr">
        <is>
          <t>EBIT (FMP field)</t>
        </is>
      </c>
      <c r="B43" s="18" t="n">
        <v>22082</v>
      </c>
      <c r="C43" s="18" t="n">
        <v>8264</v>
      </c>
      <c r="D43" s="18" t="n">
        <v>1640</v>
      </c>
      <c r="E43" s="18" t="n">
        <v>-10176</v>
      </c>
      <c r="F43" s="18" t="n">
        <v>2648</v>
      </c>
    </row>
    <row r="44">
      <c r="A44" s="26" t="inlineStr">
        <is>
          <t>EBITDA</t>
        </is>
      </c>
      <c r="B44" s="27" t="n">
        <v>33874</v>
      </c>
      <c r="C44" s="27" t="n">
        <v>21299</v>
      </c>
      <c r="D44" s="27" t="n">
        <v>11242</v>
      </c>
      <c r="E44" s="27" t="n">
        <v>1203</v>
      </c>
      <c r="F44" s="27" t="n">
        <v>14354</v>
      </c>
    </row>
    <row r="45">
      <c r="A45" s="17" t="inlineStr">
        <is>
          <t>Depreciation &amp; Amortisation</t>
        </is>
      </c>
      <c r="B45" s="18" t="n">
        <v>11792</v>
      </c>
      <c r="C45" s="18" t="n">
        <v>13035</v>
      </c>
      <c r="D45" s="18" t="n">
        <v>9602</v>
      </c>
      <c r="E45" s="18" t="n">
        <v>11379</v>
      </c>
      <c r="F45" s="18" t="n">
        <v>11706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144</v>
      </c>
      <c r="C47" s="18" t="n">
        <v>589</v>
      </c>
      <c r="D47" s="18" t="n">
        <v>1335</v>
      </c>
      <c r="E47" s="18" t="n">
        <v>1805</v>
      </c>
      <c r="F47" s="18" t="n">
        <v>1007</v>
      </c>
    </row>
    <row r="48">
      <c r="A48" s="17" t="inlineStr">
        <is>
          <t>Interest Expense</t>
        </is>
      </c>
      <c r="B48" s="18" t="n">
        <v>597</v>
      </c>
      <c r="C48" s="18" t="n">
        <v>496</v>
      </c>
      <c r="D48" s="18" t="n">
        <v>878</v>
      </c>
      <c r="E48" s="18" t="n">
        <v>824</v>
      </c>
      <c r="F48" s="18" t="n">
        <v>1091</v>
      </c>
    </row>
    <row r="49">
      <c r="A49" s="17" t="inlineStr">
        <is>
          <t>Net Interest Income</t>
        </is>
      </c>
      <c r="B49" s="18" t="n">
        <v>-453</v>
      </c>
      <c r="C49" s="18" t="n">
        <v>93</v>
      </c>
      <c r="D49" s="18" t="n">
        <v>457</v>
      </c>
      <c r="E49" s="18" t="n">
        <v>981</v>
      </c>
      <c r="F49" s="18" t="n">
        <v>-84</v>
      </c>
    </row>
    <row r="50">
      <c r="A50" s="17" t="inlineStr">
        <is>
          <t>Non-Operating Income (ex-interest)</t>
        </is>
      </c>
      <c r="B50" s="18" t="n">
        <v>-2626</v>
      </c>
      <c r="C50" s="18" t="n">
        <v>-5930</v>
      </c>
      <c r="D50" s="18" t="n">
        <v>-1547</v>
      </c>
      <c r="E50" s="18" t="n">
        <v>-1502</v>
      </c>
      <c r="F50" s="18" t="n">
        <v>-2671</v>
      </c>
    </row>
    <row r="51">
      <c r="A51" s="17" t="inlineStr">
        <is>
          <t>Total Other Income / (Expenses)</t>
        </is>
      </c>
      <c r="B51" s="18" t="n">
        <v>2247</v>
      </c>
      <c r="C51" s="18" t="n">
        <v>5434</v>
      </c>
      <c r="D51" s="18" t="n">
        <v>669</v>
      </c>
      <c r="E51" s="18" t="n">
        <v>468</v>
      </c>
      <c r="F51" s="18" t="n">
        <v>1580</v>
      </c>
    </row>
    <row r="52">
      <c r="A52" s="26" t="inlineStr">
        <is>
          <t>EBT / Income Before Tax</t>
        </is>
      </c>
      <c r="B52" s="27" t="n">
        <v>21703</v>
      </c>
      <c r="C52" s="27" t="n">
        <v>7768</v>
      </c>
      <c r="D52" s="27" t="n">
        <v>762</v>
      </c>
      <c r="E52" s="27" t="n">
        <v>-11210</v>
      </c>
      <c r="F52" s="27" t="n">
        <v>1557</v>
      </c>
    </row>
    <row r="53">
      <c r="A53" s="17" t="inlineStr">
        <is>
          <t>Income Tax Expense</t>
        </is>
      </c>
      <c r="B53" s="18" t="n">
        <v>1835</v>
      </c>
      <c r="C53" s="18" t="n">
        <v>-249</v>
      </c>
      <c r="D53" s="18" t="n">
        <v>-913</v>
      </c>
      <c r="E53" s="18" t="n">
        <v>8023</v>
      </c>
      <c r="F53" s="18" t="n">
        <v>1531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19868</v>
      </c>
      <c r="C55" s="18" t="n">
        <v>8017</v>
      </c>
      <c r="D55" s="18" t="n">
        <v>1675</v>
      </c>
      <c r="E55" s="18" t="n">
        <v>-19233</v>
      </c>
      <c r="F55" s="18" t="n">
        <v>26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19868</v>
      </c>
      <c r="C59" s="27" t="n">
        <v>8014</v>
      </c>
      <c r="D59" s="27" t="n">
        <v>1689</v>
      </c>
      <c r="E59" s="27" t="n">
        <v>-18756</v>
      </c>
      <c r="F59" s="27" t="n">
        <v>-267</v>
      </c>
    </row>
    <row r="60">
      <c r="A60" s="15" t="inlineStr">
        <is>
          <t>Bottom Line Net Income</t>
        </is>
      </c>
      <c r="B60" s="16" t="n">
        <v>19868</v>
      </c>
      <c r="C60" s="16" t="n">
        <v>8014</v>
      </c>
      <c r="D60" s="16" t="n">
        <v>1689</v>
      </c>
      <c r="E60" s="16" t="n">
        <v>-18756</v>
      </c>
      <c r="F60" s="16" t="n">
        <v>-267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4.89</v>
      </c>
      <c r="C62" s="18" t="n">
        <v>1.95</v>
      </c>
      <c r="D62" s="18" t="n">
        <v>0.4</v>
      </c>
      <c r="E62" s="18" t="n">
        <v>-4.38</v>
      </c>
      <c r="F62" s="18" t="n">
        <v>-0.0589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4059</v>
      </c>
      <c r="C64" s="18" t="n">
        <v>4108</v>
      </c>
      <c r="D64" s="18" t="n">
        <v>4190</v>
      </c>
      <c r="E64" s="18" t="n">
        <v>4280</v>
      </c>
      <c r="F64" s="18" t="n">
        <v>4856</v>
      </c>
    </row>
    <row r="65">
      <c r="A65" s="17" t="inlineStr">
        <is>
          <t>Shares Outstanding — Diluted (mm)</t>
        </is>
      </c>
      <c r="B65" s="18" t="n">
        <v>4090</v>
      </c>
      <c r="C65" s="18" t="n">
        <v>4123</v>
      </c>
      <c r="D65" s="18" t="n">
        <v>4212</v>
      </c>
      <c r="E65" s="18" t="n">
        <v>4280</v>
      </c>
      <c r="F65" s="18" t="n">
        <v>4856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INTC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4827</v>
      </c>
      <c r="C5" s="18" t="n">
        <v>11144</v>
      </c>
      <c r="D5" s="18" t="n">
        <v>7079</v>
      </c>
      <c r="E5" s="18" t="n">
        <v>8249</v>
      </c>
      <c r="F5" s="18" t="n">
        <v>14265</v>
      </c>
    </row>
    <row r="6">
      <c r="A6" s="17" t="inlineStr">
        <is>
          <t>(2)  Receivables</t>
        </is>
      </c>
      <c r="B6" s="18" t="n">
        <v>9457</v>
      </c>
      <c r="C6" s="18" t="n">
        <v>4133</v>
      </c>
      <c r="D6" s="18" t="n">
        <v>3402</v>
      </c>
      <c r="E6" s="18" t="n">
        <v>3478</v>
      </c>
      <c r="F6" s="18" t="n">
        <v>3839</v>
      </c>
    </row>
    <row r="7">
      <c r="A7" s="17" t="inlineStr">
        <is>
          <t>(3)  Inventory</t>
        </is>
      </c>
      <c r="B7" s="18" t="n">
        <v>10776</v>
      </c>
      <c r="C7" s="18" t="n">
        <v>13224</v>
      </c>
      <c r="D7" s="18" t="n">
        <v>11127</v>
      </c>
      <c r="E7" s="18" t="n">
        <v>12198</v>
      </c>
      <c r="F7" s="18" t="n">
        <v>11618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58558</v>
      </c>
      <c r="C9" s="24" t="n">
        <v>50407</v>
      </c>
      <c r="D9" s="24" t="n">
        <v>43269</v>
      </c>
      <c r="E9" s="24" t="n">
        <v>47324</v>
      </c>
      <c r="F9" s="24" t="n">
        <v>63688</v>
      </c>
    </row>
    <row r="10">
      <c r="A10" s="17" t="inlineStr">
        <is>
          <t>(6)  PP&amp;E (Net)</t>
        </is>
      </c>
      <c r="B10" s="18" t="n">
        <v>63245</v>
      </c>
      <c r="C10" s="18" t="n">
        <v>80860</v>
      </c>
      <c r="D10" s="18" t="n">
        <v>97152</v>
      </c>
      <c r="E10" s="18" t="n">
        <v>107919</v>
      </c>
      <c r="F10" s="18" t="n">
        <v>105414</v>
      </c>
    </row>
    <row r="11">
      <c r="A11" s="17" t="inlineStr">
        <is>
          <t>(7)  Goodwill</t>
        </is>
      </c>
      <c r="B11" s="18" t="n">
        <v>26963</v>
      </c>
      <c r="C11" s="18" t="n">
        <v>27591</v>
      </c>
      <c r="D11" s="18" t="n">
        <v>27591</v>
      </c>
      <c r="E11" s="18" t="n">
        <v>24693</v>
      </c>
      <c r="F11" s="18" t="n">
        <v>23912</v>
      </c>
    </row>
    <row r="12">
      <c r="A12" s="17" t="inlineStr">
        <is>
          <t>(8)  Deferred Tax Assets</t>
        </is>
      </c>
      <c r="B12" s="18" t="n">
        <v>0</v>
      </c>
      <c r="C12" s="18" t="n">
        <v>3450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109848</v>
      </c>
      <c r="C14" s="24" t="n">
        <v>131696</v>
      </c>
      <c r="D14" s="24" t="n">
        <v>148303</v>
      </c>
      <c r="E14" s="24" t="n">
        <v>149161</v>
      </c>
      <c r="F14" s="24" t="n">
        <v>147741</v>
      </c>
    </row>
    <row r="15">
      <c r="A15" s="19" t="inlineStr">
        <is>
          <t>(11) Total Assets</t>
        </is>
      </c>
      <c r="B15" s="24" t="n">
        <v>168406</v>
      </c>
      <c r="C15" s="24" t="n">
        <v>182103</v>
      </c>
      <c r="D15" s="24" t="n">
        <v>191572</v>
      </c>
      <c r="E15" s="24" t="n">
        <v>196485</v>
      </c>
      <c r="F15" s="24" t="n">
        <v>211429</v>
      </c>
    </row>
    <row r="16" ht="6" customHeight="1"/>
    <row r="17">
      <c r="A17" s="17" t="inlineStr">
        <is>
          <t>(12) Accounts Payable</t>
        </is>
      </c>
      <c r="B17" s="18" t="n">
        <v>5747</v>
      </c>
      <c r="C17" s="18" t="n">
        <v>9595</v>
      </c>
      <c r="D17" s="18" t="n">
        <v>8578</v>
      </c>
      <c r="E17" s="18" t="n">
        <v>12556</v>
      </c>
      <c r="F17" s="18" t="n">
        <v>9882</v>
      </c>
    </row>
    <row r="18">
      <c r="A18" s="17" t="inlineStr">
        <is>
          <t>(13) Short-Term Borrowings</t>
        </is>
      </c>
      <c r="B18" s="18" t="n">
        <v>4600</v>
      </c>
      <c r="C18" s="18" t="n">
        <v>4323</v>
      </c>
      <c r="D18" s="18" t="n">
        <v>2300</v>
      </c>
      <c r="E18" s="18" t="n">
        <v>3729</v>
      </c>
      <c r="F18" s="18" t="n">
        <v>2499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27462</v>
      </c>
      <c r="C21" s="24" t="n">
        <v>32155</v>
      </c>
      <c r="D21" s="24" t="n">
        <v>28053</v>
      </c>
      <c r="E21" s="24" t="n">
        <v>35666</v>
      </c>
      <c r="F21" s="24" t="n">
        <v>31575</v>
      </c>
    </row>
    <row r="22">
      <c r="A22" s="17" t="inlineStr">
        <is>
          <t>(17) Long-Term Debt</t>
        </is>
      </c>
      <c r="B22" s="18" t="n">
        <v>33510</v>
      </c>
      <c r="C22" s="18" t="n">
        <v>37684</v>
      </c>
      <c r="D22" s="18" t="n">
        <v>46978</v>
      </c>
      <c r="E22" s="18" t="n">
        <v>46282</v>
      </c>
      <c r="F22" s="18" t="n">
        <v>44086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73015</v>
      </c>
      <c r="C25" s="24" t="n">
        <v>78817</v>
      </c>
      <c r="D25" s="24" t="n">
        <v>81607</v>
      </c>
      <c r="E25" s="24" t="n">
        <v>91453</v>
      </c>
      <c r="F25" s="24" t="n">
        <v>85069</v>
      </c>
    </row>
    <row r="26" ht="6" customHeight="1"/>
    <row r="27">
      <c r="A27" s="17" t="inlineStr">
        <is>
          <t>(21) Common Stock &amp; APIC</t>
        </is>
      </c>
      <c r="B27" s="18" t="n">
        <v>28006</v>
      </c>
      <c r="C27" s="18" t="n">
        <v>31580</v>
      </c>
      <c r="D27" s="18" t="n">
        <v>36649</v>
      </c>
      <c r="E27" s="18" t="n">
        <v>50949</v>
      </c>
      <c r="F27" s="18" t="n">
        <v>65185</v>
      </c>
    </row>
    <row r="28">
      <c r="A28" s="17" t="inlineStr">
        <is>
          <t>(22) Retained Earnings</t>
        </is>
      </c>
      <c r="B28" s="18" t="n">
        <v>68265</v>
      </c>
      <c r="C28" s="18" t="n">
        <v>70405</v>
      </c>
      <c r="D28" s="18" t="n">
        <v>69156</v>
      </c>
      <c r="E28" s="18" t="n">
        <v>49032</v>
      </c>
      <c r="F28" s="18" t="n">
        <v>48983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95391</v>
      </c>
      <c r="C30" s="24" t="n">
        <v>101423</v>
      </c>
      <c r="D30" s="24" t="n">
        <v>105590</v>
      </c>
      <c r="E30" s="24" t="n">
        <v>99270</v>
      </c>
      <c r="F30" s="24" t="n">
        <v>114281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4827</v>
      </c>
      <c r="C36" s="18" t="n">
        <v>11144</v>
      </c>
      <c r="D36" s="18" t="n">
        <v>7079</v>
      </c>
      <c r="E36" s="18" t="n">
        <v>8249</v>
      </c>
      <c r="F36" s="18" t="n">
        <v>14265</v>
      </c>
    </row>
    <row r="37">
      <c r="A37" s="17" t="inlineStr">
        <is>
          <t>Short-Term Investments</t>
        </is>
      </c>
      <c r="B37" s="18" t="n">
        <v>24426</v>
      </c>
      <c r="C37" s="18" t="n">
        <v>17194</v>
      </c>
      <c r="D37" s="18" t="n">
        <v>17955</v>
      </c>
      <c r="E37" s="18" t="n">
        <v>13813</v>
      </c>
      <c r="F37" s="18" t="n">
        <v>23151</v>
      </c>
    </row>
    <row r="38">
      <c r="A38" s="28" t="inlineStr">
        <is>
          <t>Cash &amp; Short-Term Investments</t>
        </is>
      </c>
      <c r="B38" s="29" t="n">
        <v>29253</v>
      </c>
      <c r="C38" s="29" t="n">
        <v>28338</v>
      </c>
      <c r="D38" s="29" t="n">
        <v>25034</v>
      </c>
      <c r="E38" s="29" t="n">
        <v>22062</v>
      </c>
      <c r="F38" s="29" t="n">
        <v>37416</v>
      </c>
    </row>
    <row r="39">
      <c r="A39" s="17" t="inlineStr">
        <is>
          <t>Accounts Receivable (Trade)</t>
        </is>
      </c>
      <c r="B39" s="18" t="n">
        <v>9457</v>
      </c>
      <c r="C39" s="18" t="n">
        <v>4133</v>
      </c>
      <c r="D39" s="18" t="n">
        <v>3402</v>
      </c>
      <c r="E39" s="18" t="n">
        <v>3478</v>
      </c>
      <c r="F39" s="18" t="n">
        <v>3839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9457</v>
      </c>
      <c r="C41" s="29" t="n">
        <v>4133</v>
      </c>
      <c r="D41" s="29" t="n">
        <v>3402</v>
      </c>
      <c r="E41" s="29" t="n">
        <v>3478</v>
      </c>
      <c r="F41" s="29" t="n">
        <v>3839</v>
      </c>
    </row>
    <row r="42">
      <c r="A42" s="17" t="inlineStr">
        <is>
          <t>Inventory</t>
        </is>
      </c>
      <c r="B42" s="18" t="n">
        <v>10776</v>
      </c>
      <c r="C42" s="18" t="n">
        <v>13224</v>
      </c>
      <c r="D42" s="18" t="n">
        <v>11127</v>
      </c>
      <c r="E42" s="18" t="n">
        <v>12198</v>
      </c>
      <c r="F42" s="18" t="n">
        <v>11618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9072</v>
      </c>
      <c r="C44" s="18" t="n">
        <v>4712</v>
      </c>
      <c r="D44" s="18" t="n">
        <v>3706</v>
      </c>
      <c r="E44" s="18" t="n">
        <v>9586</v>
      </c>
      <c r="F44" s="18" t="n">
        <v>10815</v>
      </c>
    </row>
    <row r="45">
      <c r="A45" s="26" t="inlineStr">
        <is>
          <t>Total Current Assets</t>
        </is>
      </c>
      <c r="B45" s="27" t="n">
        <v>58558</v>
      </c>
      <c r="C45" s="27" t="n">
        <v>50407</v>
      </c>
      <c r="D45" s="27" t="n">
        <v>43269</v>
      </c>
      <c r="E45" s="27" t="n">
        <v>47324</v>
      </c>
      <c r="F45" s="27" t="n">
        <v>63688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63245</v>
      </c>
      <c r="C47" s="18" t="n">
        <v>80860</v>
      </c>
      <c r="D47" s="18" t="n">
        <v>97152</v>
      </c>
      <c r="E47" s="18" t="n">
        <v>107919</v>
      </c>
      <c r="F47" s="18" t="n">
        <v>105414</v>
      </c>
    </row>
    <row r="48">
      <c r="A48" s="17" t="inlineStr">
        <is>
          <t>Goodwill</t>
        </is>
      </c>
      <c r="B48" s="18" t="n">
        <v>26963</v>
      </c>
      <c r="C48" s="18" t="n">
        <v>27591</v>
      </c>
      <c r="D48" s="18" t="n">
        <v>27591</v>
      </c>
      <c r="E48" s="18" t="n">
        <v>24693</v>
      </c>
      <c r="F48" s="18" t="n">
        <v>23912</v>
      </c>
    </row>
    <row r="49">
      <c r="A49" s="17" t="inlineStr">
        <is>
          <t>Intangible Assets</t>
        </is>
      </c>
      <c r="B49" s="18" t="n">
        <v>7270</v>
      </c>
      <c r="C49" s="18" t="n">
        <v>6018</v>
      </c>
      <c r="D49" s="18" t="n">
        <v>4589</v>
      </c>
      <c r="E49" s="18" t="n">
        <v>3691</v>
      </c>
      <c r="F49" s="18" t="n">
        <v>2772</v>
      </c>
    </row>
    <row r="50">
      <c r="A50" s="17" t="inlineStr">
        <is>
          <t>Long-Term Investments</t>
        </is>
      </c>
      <c r="B50" s="18" t="n">
        <v>6298</v>
      </c>
      <c r="C50" s="18" t="n">
        <v>5912</v>
      </c>
      <c r="D50" s="18" t="n">
        <v>5829</v>
      </c>
      <c r="E50" s="18" t="n">
        <v>5383</v>
      </c>
      <c r="F50" s="18" t="n">
        <v>8512</v>
      </c>
    </row>
    <row r="51">
      <c r="A51" s="17" t="inlineStr">
        <is>
          <t>Tax Assets (Deferred)</t>
        </is>
      </c>
      <c r="B51" s="18" t="n">
        <v>0</v>
      </c>
      <c r="C51" s="18" t="n">
        <v>3450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30724</v>
      </c>
      <c r="C52" s="18" t="n">
        <v>23106</v>
      </c>
      <c r="D52" s="18" t="n">
        <v>23784</v>
      </c>
      <c r="E52" s="18" t="n">
        <v>19196</v>
      </c>
      <c r="F52" s="18" t="n">
        <v>31663</v>
      </c>
    </row>
    <row r="53">
      <c r="A53" s="17" t="inlineStr">
        <is>
          <t>Other Non-Current Assets</t>
        </is>
      </c>
      <c r="B53" s="18" t="n">
        <v>6072</v>
      </c>
      <c r="C53" s="18" t="n">
        <v>7865</v>
      </c>
      <c r="D53" s="18" t="n">
        <v>13142</v>
      </c>
      <c r="E53" s="18" t="n">
        <v>7475</v>
      </c>
      <c r="F53" s="18" t="n">
        <v>7131</v>
      </c>
    </row>
    <row r="54">
      <c r="A54" s="26" t="inlineStr">
        <is>
          <t>Total Non-Current Assets</t>
        </is>
      </c>
      <c r="B54" s="27" t="n">
        <v>109848</v>
      </c>
      <c r="C54" s="27" t="n">
        <v>131696</v>
      </c>
      <c r="D54" s="27" t="n">
        <v>148303</v>
      </c>
      <c r="E54" s="27" t="n">
        <v>149161</v>
      </c>
      <c r="F54" s="27" t="n">
        <v>147741</v>
      </c>
    </row>
    <row r="55">
      <c r="A55" s="13" t="inlineStr">
        <is>
          <t>TOTAL ASSETS</t>
        </is>
      </c>
      <c r="B55" s="30" t="n">
        <v>168406</v>
      </c>
      <c r="C55" s="30" t="n">
        <v>182103</v>
      </c>
      <c r="D55" s="30" t="n">
        <v>191572</v>
      </c>
      <c r="E55" s="30" t="n">
        <v>196485</v>
      </c>
      <c r="F55" s="30" t="n">
        <v>211429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5747</v>
      </c>
      <c r="C57" s="18" t="n">
        <v>9595</v>
      </c>
      <c r="D57" s="18" t="n">
        <v>8578</v>
      </c>
      <c r="E57" s="18" t="n">
        <v>12556</v>
      </c>
      <c r="F57" s="18" t="n">
        <v>9882</v>
      </c>
    </row>
    <row r="58">
      <c r="A58" s="17" t="inlineStr">
        <is>
          <t>Short-Term Debt</t>
        </is>
      </c>
      <c r="B58" s="18" t="n">
        <v>4600</v>
      </c>
      <c r="C58" s="18" t="n">
        <v>4323</v>
      </c>
      <c r="D58" s="18" t="n">
        <v>2300</v>
      </c>
      <c r="E58" s="18" t="n">
        <v>3729</v>
      </c>
      <c r="F58" s="18" t="n">
        <v>2499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8326</v>
      </c>
      <c r="C61" s="18" t="n">
        <v>6528</v>
      </c>
      <c r="D61" s="18" t="n">
        <v>12413</v>
      </c>
      <c r="E61" s="18" t="n">
        <v>3343</v>
      </c>
      <c r="F61" s="18" t="n">
        <v>14600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27462</v>
      </c>
      <c r="C63" s="27" t="n">
        <v>32155</v>
      </c>
      <c r="D63" s="27" t="n">
        <v>28053</v>
      </c>
      <c r="E63" s="27" t="n">
        <v>35666</v>
      </c>
      <c r="F63" s="27" t="n">
        <v>31575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33510</v>
      </c>
      <c r="C65" s="18" t="n">
        <v>37684</v>
      </c>
      <c r="D65" s="18" t="n">
        <v>46978</v>
      </c>
      <c r="E65" s="18" t="n">
        <v>46282</v>
      </c>
      <c r="F65" s="18" t="n">
        <v>44086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185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2667</v>
      </c>
      <c r="C68" s="18" t="n">
        <v>202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9191</v>
      </c>
      <c r="C69" s="18" t="n">
        <v>8776</v>
      </c>
      <c r="D69" s="18" t="n">
        <v>6576</v>
      </c>
      <c r="E69" s="18" t="n">
        <v>9505</v>
      </c>
      <c r="F69" s="18" t="n">
        <v>9408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73015</v>
      </c>
      <c r="C71" s="30" t="n">
        <v>78817</v>
      </c>
      <c r="D71" s="30" t="n">
        <v>81607</v>
      </c>
      <c r="E71" s="30" t="n">
        <v>91453</v>
      </c>
      <c r="F71" s="30" t="n">
        <v>85069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28006</v>
      </c>
      <c r="C73" s="18" t="n">
        <v>31580</v>
      </c>
      <c r="D73" s="18" t="n">
        <v>36649</v>
      </c>
      <c r="E73" s="18" t="n">
        <v>50949</v>
      </c>
      <c r="F73" s="18" t="n">
        <v>65185</v>
      </c>
    </row>
    <row r="74">
      <c r="A74" s="17" t="inlineStr">
        <is>
          <t>Retained Earnings</t>
        </is>
      </c>
      <c r="B74" s="18" t="n">
        <v>68265</v>
      </c>
      <c r="C74" s="18" t="n">
        <v>70405</v>
      </c>
      <c r="D74" s="18" t="n">
        <v>69156</v>
      </c>
      <c r="E74" s="18" t="n">
        <v>49032</v>
      </c>
      <c r="F74" s="18" t="n">
        <v>48983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1863</v>
      </c>
      <c r="D77" s="18" t="n">
        <v>4375</v>
      </c>
      <c r="E77" s="18" t="n">
        <v>5762</v>
      </c>
      <c r="F77" s="18" t="n">
        <v>12079</v>
      </c>
    </row>
    <row r="78">
      <c r="A78" s="26" t="inlineStr">
        <is>
          <t>Total Equity (inc. Minority)</t>
        </is>
      </c>
      <c r="B78" s="27" t="n">
        <v>95391</v>
      </c>
      <c r="C78" s="27" t="n">
        <v>103286</v>
      </c>
      <c r="D78" s="27" t="n">
        <v>109965</v>
      </c>
      <c r="E78" s="27" t="n">
        <v>105032</v>
      </c>
      <c r="F78" s="27" t="n">
        <v>126360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INTC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29456</v>
      </c>
      <c r="C5" s="24" t="n">
        <v>15433</v>
      </c>
      <c r="D5" s="24" t="n">
        <v>11471</v>
      </c>
      <c r="E5" s="24" t="n">
        <v>8288</v>
      </c>
      <c r="F5" s="24" t="n">
        <v>9697</v>
      </c>
    </row>
    <row r="6">
      <c r="A6" s="17" t="inlineStr">
        <is>
          <t>(2)  Capital Expenditures</t>
        </is>
      </c>
      <c r="B6" s="18" t="n">
        <v>-20329</v>
      </c>
      <c r="C6" s="18" t="n">
        <v>-25050</v>
      </c>
      <c r="D6" s="18" t="n">
        <v>-25750</v>
      </c>
      <c r="E6" s="18" t="n">
        <v>-23944</v>
      </c>
      <c r="F6" s="18" t="n">
        <v>-14646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2474</v>
      </c>
      <c r="C9" s="18" t="n">
        <v>5164</v>
      </c>
      <c r="D9" s="18" t="n">
        <v>7024</v>
      </c>
      <c r="E9" s="18" t="n">
        <v>687</v>
      </c>
      <c r="F9" s="18" t="n">
        <v>-3750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2009</v>
      </c>
      <c r="D11" s="18" t="n">
        <v>4001</v>
      </c>
      <c r="E11" s="18" t="n">
        <v>12714</v>
      </c>
      <c r="F11" s="18" t="n">
        <v>13477</v>
      </c>
    </row>
    <row r="12">
      <c r="A12" s="17" t="inlineStr">
        <is>
          <t>(7)  Dividends Paid</t>
        </is>
      </c>
      <c r="B12" s="18" t="n">
        <v>-5644</v>
      </c>
      <c r="C12" s="18" t="n">
        <v>-5997</v>
      </c>
      <c r="D12" s="18" t="n">
        <v>-3088</v>
      </c>
      <c r="E12" s="18" t="n">
        <v>-1599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9127</v>
      </c>
      <c r="C15" s="24" t="n">
        <v>-9617</v>
      </c>
      <c r="D15" s="24" t="n">
        <v>-14279</v>
      </c>
      <c r="E15" s="24" t="n">
        <v>-15656</v>
      </c>
      <c r="F15" s="24" t="n">
        <v>-4949</v>
      </c>
    </row>
    <row r="16">
      <c r="A16" s="15" t="inlineStr">
        <is>
          <t xml:space="preserve">     Net Change in Cash</t>
        </is>
      </c>
      <c r="B16" s="16" t="n">
        <v>-1038</v>
      </c>
      <c r="C16" s="16" t="n">
        <v>6317</v>
      </c>
      <c r="D16" s="16" t="n">
        <v>-4065</v>
      </c>
      <c r="E16" s="16" t="n">
        <v>1170</v>
      </c>
      <c r="F16" s="16" t="n">
        <v>6463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19868</v>
      </c>
      <c r="C21" s="18" t="n">
        <v>8017</v>
      </c>
      <c r="D21" s="18" t="n">
        <v>1675</v>
      </c>
      <c r="E21" s="18" t="n">
        <v>-19233</v>
      </c>
      <c r="F21" s="18" t="n">
        <v>26</v>
      </c>
    </row>
    <row r="22">
      <c r="A22" s="17" t="inlineStr">
        <is>
          <t>Depreciation &amp; Amortisation</t>
        </is>
      </c>
      <c r="B22" s="18" t="n">
        <v>11792</v>
      </c>
      <c r="C22" s="18" t="n">
        <v>13035</v>
      </c>
      <c r="D22" s="18" t="n">
        <v>9602</v>
      </c>
      <c r="E22" s="18" t="n">
        <v>11379</v>
      </c>
      <c r="F22" s="18" t="n">
        <v>11706</v>
      </c>
    </row>
    <row r="23">
      <c r="A23" s="17" t="inlineStr">
        <is>
          <t>Deferred Income Tax</t>
        </is>
      </c>
      <c r="B23" s="18" t="n">
        <v>0</v>
      </c>
      <c r="C23" s="18" t="n">
        <v>-5148</v>
      </c>
      <c r="D23" s="18" t="n">
        <v>-2033</v>
      </c>
      <c r="E23" s="18" t="n">
        <v>6132</v>
      </c>
      <c r="F23" s="18" t="n">
        <v>328</v>
      </c>
    </row>
    <row r="24">
      <c r="A24" s="17" t="inlineStr">
        <is>
          <t>Stock-Based Compensation</t>
        </is>
      </c>
      <c r="B24" s="18" t="n">
        <v>2036</v>
      </c>
      <c r="C24" s="18" t="n">
        <v>3128</v>
      </c>
      <c r="D24" s="18" t="n">
        <v>3229</v>
      </c>
      <c r="E24" s="18" t="n">
        <v>3410</v>
      </c>
      <c r="F24" s="18" t="n">
        <v>2434</v>
      </c>
    </row>
    <row r="25">
      <c r="A25" s="17" t="inlineStr">
        <is>
          <t>Change in Working Capital</t>
        </is>
      </c>
      <c r="B25" s="18" t="n">
        <v>-5408</v>
      </c>
      <c r="C25" s="18" t="n">
        <v>339</v>
      </c>
      <c r="D25" s="18" t="n">
        <v>-569</v>
      </c>
      <c r="E25" s="18" t="n">
        <v>1103</v>
      </c>
      <c r="F25" s="18" t="n">
        <v>-1747</v>
      </c>
    </row>
    <row r="26">
      <c r="A26" s="21" t="inlineStr">
        <is>
          <t xml:space="preserve">  — Accounts Receivable</t>
        </is>
      </c>
      <c r="B26" s="18" t="n">
        <v>-2674</v>
      </c>
      <c r="C26" s="18" t="n">
        <v>5327</v>
      </c>
      <c r="D26" s="18" t="n">
        <v>731</v>
      </c>
      <c r="E26" s="18" t="n">
        <v>-75</v>
      </c>
      <c r="F26" s="18" t="n">
        <v>-449</v>
      </c>
    </row>
    <row r="27">
      <c r="A27" s="21" t="inlineStr">
        <is>
          <t xml:space="preserve">  — Inventory</t>
        </is>
      </c>
      <c r="B27" s="18" t="n">
        <v>-2339</v>
      </c>
      <c r="C27" s="18" t="n">
        <v>-2436</v>
      </c>
      <c r="D27" s="18" t="n">
        <v>2097</v>
      </c>
      <c r="E27" s="18" t="n">
        <v>-1105</v>
      </c>
      <c r="F27" s="18" t="n">
        <v>-138</v>
      </c>
    </row>
    <row r="28">
      <c r="A28" s="21" t="inlineStr">
        <is>
          <t xml:space="preserve">  — Accounts Payable</t>
        </is>
      </c>
      <c r="B28" s="18" t="n">
        <v>1190</v>
      </c>
      <c r="C28" s="18" t="n">
        <v>-29</v>
      </c>
      <c r="D28" s="18" t="n">
        <v>-801</v>
      </c>
      <c r="E28" s="18" t="n">
        <v>634</v>
      </c>
      <c r="F28" s="18" t="n">
        <v>297</v>
      </c>
    </row>
    <row r="29">
      <c r="A29" s="21" t="inlineStr">
        <is>
          <t xml:space="preserve">  — Other Working Capital</t>
        </is>
      </c>
      <c r="B29" s="18" t="n">
        <v>-1585</v>
      </c>
      <c r="C29" s="18" t="n">
        <v>-2523</v>
      </c>
      <c r="D29" s="18" t="n">
        <v>-2596</v>
      </c>
      <c r="E29" s="18" t="n">
        <v>1649</v>
      </c>
      <c r="F29" s="18" t="n">
        <v>-1457</v>
      </c>
    </row>
    <row r="30">
      <c r="A30" s="17" t="inlineStr">
        <is>
          <t>Other Non-Cash Items</t>
        </is>
      </c>
      <c r="B30" s="18" t="n">
        <v>1168</v>
      </c>
      <c r="C30" s="18" t="n">
        <v>-3938</v>
      </c>
      <c r="D30" s="18" t="n">
        <v>-433</v>
      </c>
      <c r="E30" s="18" t="n">
        <v>5497</v>
      </c>
      <c r="F30" s="18" t="n">
        <v>-3050</v>
      </c>
    </row>
    <row r="31">
      <c r="A31" s="26" t="inlineStr">
        <is>
          <t>Net Cash from Operations (CFO)</t>
        </is>
      </c>
      <c r="B31" s="27" t="n">
        <v>29456</v>
      </c>
      <c r="C31" s="27" t="n">
        <v>15433</v>
      </c>
      <c r="D31" s="27" t="n">
        <v>11471</v>
      </c>
      <c r="E31" s="27" t="n">
        <v>8288</v>
      </c>
      <c r="F31" s="27" t="n">
        <v>9697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-20329</v>
      </c>
      <c r="C33" s="18" t="n">
        <v>-25050</v>
      </c>
      <c r="D33" s="18" t="n">
        <v>-25750</v>
      </c>
      <c r="E33" s="18" t="n">
        <v>-23944</v>
      </c>
      <c r="F33" s="18" t="n">
        <v>-14646</v>
      </c>
    </row>
    <row r="34">
      <c r="A34" s="21" t="inlineStr">
        <is>
          <t xml:space="preserve">  (Alt: Invest. in PP&amp;E)</t>
        </is>
      </c>
      <c r="B34" s="18" t="n">
        <v>-20329</v>
      </c>
      <c r="C34" s="18" t="n">
        <v>-25050</v>
      </c>
      <c r="D34" s="18" t="n">
        <v>-25750</v>
      </c>
      <c r="E34" s="18" t="n">
        <v>-23944</v>
      </c>
      <c r="F34" s="18" t="n">
        <v>-14646</v>
      </c>
    </row>
    <row r="35">
      <c r="A35" s="17" t="inlineStr">
        <is>
          <t>Acquisitions (Net)</t>
        </is>
      </c>
      <c r="B35" s="18" t="n">
        <v>-209</v>
      </c>
      <c r="C35" s="18" t="n">
        <v>6579</v>
      </c>
      <c r="D35" s="18" t="n">
        <v>-13</v>
      </c>
      <c r="E35" s="18" t="n">
        <v>-82</v>
      </c>
      <c r="F35" s="18" t="n">
        <v>0</v>
      </c>
    </row>
    <row r="36">
      <c r="A36" s="17" t="inlineStr">
        <is>
          <t>Purchases of Investments</t>
        </is>
      </c>
      <c r="B36" s="18" t="n">
        <v>-41167</v>
      </c>
      <c r="C36" s="18" t="n">
        <v>-44157</v>
      </c>
      <c r="D36" s="18" t="n">
        <v>-44414</v>
      </c>
      <c r="E36" s="18" t="n">
        <v>-37940</v>
      </c>
      <c r="F36" s="18" t="n">
        <v>-24319</v>
      </c>
    </row>
    <row r="37">
      <c r="A37" s="17" t="inlineStr">
        <is>
          <t>Sales / Maturities of Investments</t>
        </is>
      </c>
      <c r="B37" s="18" t="n">
        <v>35880</v>
      </c>
      <c r="C37" s="18" t="n">
        <v>53691</v>
      </c>
      <c r="D37" s="18" t="n">
        <v>44549</v>
      </c>
      <c r="E37" s="18" t="n">
        <v>42510</v>
      </c>
      <c r="F37" s="18" t="n">
        <v>16058</v>
      </c>
    </row>
    <row r="38">
      <c r="A38" s="17" t="inlineStr">
        <is>
          <t>Other Investing Activities</t>
        </is>
      </c>
      <c r="B38" s="18" t="n">
        <v>1542</v>
      </c>
      <c r="C38" s="18" t="n">
        <v>-1294</v>
      </c>
      <c r="D38" s="18" t="n">
        <v>1587</v>
      </c>
      <c r="E38" s="18" t="n">
        <v>1200</v>
      </c>
      <c r="F38" s="18" t="n">
        <v>8086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2474</v>
      </c>
      <c r="C41" s="18" t="n">
        <v>5164</v>
      </c>
      <c r="D41" s="18" t="n">
        <v>7024</v>
      </c>
      <c r="E41" s="18" t="n">
        <v>687</v>
      </c>
      <c r="F41" s="18" t="n">
        <v>-3750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2009</v>
      </c>
      <c r="D43" s="18" t="n">
        <v>4001</v>
      </c>
      <c r="E43" s="18" t="n">
        <v>12714</v>
      </c>
      <c r="F43" s="18" t="n">
        <v>13477</v>
      </c>
    </row>
    <row r="44">
      <c r="A44" s="17" t="inlineStr">
        <is>
          <t>Common Stock Repurchased (Buybacks)</t>
        </is>
      </c>
      <c r="B44" s="18" t="n">
        <v>-2415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17" t="inlineStr">
        <is>
          <t>Dividends Paid</t>
        </is>
      </c>
      <c r="B45" s="18" t="n">
        <v>-5644</v>
      </c>
      <c r="C45" s="18" t="n">
        <v>-5997</v>
      </c>
      <c r="D45" s="18" t="n">
        <v>-3088</v>
      </c>
      <c r="E45" s="18" t="n">
        <v>-1599</v>
      </c>
      <c r="F45" s="18" t="n">
        <v>0</v>
      </c>
    </row>
    <row r="46">
      <c r="A46" s="17" t="inlineStr">
        <is>
          <t>Other Financing Activities</t>
        </is>
      </c>
      <c r="B46" s="18" t="n">
        <v>-626</v>
      </c>
      <c r="C46" s="18" t="n">
        <v>-61</v>
      </c>
      <c r="D46" s="18" t="n">
        <v>568</v>
      </c>
      <c r="E46" s="18" t="n">
        <v>-664</v>
      </c>
      <c r="F46" s="18" t="n">
        <v>1860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5" t="inlineStr">
        <is>
          <t>Net Change in Cash</t>
        </is>
      </c>
      <c r="B50" s="16" t="n">
        <v>-1038</v>
      </c>
      <c r="C50" s="16" t="n">
        <v>6317</v>
      </c>
      <c r="D50" s="16" t="n">
        <v>-4065</v>
      </c>
      <c r="E50" s="16" t="n">
        <v>1170</v>
      </c>
      <c r="F50" s="16" t="n">
        <v>6463</v>
      </c>
    </row>
    <row r="51">
      <c r="A51" s="17" t="inlineStr">
        <is>
          <t>Cash at Beginning of Period</t>
        </is>
      </c>
      <c r="B51" s="18" t="n">
        <v>5865</v>
      </c>
      <c r="C51" s="18" t="n">
        <v>4827</v>
      </c>
      <c r="D51" s="18" t="n">
        <v>11144</v>
      </c>
      <c r="E51" s="18" t="n">
        <v>7079</v>
      </c>
      <c r="F51" s="18" t="n">
        <v>8249</v>
      </c>
    </row>
    <row r="52">
      <c r="A52" s="26" t="inlineStr">
        <is>
          <t>Cash at End of Period</t>
        </is>
      </c>
      <c r="B52" s="27" t="n">
        <v>4827</v>
      </c>
      <c r="C52" s="27" t="n">
        <v>11144</v>
      </c>
      <c r="D52" s="27" t="n">
        <v>7079</v>
      </c>
      <c r="E52" s="27" t="n">
        <v>8249</v>
      </c>
      <c r="F52" s="27" t="n">
        <v>14712</v>
      </c>
    </row>
    <row r="53">
      <c r="A53" s="26" t="inlineStr">
        <is>
          <t>Free Cash Flow</t>
        </is>
      </c>
      <c r="B53" s="27" t="n">
        <v>9127</v>
      </c>
      <c r="C53" s="27" t="n">
        <v>-9617</v>
      </c>
      <c r="D53" s="27" t="n">
        <v>-14279</v>
      </c>
      <c r="E53" s="27" t="n">
        <v>-15656</v>
      </c>
      <c r="F53" s="27" t="n">
        <v>-4949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INTC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4090</v>
      </c>
      <c r="C61" s="18" t="n">
        <v>4123</v>
      </c>
      <c r="D61" s="18" t="n">
        <v>4212</v>
      </c>
      <c r="E61" s="18" t="n">
        <v>4280</v>
      </c>
      <c r="F61" s="18" t="n">
        <v>4856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INTC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32228</v>
      </c>
      <c r="C5" s="18" t="n">
        <v>30290</v>
      </c>
      <c r="D5" s="18" t="n">
        <v>29258</v>
      </c>
      <c r="E5" s="18" t="n">
        <v>31708</v>
      </c>
      <c r="F5" s="18" t="n">
        <v>40511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INTC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602315.84</v>
      </c>
      <c r="C5" s="44" t="inlineStr">
        <is>
          <t>FMP marketCap  |  price $119.84</t>
        </is>
      </c>
    </row>
    <row r="6">
      <c r="A6" s="17" t="inlineStr">
        <is>
          <t>Debt  (gross book value, $mm)</t>
        </is>
      </c>
      <c r="B6" s="43" t="n">
        <v>46585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2.19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1.797</v>
      </c>
      <c r="C17" s="44" t="inlineStr">
        <is>
          <t>Mean-reversion toward market beta of 1.0</t>
        </is>
      </c>
    </row>
    <row r="18">
      <c r="A18" s="17" t="inlineStr">
        <is>
          <t>Damodaran industry unlevered  (Semiconductors)</t>
        </is>
      </c>
      <c r="B18" s="50" t="n">
        <v>1.15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0.08x,  t = 98.3%)</t>
        </is>
      </c>
      <c r="B19" s="50" t="n">
        <v>1.151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1.493</v>
      </c>
      <c r="C20" s="44" t="inlineStr">
        <is>
          <t>AMD: 2.399  |  QCOM: 1.493  |  AVGO: 1.44  |  TSM: 1</t>
        </is>
      </c>
    </row>
    <row r="21">
      <c r="A21" s="51" t="inlineStr">
        <is>
          <t>FLAG: Raw beta (2.19) is 1.9x Damodaran industry avg (1.15) — historical window may include structural break or regime change.</t>
        </is>
      </c>
    </row>
    <row r="22">
      <c r="A22" s="47" t="inlineStr">
        <is>
          <t>► Selected beta  (user override)</t>
        </is>
      </c>
      <c r="B22" s="52" t="n">
        <v>1.658</v>
      </c>
      <c r="C22" s="49" t="inlineStr">
        <is>
          <t>Default = average of 4 source(s) above — override freely</t>
        </is>
      </c>
    </row>
    <row r="23">
      <c r="A23" s="42" t="n"/>
      <c r="B23" s="42" t="n"/>
      <c r="C23" s="42" t="n"/>
    </row>
    <row r="24" ht="18" customHeight="1">
      <c r="A24" s="25" t="inlineStr">
        <is>
          <t>STEP 3 — EQUITY RISK PREMIUM  (ERP)</t>
        </is>
      </c>
    </row>
    <row r="25">
      <c r="A25" s="17" t="inlineStr">
        <is>
          <t>Damodaran implied ERP — US market (current)</t>
        </is>
      </c>
      <c r="B25" s="46" t="n">
        <v>0.0472</v>
      </c>
      <c r="C25" s="44" t="inlineStr">
        <is>
          <t>Damodaran.com implied ERP — Jan 2026</t>
        </is>
      </c>
    </row>
    <row r="26">
      <c r="A26" s="17" t="inlineStr">
        <is>
          <t>Damodaran historical avg — US 1928–2025</t>
        </is>
      </c>
      <c r="B26" s="46" t="n">
        <v>0.042</v>
      </c>
      <c r="C26" s="44" t="inlineStr">
        <is>
          <t>Arithmetic average excess return over T-bill</t>
        </is>
      </c>
    </row>
    <row r="27">
      <c r="A27" s="47" t="inlineStr">
        <is>
          <t>► Selected ERP  (user override)</t>
        </is>
      </c>
      <c r="B27" s="48" t="n">
        <v>0.0446</v>
      </c>
      <c r="C27" s="49" t="inlineStr">
        <is>
          <t>Default = average of Damodaran implied &amp; historical avg — override freely</t>
        </is>
      </c>
    </row>
    <row r="28">
      <c r="A28" s="42" t="n"/>
      <c r="B28" s="42" t="n"/>
      <c r="C28" s="42" t="n"/>
    </row>
    <row r="29" ht="18" customHeight="1">
      <c r="A29" s="25" t="inlineStr">
        <is>
          <t>STEP 4 — COST OF EQUITY  (CAPM:  Re = Rf + β × ERP)</t>
        </is>
      </c>
    </row>
    <row r="30">
      <c r="A30" s="19" t="inlineStr">
        <is>
          <t>Cost of equity  (Re)</t>
        </is>
      </c>
      <c r="B30" s="53">
        <f>B13+B22*B27</f>
        <v/>
      </c>
      <c r="C30" s="45" t="inlineStr">
        <is>
          <t>CAPM formula — references selected inputs above</t>
        </is>
      </c>
    </row>
    <row r="31">
      <c r="A31" s="42" t="n"/>
      <c r="B31" s="42" t="n"/>
      <c r="C31" s="42" t="n"/>
    </row>
    <row r="32" ht="18" customHeight="1">
      <c r="A32" s="25" t="inlineStr">
        <is>
          <t>STEP 5 — COST OF DEBT  (Pre-tax Rd)</t>
        </is>
      </c>
    </row>
    <row r="33">
      <c r="A33" s="17" t="inlineStr">
        <is>
          <t>Credit rating  (S&amp;P / Moody's)</t>
        </is>
      </c>
      <c r="B33" s="54" t="inlineStr">
        <is>
          <t>Not available</t>
        </is>
      </c>
      <c r="C33" s="44" t="inlineStr">
        <is>
          <t>FMP /ratings endpoint</t>
        </is>
      </c>
    </row>
    <row r="34">
      <c r="A34" s="17" t="inlineStr">
        <is>
          <t>FRED matched yield</t>
        </is>
      </c>
      <c r="B34" s="54" t="n"/>
      <c r="C34" s="44" t="inlineStr">
        <is>
          <t>No rating returned — FRED method not applicable</t>
        </is>
      </c>
    </row>
    <row r="35">
      <c r="A35" s="17" t="inlineStr">
        <is>
          <t>Interest Coverage Ratio  (EBIT / Gross Int Exp)</t>
        </is>
      </c>
      <c r="B35" s="50" t="n">
        <v>0</v>
      </c>
      <c r="C35" s="44" t="inlineStr">
        <is>
          <t>EBIT $23mm  /  Int Exp $1091mm</t>
        </is>
      </c>
    </row>
    <row r="36">
      <c r="A36" s="17" t="inlineStr">
        <is>
          <t>Synthetic rating  (Damodaran ICR table)</t>
        </is>
      </c>
      <c r="B36" s="54" t="inlineStr">
        <is>
          <t>CC</t>
        </is>
      </c>
      <c r="C36" s="44" t="inlineStr">
        <is>
          <t>ICR 0.0x  →  CC</t>
        </is>
      </c>
    </row>
    <row r="37">
      <c r="A37" s="17" t="inlineStr">
        <is>
          <t>Synthetic Rd  (Rf + Damodaran default spread)</t>
        </is>
      </c>
      <c r="B37" s="46" t="n">
        <v>0.1657</v>
      </c>
      <c r="C37" s="44" t="inlineStr">
        <is>
          <t>Rf 4.57% + spread 12.00%</t>
        </is>
      </c>
    </row>
    <row r="38">
      <c r="A38" s="17" t="inlineStr">
        <is>
          <t>Accounting Rd  (Gross int exp / Avg gross debt)</t>
        </is>
      </c>
      <c r="B38" s="46" t="n">
        <v>0.02258892707772579</v>
      </c>
      <c r="C38" s="44" t="inlineStr">
        <is>
          <t>Cross-check only — backward-looking</t>
        </is>
      </c>
    </row>
    <row r="39">
      <c r="A39" s="47" t="inlineStr">
        <is>
          <t>► Selected pre-tax Rd  (user override)</t>
        </is>
      </c>
      <c r="B39" s="48" t="n">
        <v>0.0941</v>
      </c>
      <c r="C39" s="49" t="inlineStr">
        <is>
          <t>Default = average of 2 source(s) above — override freely</t>
        </is>
      </c>
    </row>
    <row r="40">
      <c r="A40" s="42" t="n"/>
      <c r="B40" s="42" t="n"/>
      <c r="C40" s="42" t="n"/>
    </row>
    <row r="41" ht="18" customHeight="1">
      <c r="A41" s="25" t="inlineStr">
        <is>
          <t>STEP 6 — TAX RATE</t>
        </is>
      </c>
    </row>
    <row r="42">
      <c r="A42" s="17" t="inlineStr">
        <is>
          <t>Effective tax rate  (tax expense / pre-tax income)</t>
        </is>
      </c>
      <c r="B42" s="46" t="n">
        <v>0.9833</v>
      </c>
      <c r="C42" s="44" t="inlineStr">
        <is>
          <t>FMP: $1531mm  /  $1557mm</t>
        </is>
      </c>
    </row>
    <row r="43">
      <c r="A43" s="47" t="inlineStr">
        <is>
          <t>► Selected tax rate  (user override)</t>
        </is>
      </c>
      <c r="B43" s="48" t="n">
        <v>0.9833</v>
      </c>
      <c r="C43" s="49" t="inlineStr">
        <is>
          <t>Adjust to normalised / marginal rate if preferred</t>
        </is>
      </c>
    </row>
    <row r="44">
      <c r="A44" s="42" t="n"/>
      <c r="B44" s="42" t="n"/>
      <c r="C44" s="42" t="n"/>
    </row>
    <row r="45" ht="18" customHeight="1">
      <c r="A45" s="5" t="inlineStr">
        <is>
          <t>WACC OUTPUT</t>
        </is>
      </c>
    </row>
    <row r="46" ht="22" customHeight="1">
      <c r="A46" s="55" t="inlineStr">
        <is>
          <t>WACC  =  MAX(8.5%, (E/V × Re) + (D/V × Rd × (1 − t)))</t>
        </is>
      </c>
      <c r="B46" s="56">
        <f>MAX(0.085, B8*B30+B9*B39*(1-B43))</f>
        <v/>
      </c>
      <c r="C46" s="57" t="inlineStr">
        <is>
          <t>Floored 8.5% (D-001); raw formula below</t>
        </is>
      </c>
    </row>
    <row r="47">
      <c r="A47" s="42" t="n"/>
      <c r="B47" s="42" t="n"/>
      <c r="C47" s="42" t="n"/>
    </row>
    <row r="48" ht="18" customHeight="1">
      <c r="A48" s="10" t="inlineStr">
        <is>
          <t>SENSITIVITY — WACC (%)  by Beta offset × ERP offset</t>
        </is>
      </c>
    </row>
    <row r="49">
      <c r="A49" s="58" t="inlineStr">
        <is>
          <t>Beta offset  \  ERP offset →</t>
        </is>
      </c>
      <c r="B49" s="58" t="inlineStr">
        <is>
          <t>-1.0%</t>
        </is>
      </c>
      <c r="C49" s="58" t="inlineStr">
        <is>
          <t>-0.5%</t>
        </is>
      </c>
      <c r="D49" s="58" t="inlineStr">
        <is>
          <t>Base ERP</t>
        </is>
      </c>
      <c r="E49" s="58" t="inlineStr">
        <is>
          <t>+0.5%</t>
        </is>
      </c>
      <c r="F49" s="58" t="inlineStr">
        <is>
          <t>+1.0%</t>
        </is>
      </c>
    </row>
    <row r="50">
      <c r="A50" s="59" t="inlineStr">
        <is>
          <t>-1.0</t>
        </is>
      </c>
      <c r="B50" s="60">
        <f>B8*(B13+(B22+(-1.0))*(B27+(-0.01)))+B9*B39*(1-B43)</f>
        <v/>
      </c>
      <c r="C50" s="60">
        <f>B8*(B13+(B22+(-1.0))*(B27+(-0.005)))+B9*B39*(1-B43)</f>
        <v/>
      </c>
      <c r="D50" s="60">
        <f>B8*(B13+(B22+(-1.0))*(B27+(0.0)))+B9*B39*(1-B43)</f>
        <v/>
      </c>
      <c r="E50" s="60">
        <f>B8*(B13+(B22+(-1.0))*(B27+(0.005)))+B9*B39*(1-B43)</f>
        <v/>
      </c>
      <c r="F50" s="60">
        <f>B8*(B13+(B22+(-1.0))*(B27+(0.01)))+B9*B39*(1-B43)</f>
        <v/>
      </c>
    </row>
    <row r="51">
      <c r="A51" s="59" t="inlineStr">
        <is>
          <t>-0.5</t>
        </is>
      </c>
      <c r="B51" s="60">
        <f>B8*(B13+(B22+(-0.5))*(B27+(-0.01)))+B9*B39*(1-B43)</f>
        <v/>
      </c>
      <c r="C51" s="60">
        <f>B8*(B13+(B22+(-0.5))*(B27+(-0.005)))+B9*B39*(1-B43)</f>
        <v/>
      </c>
      <c r="D51" s="60">
        <f>B8*(B13+(B22+(-0.5))*(B27+(0.0)))+B9*B39*(1-B43)</f>
        <v/>
      </c>
      <c r="E51" s="60">
        <f>B8*(B13+(B22+(-0.5))*(B27+(0.005)))+B9*B39*(1-B43)</f>
        <v/>
      </c>
      <c r="F51" s="60">
        <f>B8*(B13+(B22+(-0.5))*(B27+(0.01)))+B9*B39*(1-B43)</f>
        <v/>
      </c>
    </row>
    <row r="52">
      <c r="A52" s="61" t="inlineStr">
        <is>
          <t>Base β</t>
        </is>
      </c>
      <c r="B52" s="62">
        <f>B8*(B13+(B22+(0.0))*(B27+(-0.01)))+B9*B39*(1-B43)</f>
        <v/>
      </c>
      <c r="C52" s="62">
        <f>B8*(B13+(B22+(0.0))*(B27+(-0.005)))+B9*B39*(1-B43)</f>
        <v/>
      </c>
      <c r="D52" s="63">
        <f>B8*(B13+(B22+(0.0))*(B27+(0.0)))+B9*B39*(1-B43)</f>
        <v/>
      </c>
      <c r="E52" s="62">
        <f>B8*(B13+(B22+(0.0))*(B27+(0.005)))+B9*B39*(1-B43)</f>
        <v/>
      </c>
      <c r="F52" s="62">
        <f>B8*(B13+(B22+(0.0))*(B27+(0.01)))+B9*B39*(1-B43)</f>
        <v/>
      </c>
    </row>
    <row r="53">
      <c r="A53" s="59" t="inlineStr">
        <is>
          <t>+0.5</t>
        </is>
      </c>
      <c r="B53" s="60">
        <f>B8*(B13+(B22+(0.5))*(B27+(-0.01)))+B9*B39*(1-B43)</f>
        <v/>
      </c>
      <c r="C53" s="60">
        <f>B8*(B13+(B22+(0.5))*(B27+(-0.005)))+B9*B39*(1-B43)</f>
        <v/>
      </c>
      <c r="D53" s="60">
        <f>B8*(B13+(B22+(0.5))*(B27+(0.0)))+B9*B39*(1-B43)</f>
        <v/>
      </c>
      <c r="E53" s="60">
        <f>B8*(B13+(B22+(0.5))*(B27+(0.005)))+B9*B39*(1-B43)</f>
        <v/>
      </c>
      <c r="F53" s="60">
        <f>B8*(B13+(B22+(0.5))*(B27+(0.01)))+B9*B39*(1-B43)</f>
        <v/>
      </c>
    </row>
    <row r="54">
      <c r="A54" s="59" t="inlineStr">
        <is>
          <t>+1.0</t>
        </is>
      </c>
      <c r="B54" s="60">
        <f>B8*(B13+(B22+(1.0))*(B27+(-0.01)))+B9*B39*(1-B43)</f>
        <v/>
      </c>
      <c r="C54" s="60">
        <f>B8*(B13+(B22+(1.0))*(B27+(-0.005)))+B9*B39*(1-B43)</f>
        <v/>
      </c>
      <c r="D54" s="60">
        <f>B8*(B13+(B22+(1.0))*(B27+(0.0)))+B9*B39*(1-B43)</f>
        <v/>
      </c>
      <c r="E54" s="60">
        <f>B8*(B13+(B22+(1.0))*(B27+(0.005)))+B9*B39*(1-B43)</f>
        <v/>
      </c>
      <c r="F54" s="60">
        <f>B8*(B13+(B22+(1.0))*(B27+(0.01)))+B9*B39*(1-B43)</f>
        <v/>
      </c>
    </row>
  </sheetData>
  <mergeCells count="12">
    <mergeCell ref="A41:C41"/>
    <mergeCell ref="A11:C11"/>
    <mergeCell ref="A1:C1"/>
    <mergeCell ref="A45:C45"/>
    <mergeCell ref="A32:C32"/>
    <mergeCell ref="A21:C21"/>
    <mergeCell ref="A15:C15"/>
    <mergeCell ref="A4:C4"/>
    <mergeCell ref="A48:C48"/>
    <mergeCell ref="A24:C24"/>
    <mergeCell ref="A2:C2"/>
    <mergeCell ref="A29:C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INTC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4" t="inlineStr">
        <is>
          <t>Fiscal Year</t>
        </is>
      </c>
      <c r="B3" s="65" t="inlineStr">
        <is>
          <t>2021</t>
        </is>
      </c>
      <c r="C3" s="65" t="inlineStr">
        <is>
          <t>2022</t>
        </is>
      </c>
      <c r="D3" s="65" t="inlineStr">
        <is>
          <t>2023</t>
        </is>
      </c>
      <c r="E3" s="65" t="inlineStr">
        <is>
          <t>2024</t>
        </is>
      </c>
      <c r="F3" s="65" t="inlineStr">
        <is>
          <t>2025</t>
        </is>
      </c>
      <c r="G3" s="66" t="inlineStr">
        <is>
          <t>2026E</t>
        </is>
      </c>
      <c r="H3" s="66" t="inlineStr">
        <is>
          <t>2027E</t>
        </is>
      </c>
      <c r="I3" s="66" t="inlineStr">
        <is>
          <t>2028E</t>
        </is>
      </c>
      <c r="J3" s="66" t="inlineStr">
        <is>
          <t>2029E</t>
        </is>
      </c>
      <c r="K3" s="66" t="inlineStr">
        <is>
          <t>2030E</t>
        </is>
      </c>
      <c r="L3" s="67" t="inlineStr">
        <is>
          <t>Terminal</t>
        </is>
      </c>
      <c r="M3" s="64" t="inlineStr">
        <is>
          <t>Source / Notes</t>
        </is>
      </c>
    </row>
    <row r="4" ht="16" customHeight="1">
      <c r="A4" s="68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9" t="inlineStr">
        <is>
          <t>Revenue Growth %</t>
        </is>
      </c>
      <c r="B7" s="70" t="inlineStr">
        <is>
          <t>—</t>
        </is>
      </c>
      <c r="C7" s="71">
        <f>'P&amp;L'!C5/'P&amp;L'!B5-1</f>
        <v/>
      </c>
      <c r="D7" s="71">
        <f>'P&amp;L'!D5/'P&amp;L'!C5-1</f>
        <v/>
      </c>
      <c r="E7" s="71">
        <f>'P&amp;L'!E5/'P&amp;L'!D5-1</f>
        <v/>
      </c>
      <c r="F7" s="71">
        <f>'P&amp;L'!F5/'P&amp;L'!E5-1</f>
        <v/>
      </c>
      <c r="G7" s="72" t="n">
        <v>0.1038</v>
      </c>
      <c r="H7" s="72" t="n">
        <v>0.1067</v>
      </c>
      <c r="I7" s="72" t="n">
        <v>0.1048</v>
      </c>
      <c r="J7" s="73">
        <f>I7</f>
        <v/>
      </c>
      <c r="K7" s="73">
        <f>I7</f>
        <v/>
      </c>
      <c r="L7" s="74" t="n">
        <v>0.03</v>
      </c>
      <c r="M7" s="75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9" t="inlineStr">
        <is>
          <t>EBITDA Margin %</t>
        </is>
      </c>
      <c r="B8" s="71">
        <f>'P&amp;L'!B12/'P&amp;L'!B5</f>
        <v/>
      </c>
      <c r="C8" s="71">
        <f>'P&amp;L'!C12/'P&amp;L'!C5</f>
        <v/>
      </c>
      <c r="D8" s="71">
        <f>'P&amp;L'!D12/'P&amp;L'!D5</f>
        <v/>
      </c>
      <c r="E8" s="71">
        <f>'P&amp;L'!E12/'P&amp;L'!E5</f>
        <v/>
      </c>
      <c r="F8" s="71">
        <f>'P&amp;L'!F12/'P&amp;L'!F5</f>
        <v/>
      </c>
      <c r="G8" s="72" t="n">
        <v>0.2536</v>
      </c>
      <c r="H8" s="72" t="n">
        <v>0.2536</v>
      </c>
      <c r="I8" s="72" t="n">
        <v>0.2536</v>
      </c>
      <c r="J8" s="73">
        <f>I8</f>
        <v/>
      </c>
      <c r="K8" s="73">
        <f>I8</f>
        <v/>
      </c>
      <c r="L8" s="74" t="n">
        <v>0.2716</v>
      </c>
      <c r="M8" s="75" t="inlineStr">
        <is>
          <t>Yrs 1-3: FMP analyst consensus margin.  Yrs 4-5: = Yr 3 margin.  Terminal: long-run normalised EBITDA margin (user input).</t>
        </is>
      </c>
    </row>
    <row r="9" ht="20" customHeight="1">
      <c r="A9" s="69" t="inlineStr">
        <is>
          <t>D&amp;A as % of Revenue</t>
        </is>
      </c>
      <c r="B9" s="71">
        <f>'P&amp;L'!B14/'P&amp;L'!B5</f>
        <v/>
      </c>
      <c r="C9" s="71">
        <f>'P&amp;L'!C14/'P&amp;L'!C5</f>
        <v/>
      </c>
      <c r="D9" s="71">
        <f>'P&amp;L'!D14/'P&amp;L'!D5</f>
        <v/>
      </c>
      <c r="E9" s="71">
        <f>'P&amp;L'!E14/'P&amp;L'!E5</f>
        <v/>
      </c>
      <c r="F9" s="71">
        <f>'P&amp;L'!F14/'P&amp;L'!F5</f>
        <v/>
      </c>
      <c r="G9" s="73">
        <f>AVERAGE(B9:F9)</f>
        <v/>
      </c>
      <c r="H9" s="73">
        <f>G9</f>
        <v/>
      </c>
      <c r="I9" s="73">
        <f>G9</f>
        <v/>
      </c>
      <c r="J9" s="73">
        <f>G9</f>
        <v/>
      </c>
      <c r="K9" s="73">
        <f>G9</f>
        <v/>
      </c>
      <c r="L9" s="74">
        <f>G9</f>
        <v/>
      </c>
      <c r="M9" s="75" t="inlineStr">
        <is>
          <t>Historical linked from P&amp;L.  Yr 1 = avg of historicals; Yrs 2-5 &amp; terminal = Yr 1.</t>
        </is>
      </c>
    </row>
    <row r="10" ht="20" customHeight="1">
      <c r="A10" s="69" t="inlineStr">
        <is>
          <t>CapEx as % of Revenue</t>
        </is>
      </c>
      <c r="B10" s="71">
        <f>-'Cash Flow'!B6/'P&amp;L'!B5</f>
        <v/>
      </c>
      <c r="C10" s="71">
        <f>-'Cash Flow'!C6/'P&amp;L'!C5</f>
        <v/>
      </c>
      <c r="D10" s="71">
        <f>-'Cash Flow'!D6/'P&amp;L'!D5</f>
        <v/>
      </c>
      <c r="E10" s="71">
        <f>-'Cash Flow'!E6/'P&amp;L'!E5</f>
        <v/>
      </c>
      <c r="F10" s="71">
        <f>-'Cash Flow'!F6/'P&amp;L'!F5</f>
        <v/>
      </c>
      <c r="G10" s="73">
        <f>AVERAGE(B10:F10)</f>
        <v/>
      </c>
      <c r="H10" s="73">
        <f>G10</f>
        <v/>
      </c>
      <c r="I10" s="73">
        <f>G10</f>
        <v/>
      </c>
      <c r="J10" s="73">
        <f>G10</f>
        <v/>
      </c>
      <c r="K10" s="73">
        <f>G10</f>
        <v/>
      </c>
      <c r="L10" s="74">
        <f>G10</f>
        <v/>
      </c>
      <c r="M10" s="75" t="inlineStr">
        <is>
          <t>Historical linked from Cash Flow.  Yr 1 = avg of historicals; Yrs 2-5 &amp; terminal = Yr 1.</t>
        </is>
      </c>
    </row>
    <row r="11" ht="20" customHeight="1">
      <c r="A11" s="69" t="inlineStr">
        <is>
          <t>Change in NWC as % of Revenue</t>
        </is>
      </c>
      <c r="B11" s="70" t="inlineStr">
        <is>
          <t>—</t>
        </is>
      </c>
      <c r="C11" s="71">
        <f>(('Balance Sheet'!C9-'Balance Sheet'!C21)-('Balance Sheet'!B9-'Balance Sheet'!B21))/'P&amp;L'!C5</f>
        <v/>
      </c>
      <c r="D11" s="71">
        <f>(('Balance Sheet'!D9-'Balance Sheet'!D21)-('Balance Sheet'!C9-'Balance Sheet'!C21))/'P&amp;L'!D5</f>
        <v/>
      </c>
      <c r="E11" s="71">
        <f>(('Balance Sheet'!E9-'Balance Sheet'!E21)-('Balance Sheet'!D9-'Balance Sheet'!D21))/'P&amp;L'!E5</f>
        <v/>
      </c>
      <c r="F11" s="71">
        <f>(('Balance Sheet'!F9-'Balance Sheet'!F21)-('Balance Sheet'!E9-'Balance Sheet'!E21))/'P&amp;L'!F5</f>
        <v/>
      </c>
      <c r="G11" s="73">
        <f>MAX(-0.02,MIN(0.05,AVERAGE(C11:F11)))</f>
        <v/>
      </c>
      <c r="H11" s="73">
        <f>G11*4/5</f>
        <v/>
      </c>
      <c r="I11" s="73">
        <f>G11*3/5</f>
        <v/>
      </c>
      <c r="J11" s="73">
        <f>G11*2/5</f>
        <v/>
      </c>
      <c r="K11" s="73">
        <f>G11*1/5</f>
        <v/>
      </c>
      <c r="L11" s="74" t="n">
        <v>0</v>
      </c>
      <c r="M11" s="75" t="inlineStr">
        <is>
          <t>Yr 1 = clamped avg of historicals [-2%, +5%]. Yrs 2-5 fade linearly to 0. Terminal = 0 (steady-state: NWC tracks revenue).</t>
        </is>
      </c>
    </row>
    <row r="12" ht="20" customHeight="1">
      <c r="A12" s="69" t="inlineStr">
        <is>
          <t>Effective Tax Rate</t>
        </is>
      </c>
      <c r="B12" s="71">
        <f>IFERROR(MAX(0,MIN(0.5,'P&amp;L'!B22/'P&amp;L'!B21)),0)</f>
        <v/>
      </c>
      <c r="C12" s="71">
        <f>IFERROR(MAX(0,MIN(0.5,'P&amp;L'!C22/'P&amp;L'!C21)),0)</f>
        <v/>
      </c>
      <c r="D12" s="71">
        <f>IFERROR(MAX(0,MIN(0.5,'P&amp;L'!D22/'P&amp;L'!D21)),0)</f>
        <v/>
      </c>
      <c r="E12" s="71">
        <f>IFERROR(MAX(0,MIN(0.5,'P&amp;L'!E22/'P&amp;L'!E21)),0)</f>
        <v/>
      </c>
      <c r="F12" s="71">
        <f>IFERROR(MAX(0,MIN(0.5,'P&amp;L'!F22/'P&amp;L'!F21)),0)</f>
        <v/>
      </c>
      <c r="G12" s="73">
        <f>AVERAGE(B12:F12)</f>
        <v/>
      </c>
      <c r="H12" s="73">
        <f>G12</f>
        <v/>
      </c>
      <c r="I12" s="73">
        <f>G12</f>
        <v/>
      </c>
      <c r="J12" s="73">
        <f>G12</f>
        <v/>
      </c>
      <c r="K12" s="73">
        <f>G12</f>
        <v/>
      </c>
      <c r="L12" s="74">
        <f>G12</f>
        <v/>
      </c>
      <c r="M12" s="75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6" t="inlineStr">
        <is>
          <t>Revenue</t>
        </is>
      </c>
      <c r="B15" s="77">
        <f>'P&amp;L'!B5</f>
        <v/>
      </c>
      <c r="C15" s="77">
        <f>'P&amp;L'!C5</f>
        <v/>
      </c>
      <c r="D15" s="77">
        <f>'P&amp;L'!D5</f>
        <v/>
      </c>
      <c r="E15" s="77">
        <f>'P&amp;L'!E5</f>
        <v/>
      </c>
      <c r="F15" s="77">
        <f>'P&amp;L'!F5</f>
        <v/>
      </c>
      <c r="G15" s="78" t="n">
        <v>58341.5</v>
      </c>
      <c r="H15" s="78" t="n">
        <v>64566.6</v>
      </c>
      <c r="I15" s="78" t="n">
        <v>71330.7</v>
      </c>
      <c r="J15" s="79">
        <f>I15*(1+J7)</f>
        <v/>
      </c>
      <c r="K15" s="79">
        <f>J15*(1+K7)</f>
        <v/>
      </c>
      <c r="L15" s="80">
        <f>K15*(1+L7)</f>
        <v/>
      </c>
      <c r="M15" s="81" t="inlineStr">
        <is>
          <t>FMP consensus years: analyst revenue average ($mm).  Range: Low–High shown below.  User years: prior × (1+growth).</t>
        </is>
      </c>
    </row>
    <row r="16" ht="20" customHeight="1">
      <c r="A16" s="82" t="inlineStr">
        <is>
          <t xml:space="preserve">  Analyst Range:  Low — High  ($mm)</t>
        </is>
      </c>
      <c r="G16" s="83" t="inlineStr">
        <is>
          <t>53,957 — 60,271</t>
        </is>
      </c>
      <c r="H16" s="83" t="inlineStr">
        <is>
          <t>57,407 — 72,186</t>
        </is>
      </c>
      <c r="I16" s="83" t="inlineStr">
        <is>
          <t>71,278 — 71,383</t>
        </is>
      </c>
      <c r="J16" s="83" t="inlineStr">
        <is>
          <t>70,075 — 85,673</t>
        </is>
      </c>
      <c r="K16" s="83" t="inlineStr">
        <is>
          <t>97,636 — 119,369</t>
        </is>
      </c>
      <c r="L16" s="84" t="inlineStr">
        <is>
          <t>—</t>
        </is>
      </c>
      <c r="M16" s="81" t="inlineStr">
        <is>
          <t>Sell-side analyst low / high revenue estimates for consensus years</t>
        </is>
      </c>
    </row>
    <row r="17" ht="20" customHeight="1">
      <c r="A17" s="82" t="inlineStr">
        <is>
          <t xml:space="preserve">  Number of Analysts</t>
        </is>
      </c>
      <c r="G17" s="85" t="n">
        <v>31</v>
      </c>
      <c r="H17" s="85" t="n">
        <v>31</v>
      </c>
      <c r="I17" s="85" t="n">
        <v>21</v>
      </c>
      <c r="J17" s="85" t="n">
        <v>19</v>
      </c>
      <c r="K17" s="85" t="n">
        <v>10</v>
      </c>
      <c r="L17" s="84" t="inlineStr">
        <is>
          <t>—</t>
        </is>
      </c>
      <c r="M17" s="81" t="inlineStr">
        <is>
          <t>Red &lt; 5 analysts — treat estimate with caution.  Orange &lt; 10.</t>
        </is>
      </c>
    </row>
    <row r="18" ht="20" customHeight="1">
      <c r="A18" s="82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1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6" t="inlineStr">
        <is>
          <t>EBITDA</t>
        </is>
      </c>
      <c r="B20" s="77">
        <f>'P&amp;L'!B12</f>
        <v/>
      </c>
      <c r="C20" s="77">
        <f>'P&amp;L'!C12</f>
        <v/>
      </c>
      <c r="D20" s="77">
        <f>'P&amp;L'!D12</f>
        <v/>
      </c>
      <c r="E20" s="77">
        <f>'P&amp;L'!E12</f>
        <v/>
      </c>
      <c r="F20" s="77">
        <f>'P&amp;L'!F12</f>
        <v/>
      </c>
      <c r="G20" s="78" t="n">
        <v>14795.3</v>
      </c>
      <c r="H20" s="78" t="n">
        <v>16374</v>
      </c>
      <c r="I20" s="78" t="n">
        <v>18089.4</v>
      </c>
      <c r="J20" s="79">
        <f>J15*J8</f>
        <v/>
      </c>
      <c r="K20" s="79">
        <f>K15*K8</f>
        <v/>
      </c>
      <c r="L20" s="80">
        <f>L15*L8</f>
        <v/>
      </c>
      <c r="M20" s="81" t="inlineStr">
        <is>
          <t>FMP consensus years: analyst EBITDA average.  User years: Revenue × EBITDA margin assumption.</t>
        </is>
      </c>
    </row>
    <row r="21" ht="20" customHeight="1">
      <c r="A21" s="82" t="inlineStr">
        <is>
          <t xml:space="preserve">  Analyst Range:  Low — High  ($mm)</t>
        </is>
      </c>
      <c r="G21" s="83" t="inlineStr">
        <is>
          <t>13,683 — 15,285</t>
        </is>
      </c>
      <c r="H21" s="83" t="inlineStr">
        <is>
          <t>14,558 — 18,306</t>
        </is>
      </c>
      <c r="I21" s="83" t="inlineStr">
        <is>
          <t>18,076 — 18,103</t>
        </is>
      </c>
      <c r="J21" s="83" t="inlineStr">
        <is>
          <t>17,771 — 21,727</t>
        </is>
      </c>
      <c r="K21" s="83" t="inlineStr">
        <is>
          <t>24,760 — 30,272</t>
        </is>
      </c>
      <c r="L21" s="84" t="inlineStr">
        <is>
          <t>—</t>
        </is>
      </c>
      <c r="M21" s="81" t="inlineStr">
        <is>
          <t>Sell-side analyst low / high EBITDA estimates for consensus years</t>
        </is>
      </c>
    </row>
    <row r="22" ht="20" customHeight="1">
      <c r="A22" s="82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1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7">
        <f>-'P&amp;L'!B14</f>
        <v/>
      </c>
      <c r="C25" s="77">
        <f>-'P&amp;L'!C14</f>
        <v/>
      </c>
      <c r="D25" s="77">
        <f>-'P&amp;L'!D14</f>
        <v/>
      </c>
      <c r="E25" s="77">
        <f>-'P&amp;L'!E14</f>
        <v/>
      </c>
      <c r="F25" s="77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80">
        <f>-L15*L9</f>
        <v/>
      </c>
      <c r="M25" s="81">
        <f> Revenue × D&amp;A % assumption  (negative = P&amp;L charge)</f>
        <v/>
      </c>
    </row>
    <row r="26" ht="20" customHeight="1">
      <c r="A26" s="64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1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1">
        <f> EBIT × tax rate  (no interest tax shield — UFCF is pre-debt)</f>
        <v/>
      </c>
    </row>
    <row r="28" ht="20" customHeight="1">
      <c r="A28" s="76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1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1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7">
        <f>'Cash Flow'!B6</f>
        <v/>
      </c>
      <c r="C30" s="77">
        <f>'Cash Flow'!C6</f>
        <v/>
      </c>
      <c r="D30" s="77">
        <f>'Cash Flow'!D6</f>
        <v/>
      </c>
      <c r="E30" s="77">
        <f>'Cash Flow'!E6</f>
        <v/>
      </c>
      <c r="F30" s="77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1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1">
        <f> −Revenue × NWC%  (positive NWC% → cash outflow, reduces UFCF)</f>
        <v/>
      </c>
    </row>
    <row r="32" ht="20" customHeight="1">
      <c r="A32" s="76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1">
        <f> NOPAT + D&amp;A − CapEx − ΔNWC  (pre-debt, pre-interest free cash flow)</f>
        <v/>
      </c>
    </row>
    <row r="33" ht="20" customHeight="1">
      <c r="A33" s="82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1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9" t="inlineStr">
        <is>
          <t>WACC  (from WACC tab)</t>
        </is>
      </c>
      <c r="B36" s="98">
        <f>WACC!B46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5" t="inlineStr">
        <is>
          <t>Auto-linked from WACC tab selected output.  Override manually if needed.</t>
        </is>
      </c>
    </row>
    <row r="37" ht="20" customHeight="1">
      <c r="A37" s="69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5" t="inlineStr">
        <is>
          <t>Growth tier: LOW (-5.5% 3yr avg rev growth).  Bear 2.00% / Base 2.5% / Bull 3.00%.  Keep below WACC.</t>
        </is>
      </c>
    </row>
    <row r="38" ht="20" customHeight="1">
      <c r="A38" s="69" t="inlineStr">
        <is>
          <t>Terminal EV/EBITDA Multiple  (exit multiple method)</t>
        </is>
      </c>
      <c r="B38" s="101" t="n">
        <v>10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5" t="inlineStr">
        <is>
          <t>Growth tier: LOW (-5.5%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1" t="inlineStr">
        <is>
          <t>Cross-ref from Section 3 — terminal year UFCF (already grown by g in assumptions)</t>
        </is>
      </c>
    </row>
    <row r="41" ht="20" customHeight="1">
      <c r="A41" s="76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1" t="inlineStr">
        <is>
          <t>Sensitive to g — always cross-check vs Exit Multiple below</t>
        </is>
      </c>
    </row>
    <row r="42" ht="20" customHeight="1">
      <c r="A42" s="76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1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1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1">
        <f> 1 / (1 + WACC) ^ discount period</f>
        <v/>
      </c>
    </row>
    <row r="47" ht="20" customHeight="1">
      <c r="A47" s="76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1">
        <f> UFCF × discount factor</f>
        <v/>
      </c>
    </row>
    <row r="48" ht="20" customHeight="1">
      <c r="A48" s="64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1" t="inlineStr">
        <is>
          <t>Sum of 5 discounted annual FCFs</t>
        </is>
      </c>
    </row>
    <row r="49" ht="20" customHeight="1">
      <c r="A49" s="64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1" t="inlineStr">
        <is>
          <t>Terminal value × terminal-year discount factor</t>
        </is>
      </c>
    </row>
    <row r="50" ht="20" customHeight="1">
      <c r="A50" s="64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1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6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6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1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12079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1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4856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1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6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6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119.84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1" t="inlineStr">
        <is>
          <t>Auto-linked from FMP company profile — price</t>
        </is>
      </c>
    </row>
    <row r="62">
      <c r="A62" s="64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4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INTC  |  Master Prompt v2  |  24 May 2026  |  Sector bucket: Tech Growth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•  SOFT FLOOR CAP 87/100 applied — D/EBITDA 3.2x → −1.2 pts  |  EBIT/Interest 0.0x → −11.9 pts  (kicks in at D/EBITDA &gt; 3.0x or EBIT/Int &lt; 3.0x; smooth, no cliffs)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0.075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0.2</v>
      </c>
      <c r="D9" s="130" t="inlineStr">
        <is>
          <t>GM 34.8% ✗ (&gt;40%)  |  GM trend -7.8% ✗ (&gt;+1pp)  |  ROIC-WACC -13.1% ✗ (&gt;+5pp)  |  Rev consistency σ=8.2% ✗ (&lt;8%)  [0/4 indicators positive — proxy score]</t>
        </is>
      </c>
      <c r="E9" s="131" t="inlineStr">
        <is>
          <t>LOW</t>
        </is>
      </c>
      <c r="F9" s="132" t="n">
        <v>0</v>
      </c>
      <c r="G9" s="133">
        <f>IF(F9="",0,C9*F9*10)</f>
        <v/>
      </c>
      <c r="H9" s="134" t="inlineStr">
        <is>
          <t>GM 34.8% ✗ (&gt;40%)  |  GM trend -7.8% ✗ (&gt;+1pp)  |  ROIC-WACC -13.1% ✗ (&gt;+5pp)  |  Rev consistency σ=8.2% ✗ (&lt;8%)  [0/4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0.25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0.125</v>
      </c>
      <c r="D11" s="130" t="inlineStr">
        <is>
          <t>ROIC trend -1.7% ✓ (&gt;=-2pp)  |  GM maintained -7.8% ✗  |  Op margin -3.7% ✗ (≥-2pp)  |  Capital returns LOW ✗  |  Share count +4.6%/yr ✗ (≤+2%/yr)  |  Goodwill/Equity 21% ✓ (&lt;40%)  [2/6 indicators positive — proxy score]</t>
        </is>
      </c>
      <c r="E11" s="131" t="inlineStr">
        <is>
          <t>LOW</t>
        </is>
      </c>
      <c r="F11" s="132" t="n">
        <v>3.33</v>
      </c>
      <c r="G11" s="133">
        <f>IF(F11="",0,C11*F11*10)</f>
        <v/>
      </c>
      <c r="H11" s="134" t="inlineStr">
        <is>
          <t>ROIC trend -1.7% ✓ (&gt;=-2pp)  |  GM maintained -7.8% ✗  |  Op margin -3.7% ✗ (≥-2pp)  |  Capital returns LOW ✗  |  Share count +4.6%/yr ✗ (≤+2%/yr)  |  Goodwill/Equity 21% ✓ (&lt;40%)  [2/6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0.25</v>
      </c>
      <c r="D13" s="130" t="inlineStr">
        <is>
          <t>-5.7%</t>
        </is>
      </c>
      <c r="E13" s="131" t="inlineStr">
        <is>
          <t>LOW</t>
        </is>
      </c>
      <c r="F13" s="132" t="n">
        <v>0</v>
      </c>
      <c r="G13" s="133">
        <f>IF(F13="",0,C13*F13*10)</f>
        <v/>
      </c>
      <c r="H13" s="134" t="inlineStr">
        <is>
          <t>-5.7%</t>
        </is>
      </c>
    </row>
    <row r="14" ht="18" customHeight="1">
      <c r="A14" s="25" t="inlineStr">
        <is>
          <t>PART 3 — RISK PROFILE  (quantitative / qualitative)</t>
        </is>
      </c>
    </row>
    <row r="15" ht="18" customHeight="1">
      <c r="A15" s="127" t="inlineStr">
        <is>
          <t xml:space="preserve">  Credit Risk  (D / EBITDA)</t>
        </is>
      </c>
      <c r="B15" s="128" t="inlineStr">
        <is>
          <t>P3</t>
        </is>
      </c>
      <c r="C15" s="129" t="n">
        <v>0.05</v>
      </c>
      <c r="D15" s="130" t="inlineStr">
        <is>
          <t>3.2x</t>
        </is>
      </c>
      <c r="E15" s="135" t="inlineStr">
        <is>
          <t>MOD-LOW</t>
        </is>
      </c>
      <c r="F15" s="132" t="n">
        <v>3.68</v>
      </c>
      <c r="G15" s="133">
        <f>IF(F15="",0,C15*F15*10)</f>
        <v/>
      </c>
      <c r="H15" s="134" t="inlineStr">
        <is>
          <t>3.2x</t>
        </is>
      </c>
    </row>
    <row r="16" ht="18" customHeight="1">
      <c r="A16" s="127" t="inlineStr">
        <is>
          <t xml:space="preserve">  Execution Risk</t>
        </is>
      </c>
      <c r="B16" s="128" t="inlineStr">
        <is>
          <t>P3</t>
        </is>
      </c>
      <c r="C16" s="129" t="n">
        <v>0.05</v>
      </c>
      <c r="D16" s="130" t="inlineStr">
        <is>
          <t>Rev growth σ=8.2%  |  OM trend -24.6%, σ=10.9%  [quality = direction + stability]</t>
        </is>
      </c>
      <c r="E16" s="135" t="inlineStr">
        <is>
          <t>MOD-LOW</t>
        </is>
      </c>
      <c r="F16" s="132" t="n">
        <v>3.33</v>
      </c>
      <c r="G16" s="133">
        <f>IF(F16="",0,C16*F16*10)</f>
        <v/>
      </c>
      <c r="H16" s="134" t="inlineStr">
        <is>
          <t>Rev growth σ=8.2%  |  OM trend -24.6%, σ=10.9%  [quality = direction + stability]</t>
        </is>
      </c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</row>
    <row r="18" ht="20" customHeight="1">
      <c r="A18" s="136" t="inlineStr">
        <is>
          <t>TOTAL SCORE  (max = 100.0)</t>
        </is>
      </c>
      <c r="B18" s="137" t="n"/>
      <c r="C18" s="137" t="n"/>
      <c r="D18" s="137" t="n"/>
      <c r="E18" s="137" t="n"/>
      <c r="F18" s="137" t="n"/>
      <c r="G18" s="138">
        <f>G8+G9+G10+G11+G13+G15+G16</f>
        <v/>
      </c>
      <c r="H18" s="139" t="inlineStr">
        <is>
          <t>Floor cap 86.9 applies — see gate warning above.</t>
        </is>
      </c>
    </row>
    <row r="19" ht="18" customHeight="1">
      <c r="A19" s="140" t="inlineStr">
        <is>
          <t>FLOOR-ADJUSTED SCORE  (capped at 86.9)</t>
        </is>
      </c>
      <c r="B19" s="141" t="n"/>
      <c r="C19" s="141" t="n"/>
      <c r="D19" s="141" t="n"/>
      <c r="E19" s="141" t="n"/>
      <c r="F19" s="141" t="n"/>
      <c r="G19" s="142">
        <f>MIN(G18,86.9)</f>
        <v/>
      </c>
      <c r="H19" s="141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</row>
    <row r="21" ht="24" customHeight="1">
      <c r="A21" s="143">
        <f>IF(G19="","Score incomplete — fill qualitative tiers above",IF(G19&gt;=80,"STRONG BUY",IF(G19&gt;=65,"BUY",IF(G19&gt;=50,"HOLD",IF(G19&gt;=35,"REDUCE","SELL")))))</f>
        <v/>
      </c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</row>
    <row r="23" ht="18" customHeight="1">
      <c r="A23" s="144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8">
    <mergeCell ref="A12:H12"/>
    <mergeCell ref="A4:H4"/>
    <mergeCell ref="A21:H21"/>
    <mergeCell ref="A7:H7"/>
    <mergeCell ref="A2:H2"/>
    <mergeCell ref="A14:H14"/>
    <mergeCell ref="A1:H1"/>
    <mergeCell ref="A23:H23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2026-05-24T11:26:43Z</dcterms:created>
  <dcterms:modified xmlns:dcterms="http://purl.org/dc/terms/" xmlns:xsi="http://www.w3.org/2001/XMLSchema-instance" xsi:type="dcterms:W3CDTF">2026-05-24T11:27:10Z</dcterms:modified>
</cp:coreProperties>
</file>