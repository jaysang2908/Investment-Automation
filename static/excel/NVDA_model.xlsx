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NVDA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215938</v>
      </c>
    </row>
    <row r="8">
      <c r="A8" s="3" t="inlineStr">
        <is>
          <t>Gross Profit ($mm)</t>
        </is>
      </c>
      <c r="B8" s="7" t="n">
        <v>153463</v>
      </c>
    </row>
    <row r="9">
      <c r="A9" s="3" t="inlineStr">
        <is>
          <t>EBITDA ($mm)</t>
        </is>
      </c>
      <c r="B9" s="7" t="n">
        <v>144552</v>
      </c>
    </row>
    <row r="10">
      <c r="A10" s="3" t="inlineStr">
        <is>
          <t>EBIT ($mm)</t>
        </is>
      </c>
      <c r="B10" s="7" t="n">
        <v>130387</v>
      </c>
    </row>
    <row r="11">
      <c r="A11" s="3" t="inlineStr">
        <is>
          <t>Net Income ($mm)</t>
        </is>
      </c>
      <c r="B11" s="7" t="n">
        <v>120067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26914</v>
      </c>
      <c r="C5" s="16" t="n">
        <v>26974</v>
      </c>
      <c r="D5" s="16" t="n">
        <v>60922</v>
      </c>
      <c r="E5" s="16" t="n">
        <v>130497</v>
      </c>
      <c r="F5" s="16" t="n">
        <v>215938</v>
      </c>
    </row>
    <row r="6">
      <c r="A6" s="17" t="inlineStr">
        <is>
          <t>(2)  Cost of Revenue (COGS)</t>
        </is>
      </c>
      <c r="B6" s="18" t="n">
        <v>9439</v>
      </c>
      <c r="C6" s="18" t="n">
        <v>11618</v>
      </c>
      <c r="D6" s="18" t="n">
        <v>16621</v>
      </c>
      <c r="E6" s="18" t="n">
        <v>32639</v>
      </c>
      <c r="F6" s="18" t="n">
        <v>62475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2166</v>
      </c>
      <c r="C9" s="18" t="n">
        <v>2440</v>
      </c>
      <c r="D9" s="18" t="n">
        <v>2654</v>
      </c>
      <c r="E9" s="18" t="n">
        <v>3491</v>
      </c>
      <c r="F9" s="18" t="n">
        <v>4579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7434</v>
      </c>
      <c r="C11" s="18" t="n">
        <v>11132</v>
      </c>
      <c r="D11" s="18" t="n">
        <v>11329</v>
      </c>
      <c r="E11" s="18" t="n">
        <v>16405</v>
      </c>
      <c r="F11" s="18" t="n">
        <v>23076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1174</v>
      </c>
      <c r="C14" s="18" t="n">
        <v>1543</v>
      </c>
      <c r="D14" s="18" t="n">
        <v>1508</v>
      </c>
      <c r="E14" s="18" t="n">
        <v>1864</v>
      </c>
      <c r="F14" s="18" t="n">
        <v>2843</v>
      </c>
    </row>
    <row r="15">
      <c r="A15" s="19" t="inlineStr">
        <is>
          <t>(8)  EBIT (Operating Income)</t>
        </is>
      </c>
      <c r="B15" s="24" t="n">
        <v>10041</v>
      </c>
      <c r="C15" s="24" t="n">
        <v>4224</v>
      </c>
      <c r="D15" s="24" t="n">
        <v>32972</v>
      </c>
      <c r="E15" s="24" t="n">
        <v>81453</v>
      </c>
      <c r="F15" s="24" t="n">
        <v>130387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236</v>
      </c>
      <c r="C17" s="18" t="n">
        <v>262</v>
      </c>
      <c r="D17" s="18" t="n">
        <v>257</v>
      </c>
      <c r="E17" s="18" t="n">
        <v>247</v>
      </c>
      <c r="F17" s="18" t="n">
        <v>259</v>
      </c>
    </row>
    <row r="18">
      <c r="A18" s="21" t="inlineStr">
        <is>
          <t xml:space="preserve">     Interest Income</t>
        </is>
      </c>
      <c r="B18" s="18" t="n">
        <v>29</v>
      </c>
      <c r="C18" s="18" t="n">
        <v>267</v>
      </c>
      <c r="D18" s="18" t="n">
        <v>866</v>
      </c>
      <c r="E18" s="18" t="n">
        <v>1786</v>
      </c>
      <c r="F18" s="18" t="n">
        <v>2300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9941</v>
      </c>
      <c r="C21" s="24" t="n">
        <v>4181</v>
      </c>
      <c r="D21" s="24" t="n">
        <v>33818</v>
      </c>
      <c r="E21" s="24" t="n">
        <v>84026</v>
      </c>
      <c r="F21" s="24" t="n">
        <v>141450</v>
      </c>
    </row>
    <row r="22">
      <c r="A22" s="17" t="inlineStr">
        <is>
          <t>(11) Income Tax Expense</t>
        </is>
      </c>
      <c r="B22" s="18" t="n">
        <v>189</v>
      </c>
      <c r="C22" s="18" t="n">
        <v>-187</v>
      </c>
      <c r="D22" s="18" t="n">
        <v>4058</v>
      </c>
      <c r="E22" s="18" t="n">
        <v>11146</v>
      </c>
      <c r="F22" s="18" t="n">
        <v>21383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9752</v>
      </c>
      <c r="C24" s="24" t="n">
        <v>4368</v>
      </c>
      <c r="D24" s="24" t="n">
        <v>29760</v>
      </c>
      <c r="E24" s="24" t="n">
        <v>72880</v>
      </c>
      <c r="F24" s="24" t="n">
        <v>120067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26914</v>
      </c>
      <c r="C30" s="16" t="n">
        <v>26974</v>
      </c>
      <c r="D30" s="16" t="n">
        <v>60922</v>
      </c>
      <c r="E30" s="16" t="n">
        <v>130497</v>
      </c>
      <c r="F30" s="16" t="n">
        <v>215938</v>
      </c>
    </row>
    <row r="31">
      <c r="A31" s="17" t="inlineStr">
        <is>
          <t>Cost of Revenue</t>
        </is>
      </c>
      <c r="B31" s="18" t="n">
        <v>9439</v>
      </c>
      <c r="C31" s="18" t="n">
        <v>11618</v>
      </c>
      <c r="D31" s="18" t="n">
        <v>16621</v>
      </c>
      <c r="E31" s="18" t="n">
        <v>32639</v>
      </c>
      <c r="F31" s="18" t="n">
        <v>62475</v>
      </c>
    </row>
    <row r="32">
      <c r="A32" s="26" t="inlineStr">
        <is>
          <t>Gross Profit</t>
        </is>
      </c>
      <c r="B32" s="27" t="n">
        <v>17475</v>
      </c>
      <c r="C32" s="27" t="n">
        <v>15356</v>
      </c>
      <c r="D32" s="27" t="n">
        <v>44301</v>
      </c>
      <c r="E32" s="27" t="n">
        <v>97858</v>
      </c>
      <c r="F32" s="27" t="n">
        <v>153463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5268</v>
      </c>
      <c r="C34" s="18" t="n">
        <v>7339</v>
      </c>
      <c r="D34" s="18" t="n">
        <v>8675</v>
      </c>
      <c r="E34" s="18" t="n">
        <v>12914</v>
      </c>
      <c r="F34" s="18" t="n">
        <v>18497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2166</v>
      </c>
      <c r="C37" s="18" t="n">
        <v>2440</v>
      </c>
      <c r="D37" s="18" t="n">
        <v>2654</v>
      </c>
      <c r="E37" s="18" t="n">
        <v>3491</v>
      </c>
      <c r="F37" s="18" t="n">
        <v>4579</v>
      </c>
    </row>
    <row r="38">
      <c r="A38" s="17" t="inlineStr">
        <is>
          <t>Other Expenses</t>
        </is>
      </c>
      <c r="B38" s="18" t="n">
        <v>0</v>
      </c>
      <c r="C38" s="18" t="n">
        <v>1353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7434</v>
      </c>
      <c r="C39" s="27" t="n">
        <v>11132</v>
      </c>
      <c r="D39" s="27" t="n">
        <v>11329</v>
      </c>
      <c r="E39" s="27" t="n">
        <v>16405</v>
      </c>
      <c r="F39" s="27" t="n">
        <v>23076</v>
      </c>
    </row>
    <row r="40">
      <c r="A40" s="17" t="inlineStr">
        <is>
          <t>Cost &amp; Expenses (COGS + Opex)</t>
        </is>
      </c>
      <c r="B40" s="18" t="n">
        <v>16873</v>
      </c>
      <c r="C40" s="18" t="n">
        <v>22750</v>
      </c>
      <c r="D40" s="18" t="n">
        <v>27950</v>
      </c>
      <c r="E40" s="18" t="n">
        <v>49044</v>
      </c>
      <c r="F40" s="18" t="n">
        <v>85551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10041</v>
      </c>
      <c r="C42" s="16" t="n">
        <v>4224</v>
      </c>
      <c r="D42" s="16" t="n">
        <v>32972</v>
      </c>
      <c r="E42" s="16" t="n">
        <v>81453</v>
      </c>
      <c r="F42" s="16" t="n">
        <v>130387</v>
      </c>
    </row>
    <row r="43">
      <c r="A43" s="17" t="inlineStr">
        <is>
          <t>EBIT (FMP field)</t>
        </is>
      </c>
      <c r="B43" s="18" t="n">
        <v>10177</v>
      </c>
      <c r="C43" s="18" t="n">
        <v>4443</v>
      </c>
      <c r="D43" s="18" t="n">
        <v>34075</v>
      </c>
      <c r="E43" s="18" t="n">
        <v>84273</v>
      </c>
      <c r="F43" s="18" t="n">
        <v>141709</v>
      </c>
    </row>
    <row r="44">
      <c r="A44" s="26" t="inlineStr">
        <is>
          <t>EBITDA</t>
        </is>
      </c>
      <c r="B44" s="27" t="n">
        <v>11351</v>
      </c>
      <c r="C44" s="27" t="n">
        <v>5986</v>
      </c>
      <c r="D44" s="27" t="n">
        <v>35583</v>
      </c>
      <c r="E44" s="27" t="n">
        <v>86137</v>
      </c>
      <c r="F44" s="27" t="n">
        <v>144552</v>
      </c>
    </row>
    <row r="45">
      <c r="A45" s="17" t="inlineStr">
        <is>
          <t>Depreciation &amp; Amortisation</t>
        </is>
      </c>
      <c r="B45" s="18" t="n">
        <v>1174</v>
      </c>
      <c r="C45" s="18" t="n">
        <v>1543</v>
      </c>
      <c r="D45" s="18" t="n">
        <v>1508</v>
      </c>
      <c r="E45" s="18" t="n">
        <v>1864</v>
      </c>
      <c r="F45" s="18" t="n">
        <v>2843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29</v>
      </c>
      <c r="C47" s="18" t="n">
        <v>267</v>
      </c>
      <c r="D47" s="18" t="n">
        <v>866</v>
      </c>
      <c r="E47" s="18" t="n">
        <v>1786</v>
      </c>
      <c r="F47" s="18" t="n">
        <v>2300</v>
      </c>
    </row>
    <row r="48">
      <c r="A48" s="17" t="inlineStr">
        <is>
          <t>Interest Expense</t>
        </is>
      </c>
      <c r="B48" s="18" t="n">
        <v>236</v>
      </c>
      <c r="C48" s="18" t="n">
        <v>262</v>
      </c>
      <c r="D48" s="18" t="n">
        <v>257</v>
      </c>
      <c r="E48" s="18" t="n">
        <v>247</v>
      </c>
      <c r="F48" s="18" t="n">
        <v>259</v>
      </c>
    </row>
    <row r="49">
      <c r="A49" s="17" t="inlineStr">
        <is>
          <t>Net Interest Income</t>
        </is>
      </c>
      <c r="B49" s="18" t="n">
        <v>-207</v>
      </c>
      <c r="C49" s="18" t="n">
        <v>5</v>
      </c>
      <c r="D49" s="18" t="n">
        <v>609</v>
      </c>
      <c r="E49" s="18" t="n">
        <v>1539</v>
      </c>
      <c r="F49" s="18" t="n">
        <v>2041</v>
      </c>
    </row>
    <row r="50">
      <c r="A50" s="17" t="inlineStr">
        <is>
          <t>Non-Operating Income (ex-interest)</t>
        </is>
      </c>
      <c r="B50" s="18" t="n">
        <v>-136</v>
      </c>
      <c r="C50" s="18" t="n">
        <v>-219</v>
      </c>
      <c r="D50" s="18" t="n">
        <v>-1103</v>
      </c>
      <c r="E50" s="18" t="n">
        <v>-2820</v>
      </c>
      <c r="F50" s="18" t="n">
        <v>-11322</v>
      </c>
    </row>
    <row r="51">
      <c r="A51" s="17" t="inlineStr">
        <is>
          <t>Total Other Income / (Expenses)</t>
        </is>
      </c>
      <c r="B51" s="18" t="n">
        <v>-100</v>
      </c>
      <c r="C51" s="18" t="n">
        <v>-43</v>
      </c>
      <c r="D51" s="18" t="n">
        <v>846</v>
      </c>
      <c r="E51" s="18" t="n">
        <v>2573</v>
      </c>
      <c r="F51" s="18" t="n">
        <v>11063</v>
      </c>
    </row>
    <row r="52">
      <c r="A52" s="26" t="inlineStr">
        <is>
          <t>EBT / Income Before Tax</t>
        </is>
      </c>
      <c r="B52" s="27" t="n">
        <v>9941</v>
      </c>
      <c r="C52" s="27" t="n">
        <v>4181</v>
      </c>
      <c r="D52" s="27" t="n">
        <v>33818</v>
      </c>
      <c r="E52" s="27" t="n">
        <v>84026</v>
      </c>
      <c r="F52" s="27" t="n">
        <v>141450</v>
      </c>
    </row>
    <row r="53">
      <c r="A53" s="17" t="inlineStr">
        <is>
          <t>Income Tax Expense</t>
        </is>
      </c>
      <c r="B53" s="18" t="n">
        <v>189</v>
      </c>
      <c r="C53" s="18" t="n">
        <v>-187</v>
      </c>
      <c r="D53" s="18" t="n">
        <v>4058</v>
      </c>
      <c r="E53" s="18" t="n">
        <v>11146</v>
      </c>
      <c r="F53" s="18" t="n">
        <v>21383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9752</v>
      </c>
      <c r="C55" s="18" t="n">
        <v>4368</v>
      </c>
      <c r="D55" s="18" t="n">
        <v>29760</v>
      </c>
      <c r="E55" s="18" t="n">
        <v>72880</v>
      </c>
      <c r="F55" s="18" t="n">
        <v>120067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9752</v>
      </c>
      <c r="C59" s="27" t="n">
        <v>4368</v>
      </c>
      <c r="D59" s="27" t="n">
        <v>29760</v>
      </c>
      <c r="E59" s="27" t="n">
        <v>72880</v>
      </c>
      <c r="F59" s="27" t="n">
        <v>120067</v>
      </c>
    </row>
    <row r="60">
      <c r="A60" s="15" t="inlineStr">
        <is>
          <t>Bottom Line Net Income</t>
        </is>
      </c>
      <c r="B60" s="16" t="n">
        <v>9752</v>
      </c>
      <c r="C60" s="16" t="n">
        <v>4368</v>
      </c>
      <c r="D60" s="16" t="n">
        <v>29760</v>
      </c>
      <c r="E60" s="16" t="n">
        <v>72880</v>
      </c>
      <c r="F60" s="16" t="n">
        <v>120067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0.39</v>
      </c>
      <c r="C62" s="18" t="n">
        <v>0.18</v>
      </c>
      <c r="D62" s="18" t="n">
        <v>1.21</v>
      </c>
      <c r="E62" s="18" t="n">
        <v>2.97</v>
      </c>
      <c r="F62" s="18" t="n">
        <v>4.93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24960</v>
      </c>
      <c r="C64" s="18" t="n">
        <v>24870</v>
      </c>
      <c r="D64" s="18" t="n">
        <v>24690</v>
      </c>
      <c r="E64" s="18" t="n">
        <v>24555</v>
      </c>
      <c r="F64" s="18" t="n">
        <v>24359</v>
      </c>
    </row>
    <row r="65">
      <c r="A65" s="17" t="inlineStr">
        <is>
          <t>Shares Outstanding — Diluted (mm)</t>
        </is>
      </c>
      <c r="B65" s="18" t="n">
        <v>25350</v>
      </c>
      <c r="C65" s="18" t="n">
        <v>25070</v>
      </c>
      <c r="D65" s="18" t="n">
        <v>24940</v>
      </c>
      <c r="E65" s="18" t="n">
        <v>24804</v>
      </c>
      <c r="F65" s="18" t="n">
        <v>24514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1990</v>
      </c>
      <c r="C5" s="18" t="n">
        <v>3389</v>
      </c>
      <c r="D5" s="18" t="n">
        <v>7280</v>
      </c>
      <c r="E5" s="18" t="n">
        <v>8589</v>
      </c>
      <c r="F5" s="18" t="n">
        <v>10605</v>
      </c>
    </row>
    <row r="6">
      <c r="A6" s="17" t="inlineStr">
        <is>
          <t>(2)  Receivables</t>
        </is>
      </c>
      <c r="B6" s="18" t="n">
        <v>4650</v>
      </c>
      <c r="C6" s="18" t="n">
        <v>3827</v>
      </c>
      <c r="D6" s="18" t="n">
        <v>9999</v>
      </c>
      <c r="E6" s="18" t="n">
        <v>23065</v>
      </c>
      <c r="F6" s="18" t="n">
        <v>38466</v>
      </c>
    </row>
    <row r="7">
      <c r="A7" s="17" t="inlineStr">
        <is>
          <t>(3)  Inventory</t>
        </is>
      </c>
      <c r="B7" s="18" t="n">
        <v>2605</v>
      </c>
      <c r="C7" s="18" t="n">
        <v>5159</v>
      </c>
      <c r="D7" s="18" t="n">
        <v>5282</v>
      </c>
      <c r="E7" s="18" t="n">
        <v>10080</v>
      </c>
      <c r="F7" s="18" t="n">
        <v>21403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28829</v>
      </c>
      <c r="C9" s="24" t="n">
        <v>23073</v>
      </c>
      <c r="D9" s="24" t="n">
        <v>44345</v>
      </c>
      <c r="E9" s="24" t="n">
        <v>80126</v>
      </c>
      <c r="F9" s="24" t="n">
        <v>125605</v>
      </c>
    </row>
    <row r="10">
      <c r="A10" s="17" t="inlineStr">
        <is>
          <t>(6)  PP&amp;E (Net)</t>
        </is>
      </c>
      <c r="B10" s="18" t="n">
        <v>3607</v>
      </c>
      <c r="C10" s="18" t="n">
        <v>4845</v>
      </c>
      <c r="D10" s="18" t="n">
        <v>5260</v>
      </c>
      <c r="E10" s="18" t="n">
        <v>8076</v>
      </c>
      <c r="F10" s="18" t="n">
        <v>13250</v>
      </c>
    </row>
    <row r="11">
      <c r="A11" s="17" t="inlineStr">
        <is>
          <t>(7)  Goodwill</t>
        </is>
      </c>
      <c r="B11" s="18" t="n">
        <v>4349</v>
      </c>
      <c r="C11" s="18" t="n">
        <v>4372</v>
      </c>
      <c r="D11" s="18" t="n">
        <v>4430</v>
      </c>
      <c r="E11" s="18" t="n">
        <v>5188</v>
      </c>
      <c r="F11" s="18" t="n">
        <v>20832</v>
      </c>
    </row>
    <row r="12">
      <c r="A12" s="17" t="inlineStr">
        <is>
          <t>(8)  Deferred Tax Assets</t>
        </is>
      </c>
      <c r="B12" s="18" t="n">
        <v>1222</v>
      </c>
      <c r="C12" s="18" t="n">
        <v>3396</v>
      </c>
      <c r="D12" s="18" t="n">
        <v>6081</v>
      </c>
      <c r="E12" s="18" t="n">
        <v>10979</v>
      </c>
      <c r="F12" s="18" t="n">
        <v>13258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15358</v>
      </c>
      <c r="C14" s="24" t="n">
        <v>18109</v>
      </c>
      <c r="D14" s="24" t="n">
        <v>21383</v>
      </c>
      <c r="E14" s="24" t="n">
        <v>31475</v>
      </c>
      <c r="F14" s="24" t="n">
        <v>81198</v>
      </c>
    </row>
    <row r="15">
      <c r="A15" s="19" t="inlineStr">
        <is>
          <t>(11) Total Assets</t>
        </is>
      </c>
      <c r="B15" s="24" t="n">
        <v>44187</v>
      </c>
      <c r="C15" s="24" t="n">
        <v>41182</v>
      </c>
      <c r="D15" s="24" t="n">
        <v>65728</v>
      </c>
      <c r="E15" s="24" t="n">
        <v>111601</v>
      </c>
      <c r="F15" s="24" t="n">
        <v>206803</v>
      </c>
    </row>
    <row r="16" ht="6" customHeight="1"/>
    <row r="17">
      <c r="A17" s="17" t="inlineStr">
        <is>
          <t>(12) Accounts Payable</t>
        </is>
      </c>
      <c r="B17" s="18" t="n">
        <v>1783</v>
      </c>
      <c r="C17" s="18" t="n">
        <v>1193</v>
      </c>
      <c r="D17" s="18" t="n">
        <v>2699</v>
      </c>
      <c r="E17" s="18" t="n">
        <v>6310</v>
      </c>
      <c r="F17" s="18" t="n">
        <v>9812</v>
      </c>
    </row>
    <row r="18">
      <c r="A18" s="17" t="inlineStr">
        <is>
          <t>(13) Short-Term Borrowings</t>
        </is>
      </c>
      <c r="B18" s="18" t="n">
        <v>0</v>
      </c>
      <c r="C18" s="18" t="n">
        <v>1250</v>
      </c>
      <c r="D18" s="18" t="n">
        <v>1250</v>
      </c>
      <c r="E18" s="18" t="n">
        <v>0</v>
      </c>
      <c r="F18" s="18" t="n">
        <v>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4335</v>
      </c>
      <c r="C21" s="24" t="n">
        <v>6563</v>
      </c>
      <c r="D21" s="24" t="n">
        <v>10631</v>
      </c>
      <c r="E21" s="24" t="n">
        <v>18047</v>
      </c>
      <c r="F21" s="24" t="n">
        <v>32163</v>
      </c>
    </row>
    <row r="22">
      <c r="A22" s="17" t="inlineStr">
        <is>
          <t>(17) Long-Term Debt</t>
        </is>
      </c>
      <c r="B22" s="18" t="n">
        <v>10946</v>
      </c>
      <c r="C22" s="18" t="n">
        <v>9703</v>
      </c>
      <c r="D22" s="18" t="n">
        <v>8459</v>
      </c>
      <c r="E22" s="18" t="n">
        <v>8463</v>
      </c>
      <c r="F22" s="18" t="n">
        <v>7469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17575</v>
      </c>
      <c r="C25" s="24" t="n">
        <v>19081</v>
      </c>
      <c r="D25" s="24" t="n">
        <v>22750</v>
      </c>
      <c r="E25" s="24" t="n">
        <v>32274</v>
      </c>
      <c r="F25" s="24" t="n">
        <v>49510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2</v>
      </c>
      <c r="D27" s="18" t="n">
        <v>25</v>
      </c>
      <c r="E27" s="18" t="n">
        <v>24</v>
      </c>
      <c r="F27" s="18" t="n">
        <v>24</v>
      </c>
    </row>
    <row r="28">
      <c r="A28" s="17" t="inlineStr">
        <is>
          <t>(22) Retained Earnings</t>
        </is>
      </c>
      <c r="B28" s="18" t="n">
        <v>16235</v>
      </c>
      <c r="C28" s="18" t="n">
        <v>10171</v>
      </c>
      <c r="D28" s="18" t="n">
        <v>29817</v>
      </c>
      <c r="E28" s="18" t="n">
        <v>68038</v>
      </c>
      <c r="F28" s="18" t="n">
        <v>146973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26612</v>
      </c>
      <c r="C30" s="24" t="n">
        <v>22101</v>
      </c>
      <c r="D30" s="24" t="n">
        <v>42978</v>
      </c>
      <c r="E30" s="24" t="n">
        <v>79327</v>
      </c>
      <c r="F30" s="24" t="n">
        <v>157293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1990</v>
      </c>
      <c r="C36" s="18" t="n">
        <v>3389</v>
      </c>
      <c r="D36" s="18" t="n">
        <v>7280</v>
      </c>
      <c r="E36" s="18" t="n">
        <v>8589</v>
      </c>
      <c r="F36" s="18" t="n">
        <v>10605</v>
      </c>
    </row>
    <row r="37">
      <c r="A37" s="17" t="inlineStr">
        <is>
          <t>Short-Term Investments</t>
        </is>
      </c>
      <c r="B37" s="18" t="n">
        <v>19218</v>
      </c>
      <c r="C37" s="18" t="n">
        <v>9907</v>
      </c>
      <c r="D37" s="18" t="n">
        <v>18704</v>
      </c>
      <c r="E37" s="18" t="n">
        <v>34621</v>
      </c>
      <c r="F37" s="18" t="n">
        <v>51951</v>
      </c>
    </row>
    <row r="38">
      <c r="A38" s="28" t="inlineStr">
        <is>
          <t>Cash &amp; Short-Term Investments</t>
        </is>
      </c>
      <c r="B38" s="29" t="n">
        <v>21208</v>
      </c>
      <c r="C38" s="29" t="n">
        <v>13296</v>
      </c>
      <c r="D38" s="29" t="n">
        <v>25984</v>
      </c>
      <c r="E38" s="29" t="n">
        <v>43210</v>
      </c>
      <c r="F38" s="29" t="n">
        <v>62556</v>
      </c>
    </row>
    <row r="39">
      <c r="A39" s="17" t="inlineStr">
        <is>
          <t>Accounts Receivable (Trade)</t>
        </is>
      </c>
      <c r="B39" s="18" t="n">
        <v>4650</v>
      </c>
      <c r="C39" s="18" t="n">
        <v>3827</v>
      </c>
      <c r="D39" s="18" t="n">
        <v>9999</v>
      </c>
      <c r="E39" s="18" t="n">
        <v>23065</v>
      </c>
      <c r="F39" s="18" t="n">
        <v>38466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4650</v>
      </c>
      <c r="C41" s="29" t="n">
        <v>3827</v>
      </c>
      <c r="D41" s="29" t="n">
        <v>9999</v>
      </c>
      <c r="E41" s="29" t="n">
        <v>23065</v>
      </c>
      <c r="F41" s="29" t="n">
        <v>38466</v>
      </c>
    </row>
    <row r="42">
      <c r="A42" s="17" t="inlineStr">
        <is>
          <t>Inventory</t>
        </is>
      </c>
      <c r="B42" s="18" t="n">
        <v>2605</v>
      </c>
      <c r="C42" s="18" t="n">
        <v>5159</v>
      </c>
      <c r="D42" s="18" t="n">
        <v>5282</v>
      </c>
      <c r="E42" s="18" t="n">
        <v>10080</v>
      </c>
      <c r="F42" s="18" t="n">
        <v>21403</v>
      </c>
    </row>
    <row r="43">
      <c r="A43" s="17" t="inlineStr">
        <is>
          <t>Prepaids</t>
        </is>
      </c>
      <c r="B43" s="18" t="n">
        <v>366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791</v>
      </c>
      <c r="D44" s="18" t="n">
        <v>3080</v>
      </c>
      <c r="E44" s="18" t="n">
        <v>3771</v>
      </c>
      <c r="F44" s="18" t="n">
        <v>3180</v>
      </c>
    </row>
    <row r="45">
      <c r="A45" s="26" t="inlineStr">
        <is>
          <t>Total Current Assets</t>
        </is>
      </c>
      <c r="B45" s="27" t="n">
        <v>28829</v>
      </c>
      <c r="C45" s="27" t="n">
        <v>23073</v>
      </c>
      <c r="D45" s="27" t="n">
        <v>44345</v>
      </c>
      <c r="E45" s="27" t="n">
        <v>80126</v>
      </c>
      <c r="F45" s="27" t="n">
        <v>125605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3607</v>
      </c>
      <c r="C47" s="18" t="n">
        <v>4845</v>
      </c>
      <c r="D47" s="18" t="n">
        <v>5260</v>
      </c>
      <c r="E47" s="18" t="n">
        <v>8076</v>
      </c>
      <c r="F47" s="18" t="n">
        <v>13250</v>
      </c>
    </row>
    <row r="48">
      <c r="A48" s="17" t="inlineStr">
        <is>
          <t>Goodwill</t>
        </is>
      </c>
      <c r="B48" s="18" t="n">
        <v>4349</v>
      </c>
      <c r="C48" s="18" t="n">
        <v>4372</v>
      </c>
      <c r="D48" s="18" t="n">
        <v>4430</v>
      </c>
      <c r="E48" s="18" t="n">
        <v>5188</v>
      </c>
      <c r="F48" s="18" t="n">
        <v>20832</v>
      </c>
    </row>
    <row r="49">
      <c r="A49" s="17" t="inlineStr">
        <is>
          <t>Intangible Assets</t>
        </is>
      </c>
      <c r="B49" s="18" t="n">
        <v>2339</v>
      </c>
      <c r="C49" s="18" t="n">
        <v>1676</v>
      </c>
      <c r="D49" s="18" t="n">
        <v>1112</v>
      </c>
      <c r="E49" s="18" t="n">
        <v>807</v>
      </c>
      <c r="F49" s="18" t="n">
        <v>3306</v>
      </c>
    </row>
    <row r="50">
      <c r="A50" s="17" t="inlineStr">
        <is>
          <t>Long-Term Investments</t>
        </is>
      </c>
      <c r="B50" s="18" t="n">
        <v>266</v>
      </c>
      <c r="C50" s="18" t="n">
        <v>299</v>
      </c>
      <c r="D50" s="18" t="n">
        <v>1321</v>
      </c>
      <c r="E50" s="18" t="n">
        <v>3387</v>
      </c>
      <c r="F50" s="18" t="n">
        <v>22251</v>
      </c>
    </row>
    <row r="51">
      <c r="A51" s="17" t="inlineStr">
        <is>
          <t>Tax Assets (Deferred)</t>
        </is>
      </c>
      <c r="B51" s="18" t="n">
        <v>1222</v>
      </c>
      <c r="C51" s="18" t="n">
        <v>3396</v>
      </c>
      <c r="D51" s="18" t="n">
        <v>6081</v>
      </c>
      <c r="E51" s="18" t="n">
        <v>10979</v>
      </c>
      <c r="F51" s="18" t="n">
        <v>13258</v>
      </c>
    </row>
    <row r="52">
      <c r="A52" s="17" t="inlineStr">
        <is>
          <t>Total Investments</t>
        </is>
      </c>
      <c r="B52" s="18" t="n">
        <v>19484</v>
      </c>
      <c r="C52" s="18" t="n">
        <v>10206</v>
      </c>
      <c r="D52" s="18" t="n">
        <v>20025</v>
      </c>
      <c r="E52" s="18" t="n">
        <v>38008</v>
      </c>
      <c r="F52" s="18" t="n">
        <v>74202</v>
      </c>
    </row>
    <row r="53">
      <c r="A53" s="17" t="inlineStr">
        <is>
          <t>Other Non-Current Assets</t>
        </is>
      </c>
      <c r="B53" s="18" t="n">
        <v>3575</v>
      </c>
      <c r="C53" s="18" t="n">
        <v>3521</v>
      </c>
      <c r="D53" s="18" t="n">
        <v>3179</v>
      </c>
      <c r="E53" s="18" t="n">
        <v>3038</v>
      </c>
      <c r="F53" s="18" t="n">
        <v>8301</v>
      </c>
    </row>
    <row r="54">
      <c r="A54" s="26" t="inlineStr">
        <is>
          <t>Total Non-Current Assets</t>
        </is>
      </c>
      <c r="B54" s="27" t="n">
        <v>15358</v>
      </c>
      <c r="C54" s="27" t="n">
        <v>18109</v>
      </c>
      <c r="D54" s="27" t="n">
        <v>21383</v>
      </c>
      <c r="E54" s="27" t="n">
        <v>31475</v>
      </c>
      <c r="F54" s="27" t="n">
        <v>81198</v>
      </c>
    </row>
    <row r="55">
      <c r="A55" s="13" t="inlineStr">
        <is>
          <t>TOTAL ASSETS</t>
        </is>
      </c>
      <c r="B55" s="30" t="n">
        <v>44187</v>
      </c>
      <c r="C55" s="30" t="n">
        <v>41182</v>
      </c>
      <c r="D55" s="30" t="n">
        <v>65728</v>
      </c>
      <c r="E55" s="30" t="n">
        <v>111601</v>
      </c>
      <c r="F55" s="30" t="n">
        <v>206803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1783</v>
      </c>
      <c r="C57" s="18" t="n">
        <v>1193</v>
      </c>
      <c r="D57" s="18" t="n">
        <v>2699</v>
      </c>
      <c r="E57" s="18" t="n">
        <v>6310</v>
      </c>
      <c r="F57" s="18" t="n">
        <v>9812</v>
      </c>
    </row>
    <row r="58">
      <c r="A58" s="17" t="inlineStr">
        <is>
          <t>Short-Term Debt</t>
        </is>
      </c>
      <c r="B58" s="18" t="n">
        <v>0</v>
      </c>
      <c r="C58" s="18" t="n">
        <v>1250</v>
      </c>
      <c r="D58" s="18" t="n">
        <v>1250</v>
      </c>
      <c r="E58" s="18" t="n">
        <v>0</v>
      </c>
      <c r="F58" s="18" t="n">
        <v>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300</v>
      </c>
      <c r="C60" s="18" t="n">
        <v>354</v>
      </c>
      <c r="D60" s="18" t="n">
        <v>764</v>
      </c>
      <c r="E60" s="18" t="n">
        <v>837</v>
      </c>
      <c r="F60" s="18" t="n">
        <v>1379</v>
      </c>
    </row>
    <row r="61">
      <c r="A61" s="17" t="inlineStr">
        <is>
          <t>Accrued &amp; Other Current Liabilities</t>
        </is>
      </c>
      <c r="B61" s="18" t="n">
        <v>371</v>
      </c>
      <c r="C61" s="18" t="n">
        <v>177</v>
      </c>
      <c r="D61" s="18" t="n">
        <v>614</v>
      </c>
      <c r="E61" s="18" t="n">
        <v>1601</v>
      </c>
      <c r="F61" s="18" t="n">
        <v>7693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4335</v>
      </c>
      <c r="C63" s="27" t="n">
        <v>6563</v>
      </c>
      <c r="D63" s="27" t="n">
        <v>10631</v>
      </c>
      <c r="E63" s="27" t="n">
        <v>18047</v>
      </c>
      <c r="F63" s="27" t="n">
        <v>32163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10946</v>
      </c>
      <c r="C65" s="18" t="n">
        <v>9703</v>
      </c>
      <c r="D65" s="18" t="n">
        <v>8459</v>
      </c>
      <c r="E65" s="18" t="n">
        <v>8463</v>
      </c>
      <c r="F65" s="18" t="n">
        <v>7469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202</v>
      </c>
      <c r="C67" s="18" t="n">
        <v>218</v>
      </c>
      <c r="D67" s="18" t="n">
        <v>573</v>
      </c>
      <c r="E67" s="18" t="n">
        <v>976</v>
      </c>
      <c r="F67" s="18" t="n">
        <v>1193</v>
      </c>
    </row>
    <row r="68">
      <c r="A68" s="17" t="inlineStr">
        <is>
          <t>Deferred Tax Liabilities</t>
        </is>
      </c>
      <c r="B68" s="18" t="n">
        <v>245</v>
      </c>
      <c r="C68" s="18" t="n">
        <v>247</v>
      </c>
      <c r="D68" s="18" t="n">
        <v>462</v>
      </c>
      <c r="E68" s="18" t="n">
        <v>886</v>
      </c>
      <c r="F68" s="18" t="n">
        <v>1774</v>
      </c>
    </row>
    <row r="69">
      <c r="A69" s="17" t="inlineStr">
        <is>
          <t>Other Non-Current Liabilities</t>
        </is>
      </c>
      <c r="B69" s="18" t="n">
        <v>1106</v>
      </c>
      <c r="C69" s="18" t="n">
        <v>1448</v>
      </c>
      <c r="D69" s="18" t="n">
        <v>1506</v>
      </c>
      <c r="E69" s="18" t="n">
        <v>2383</v>
      </c>
      <c r="F69" s="18" t="n">
        <v>4339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17575</v>
      </c>
      <c r="C71" s="30" t="n">
        <v>19081</v>
      </c>
      <c r="D71" s="30" t="n">
        <v>22750</v>
      </c>
      <c r="E71" s="30" t="n">
        <v>32274</v>
      </c>
      <c r="F71" s="30" t="n">
        <v>49510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2</v>
      </c>
      <c r="D73" s="18" t="n">
        <v>25</v>
      </c>
      <c r="E73" s="18" t="n">
        <v>24</v>
      </c>
      <c r="F73" s="18" t="n">
        <v>24</v>
      </c>
    </row>
    <row r="74">
      <c r="A74" s="17" t="inlineStr">
        <is>
          <t>Retained Earnings</t>
        </is>
      </c>
      <c r="B74" s="18" t="n">
        <v>16235</v>
      </c>
      <c r="C74" s="18" t="n">
        <v>10171</v>
      </c>
      <c r="D74" s="18" t="n">
        <v>29817</v>
      </c>
      <c r="E74" s="18" t="n">
        <v>68038</v>
      </c>
      <c r="F74" s="18" t="n">
        <v>146973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26612</v>
      </c>
      <c r="C78" s="27" t="n">
        <v>22101</v>
      </c>
      <c r="D78" s="27" t="n">
        <v>42978</v>
      </c>
      <c r="E78" s="27" t="n">
        <v>79327</v>
      </c>
      <c r="F78" s="27" t="n">
        <v>157293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9108</v>
      </c>
      <c r="C5" s="24" t="n">
        <v>5641</v>
      </c>
      <c r="D5" s="24" t="n">
        <v>28090</v>
      </c>
      <c r="E5" s="24" t="n">
        <v>64089</v>
      </c>
      <c r="F5" s="24" t="n">
        <v>102718</v>
      </c>
    </row>
    <row r="6">
      <c r="A6" s="17" t="inlineStr">
        <is>
          <t>(2)  Capital Expenditures</t>
        </is>
      </c>
      <c r="B6" s="18" t="n">
        <v>-976</v>
      </c>
      <c r="C6" s="18" t="n">
        <v>-1833</v>
      </c>
      <c r="D6" s="18" t="n">
        <v>-1069</v>
      </c>
      <c r="E6" s="18" t="n">
        <v>-3236</v>
      </c>
      <c r="F6" s="18" t="n">
        <v>-6042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3977</v>
      </c>
      <c r="C9" s="18" t="n">
        <v>0</v>
      </c>
      <c r="D9" s="18" t="n">
        <v>-1250</v>
      </c>
      <c r="E9" s="18" t="n">
        <v>-1250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281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-399</v>
      </c>
      <c r="C12" s="18" t="n">
        <v>-398</v>
      </c>
      <c r="D12" s="18" t="n">
        <v>-395</v>
      </c>
      <c r="E12" s="18" t="n">
        <v>-834</v>
      </c>
      <c r="F12" s="18" t="n">
        <v>-974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8132</v>
      </c>
      <c r="C15" s="24" t="n">
        <v>3808</v>
      </c>
      <c r="D15" s="24" t="n">
        <v>27021</v>
      </c>
      <c r="E15" s="24" t="n">
        <v>60853</v>
      </c>
      <c r="F15" s="24" t="n">
        <v>96676</v>
      </c>
    </row>
    <row r="16">
      <c r="A16" s="15" t="inlineStr">
        <is>
          <t xml:space="preserve">     Net Change in Cash</t>
        </is>
      </c>
      <c r="B16" s="16" t="n">
        <v>1143</v>
      </c>
      <c r="C16" s="16" t="n">
        <v>1399</v>
      </c>
      <c r="D16" s="16" t="n">
        <v>3891</v>
      </c>
      <c r="E16" s="16" t="n">
        <v>1309</v>
      </c>
      <c r="F16" s="16" t="n">
        <v>2016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9752</v>
      </c>
      <c r="C21" s="18" t="n">
        <v>4368</v>
      </c>
      <c r="D21" s="18" t="n">
        <v>29760</v>
      </c>
      <c r="E21" s="18" t="n">
        <v>72880</v>
      </c>
      <c r="F21" s="18" t="n">
        <v>120067</v>
      </c>
    </row>
    <row r="22">
      <c r="A22" s="17" t="inlineStr">
        <is>
          <t>Depreciation &amp; Amortisation</t>
        </is>
      </c>
      <c r="B22" s="18" t="n">
        <v>1174</v>
      </c>
      <c r="C22" s="18" t="n">
        <v>1544</v>
      </c>
      <c r="D22" s="18" t="n">
        <v>1508</v>
      </c>
      <c r="E22" s="18" t="n">
        <v>1864</v>
      </c>
      <c r="F22" s="18" t="n">
        <v>2843</v>
      </c>
    </row>
    <row r="23">
      <c r="A23" s="17" t="inlineStr">
        <is>
          <t>Deferred Income Tax</t>
        </is>
      </c>
      <c r="B23" s="18" t="n">
        <v>-406</v>
      </c>
      <c r="C23" s="18" t="n">
        <v>-2164</v>
      </c>
      <c r="D23" s="18" t="n">
        <v>-2489</v>
      </c>
      <c r="E23" s="18" t="n">
        <v>-4477</v>
      </c>
      <c r="F23" s="18" t="n">
        <v>-1424</v>
      </c>
    </row>
    <row r="24">
      <c r="A24" s="17" t="inlineStr">
        <is>
          <t>Stock-Based Compensation</t>
        </is>
      </c>
      <c r="B24" s="18" t="n">
        <v>2004</v>
      </c>
      <c r="C24" s="18" t="n">
        <v>2709</v>
      </c>
      <c r="D24" s="18" t="n">
        <v>3549</v>
      </c>
      <c r="E24" s="18" t="n">
        <v>4737</v>
      </c>
      <c r="F24" s="18" t="n">
        <v>6386</v>
      </c>
    </row>
    <row r="25">
      <c r="A25" s="17" t="inlineStr">
        <is>
          <t>Change in Working Capital</t>
        </is>
      </c>
      <c r="B25" s="18" t="n">
        <v>-3363</v>
      </c>
      <c r="C25" s="18" t="n">
        <v>-2207</v>
      </c>
      <c r="D25" s="18" t="n">
        <v>-3722</v>
      </c>
      <c r="E25" s="18" t="n">
        <v>-9383</v>
      </c>
      <c r="F25" s="18" t="n">
        <v>-15949</v>
      </c>
    </row>
    <row r="26">
      <c r="A26" s="21" t="inlineStr">
        <is>
          <t xml:space="preserve">  — Accounts Receivable</t>
        </is>
      </c>
      <c r="B26" s="18" t="n">
        <v>-2215</v>
      </c>
      <c r="C26" s="18" t="n">
        <v>822</v>
      </c>
      <c r="D26" s="18" t="n">
        <v>-6172</v>
      </c>
      <c r="E26" s="18" t="n">
        <v>-13063</v>
      </c>
      <c r="F26" s="18" t="n">
        <v>-15399</v>
      </c>
    </row>
    <row r="27">
      <c r="A27" s="21" t="inlineStr">
        <is>
          <t xml:space="preserve">  — Inventory</t>
        </is>
      </c>
      <c r="B27" s="18" t="n">
        <v>-774</v>
      </c>
      <c r="C27" s="18" t="n">
        <v>-2554</v>
      </c>
      <c r="D27" s="18" t="n">
        <v>-98</v>
      </c>
      <c r="E27" s="18" t="n">
        <v>-4781</v>
      </c>
      <c r="F27" s="18" t="n">
        <v>-11324</v>
      </c>
    </row>
    <row r="28">
      <c r="A28" s="21" t="inlineStr">
        <is>
          <t xml:space="preserve">  — Accounts Payable</t>
        </is>
      </c>
      <c r="B28" s="18" t="n">
        <v>568</v>
      </c>
      <c r="C28" s="18" t="n">
        <v>-551</v>
      </c>
      <c r="D28" s="18" t="n">
        <v>1531</v>
      </c>
      <c r="E28" s="18" t="n">
        <v>3357</v>
      </c>
      <c r="F28" s="18" t="n">
        <v>3096</v>
      </c>
    </row>
    <row r="29">
      <c r="A29" s="21" t="inlineStr">
        <is>
          <t xml:space="preserve">  — Other Working Capital</t>
        </is>
      </c>
      <c r="B29" s="18" t="n">
        <v>-942</v>
      </c>
      <c r="C29" s="18" t="n">
        <v>76</v>
      </c>
      <c r="D29" s="18" t="n">
        <v>1017</v>
      </c>
      <c r="E29" s="18" t="n">
        <v>5104</v>
      </c>
      <c r="F29" s="18" t="n">
        <v>7678</v>
      </c>
    </row>
    <row r="30">
      <c r="A30" s="17" t="inlineStr">
        <is>
          <t>Other Non-Cash Items</t>
        </is>
      </c>
      <c r="B30" s="18" t="n">
        <v>-53</v>
      </c>
      <c r="C30" s="18" t="n">
        <v>1391</v>
      </c>
      <c r="D30" s="18" t="n">
        <v>-516</v>
      </c>
      <c r="E30" s="18" t="n">
        <v>-1532</v>
      </c>
      <c r="F30" s="18" t="n">
        <v>-9205</v>
      </c>
    </row>
    <row r="31">
      <c r="A31" s="26" t="inlineStr">
        <is>
          <t>Net Cash from Operations (CFO)</t>
        </is>
      </c>
      <c r="B31" s="27" t="n">
        <v>9108</v>
      </c>
      <c r="C31" s="27" t="n">
        <v>5641</v>
      </c>
      <c r="D31" s="27" t="n">
        <v>28090</v>
      </c>
      <c r="E31" s="27" t="n">
        <v>64089</v>
      </c>
      <c r="F31" s="27" t="n">
        <v>102718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-976</v>
      </c>
      <c r="C33" s="18" t="n">
        <v>-1833</v>
      </c>
      <c r="D33" s="18" t="n">
        <v>-1069</v>
      </c>
      <c r="E33" s="18" t="n">
        <v>-3236</v>
      </c>
      <c r="F33" s="18" t="n">
        <v>-6042</v>
      </c>
    </row>
    <row r="34">
      <c r="A34" s="21" t="inlineStr">
        <is>
          <t xml:space="preserve">  (Alt: Invest. in PP&amp;E)</t>
        </is>
      </c>
      <c r="B34" s="18" t="n">
        <v>-976</v>
      </c>
      <c r="C34" s="18" t="n">
        <v>-1833</v>
      </c>
      <c r="D34" s="18" t="n">
        <v>-1069</v>
      </c>
      <c r="E34" s="18" t="n">
        <v>-3236</v>
      </c>
      <c r="F34" s="18" t="n">
        <v>-6042</v>
      </c>
    </row>
    <row r="35">
      <c r="A35" s="17" t="inlineStr">
        <is>
          <t>Acquisitions (Net)</t>
        </is>
      </c>
      <c r="B35" s="18" t="n">
        <v>-263</v>
      </c>
      <c r="C35" s="18" t="n">
        <v>-49</v>
      </c>
      <c r="D35" s="18" t="n">
        <v>-83</v>
      </c>
      <c r="E35" s="18" t="n">
        <v>-1007</v>
      </c>
      <c r="F35" s="18" t="n">
        <v>-1535</v>
      </c>
    </row>
    <row r="36">
      <c r="A36" s="17" t="inlineStr">
        <is>
          <t>Purchases of Investments</t>
        </is>
      </c>
      <c r="B36" s="18" t="n">
        <v>-24811</v>
      </c>
      <c r="C36" s="18" t="n">
        <v>-11982</v>
      </c>
      <c r="D36" s="18" t="n">
        <v>-19073</v>
      </c>
      <c r="E36" s="18" t="n">
        <v>-28061</v>
      </c>
      <c r="F36" s="18" t="n">
        <v>-58118</v>
      </c>
    </row>
    <row r="37">
      <c r="A37" s="17" t="inlineStr">
        <is>
          <t>Sales / Maturities of Investments</t>
        </is>
      </c>
      <c r="B37" s="18" t="n">
        <v>16220</v>
      </c>
      <c r="C37" s="18" t="n">
        <v>21239</v>
      </c>
      <c r="D37" s="18" t="n">
        <v>9783</v>
      </c>
      <c r="E37" s="18" t="n">
        <v>11861</v>
      </c>
      <c r="F37" s="18" t="n">
        <v>26467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-124</v>
      </c>
      <c r="E38" s="18" t="n">
        <v>22</v>
      </c>
      <c r="F38" s="18" t="n">
        <v>-13000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3977</v>
      </c>
      <c r="C41" s="18" t="n">
        <v>0</v>
      </c>
      <c r="D41" s="18" t="n">
        <v>-1250</v>
      </c>
      <c r="E41" s="18" t="n">
        <v>-1250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281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-10039</v>
      </c>
      <c r="D44" s="18" t="n">
        <v>-9533</v>
      </c>
      <c r="E44" s="18" t="n">
        <v>-33706</v>
      </c>
      <c r="F44" s="18" t="n">
        <v>-40086</v>
      </c>
    </row>
    <row r="45">
      <c r="A45" s="17" t="inlineStr">
        <is>
          <t>Dividends Paid</t>
        </is>
      </c>
      <c r="B45" s="18" t="n">
        <v>-399</v>
      </c>
      <c r="C45" s="18" t="n">
        <v>-398</v>
      </c>
      <c r="D45" s="18" t="n">
        <v>-395</v>
      </c>
      <c r="E45" s="18" t="n">
        <v>-834</v>
      </c>
      <c r="F45" s="18" t="n">
        <v>-974</v>
      </c>
    </row>
    <row r="46">
      <c r="A46" s="17" t="inlineStr">
        <is>
          <t>Other Financing Activities</t>
        </is>
      </c>
      <c r="B46" s="18" t="n">
        <v>-1994</v>
      </c>
      <c r="C46" s="18" t="n">
        <v>-1180</v>
      </c>
      <c r="D46" s="18" t="n">
        <v>-2455</v>
      </c>
      <c r="E46" s="18" t="n">
        <v>-6569</v>
      </c>
      <c r="F46" s="18" t="n">
        <v>-7414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1143</v>
      </c>
      <c r="C50" s="16" t="n">
        <v>1399</v>
      </c>
      <c r="D50" s="16" t="n">
        <v>3891</v>
      </c>
      <c r="E50" s="16" t="n">
        <v>1309</v>
      </c>
      <c r="F50" s="16" t="n">
        <v>2016</v>
      </c>
    </row>
    <row r="51">
      <c r="A51" s="17" t="inlineStr">
        <is>
          <t>Cash at Beginning of Period</t>
        </is>
      </c>
      <c r="B51" s="18" t="n">
        <v>847</v>
      </c>
      <c r="C51" s="18" t="n">
        <v>1990</v>
      </c>
      <c r="D51" s="18" t="n">
        <v>3389</v>
      </c>
      <c r="E51" s="18" t="n">
        <v>7280</v>
      </c>
      <c r="F51" s="18" t="n">
        <v>8589</v>
      </c>
    </row>
    <row r="52">
      <c r="A52" s="26" t="inlineStr">
        <is>
          <t>Cash at End of Period</t>
        </is>
      </c>
      <c r="B52" s="27" t="n">
        <v>1990</v>
      </c>
      <c r="C52" s="27" t="n">
        <v>3389</v>
      </c>
      <c r="D52" s="27" t="n">
        <v>7280</v>
      </c>
      <c r="E52" s="27" t="n">
        <v>8589</v>
      </c>
      <c r="F52" s="27" t="n">
        <v>10605</v>
      </c>
    </row>
    <row r="53">
      <c r="A53" s="26" t="inlineStr">
        <is>
          <t>Free Cash Flow</t>
        </is>
      </c>
      <c r="B53" s="27" t="n">
        <v>8132</v>
      </c>
      <c r="C53" s="27" t="n">
        <v>3808</v>
      </c>
      <c r="D53" s="27" t="n">
        <v>27021</v>
      </c>
      <c r="E53" s="27" t="n">
        <v>60853</v>
      </c>
      <c r="F53" s="27" t="n">
        <v>96676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25350</v>
      </c>
      <c r="C61" s="18" t="n">
        <v>25070</v>
      </c>
      <c r="D61" s="18" t="n">
        <v>24940</v>
      </c>
      <c r="E61" s="18" t="n">
        <v>24804</v>
      </c>
      <c r="F61" s="18" t="n">
        <v>24514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2349</v>
      </c>
      <c r="C5" s="18" t="n">
        <v>1694</v>
      </c>
      <c r="D5" s="18" t="n">
        <v>1091</v>
      </c>
      <c r="E5" s="18" t="n">
        <v>903</v>
      </c>
      <c r="F5" s="18" t="n">
        <v>566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NVDA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5189349.25</v>
      </c>
      <c r="C5" s="44" t="inlineStr">
        <is>
          <t>FMP marketCap  |  price $214.25</t>
        </is>
      </c>
    </row>
    <row r="6">
      <c r="A6" s="17" t="inlineStr">
        <is>
          <t>Debt  (gross book value, $mm)</t>
        </is>
      </c>
      <c r="B6" s="43" t="n">
        <v>8468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0.043</v>
      </c>
      <c r="C12" s="44" t="inlineStr">
        <is>
          <t>FRED series DGS10  |  latest: None</t>
        </is>
      </c>
    </row>
    <row r="13">
      <c r="A13" s="47" t="inlineStr">
        <is>
          <t>► Selected Rf  (override if needed)</t>
        </is>
      </c>
      <c r="B13" s="48" t="n">
        <v>0.043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2.244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1.833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15.1%)</t>
        </is>
      </c>
      <c r="B19" s="50" t="n">
        <v>1.152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 xml:space="preserve">AMD: 2.399  |  INTC: 2.19  |  QCOM: 1.493  |  AVGO: </t>
        </is>
      </c>
    </row>
    <row r="21">
      <c r="A21" s="51" t="inlineStr">
        <is>
          <t>FLAG: Raw beta (2.24) is 2.0x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1.681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AA</t>
        </is>
      </c>
      <c r="C33" s="44" t="inlineStr">
        <is>
          <t>User input</t>
        </is>
      </c>
    </row>
    <row r="34">
      <c r="A34" s="17" t="inlineStr">
        <is>
          <t>FRED matched yield</t>
        </is>
      </c>
      <c r="B34" s="54" t="n"/>
      <c r="C34" s="44" t="inlineStr">
        <is>
          <t>No rating returned — FRED method not applicable</t>
        </is>
      </c>
    </row>
    <row r="35">
      <c r="A35" s="17" t="inlineStr">
        <is>
          <t>Interest Coverage Ratio  (EBIT / Gross Int Exp)</t>
        </is>
      </c>
      <c r="B35" s="50" t="n">
        <v>503.4</v>
      </c>
      <c r="C35" s="44" t="inlineStr">
        <is>
          <t>EBIT $130387mm  /  Int Exp $259mm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503.4x  →  AAA</t>
        </is>
      </c>
    </row>
    <row r="37">
      <c r="A37" s="17" t="inlineStr">
        <is>
          <t>Synthetic Rd  (Rf + Damodaran default spread)</t>
        </is>
      </c>
      <c r="B37" s="46" t="n">
        <v>0.0484</v>
      </c>
      <c r="C37" s="44" t="inlineStr">
        <is>
          <t>Rf 4.30% + spread 0.54%</t>
        </is>
      </c>
    </row>
    <row r="38">
      <c r="A38" s="17" t="inlineStr">
        <is>
          <t>Accounting Rd  (Gross int exp / Avg gross debt)</t>
        </is>
      </c>
      <c r="B38" s="46" t="n">
        <v>0.03059476699545213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$2041mm  (int inc $2300mm &gt; int exp $259mm)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0.0395</v>
      </c>
      <c r="C40" s="49" t="inlineStr">
        <is>
          <t>Default = average of 2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0.1512</v>
      </c>
      <c r="C43" s="44" t="inlineStr">
        <is>
          <t>FMP: $21383mm  /  $141450mm</t>
        </is>
      </c>
    </row>
    <row r="44">
      <c r="A44" s="47" t="inlineStr">
        <is>
          <t>► Selected tax rate  (user override)</t>
        </is>
      </c>
      <c r="B44" s="48" t="n">
        <v>0.1512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MAX(8.5%, (E/V × Re) + (D/V × Rd × (1 − t)))</t>
        </is>
      </c>
      <c r="B47" s="56">
        <f>MAX(0.085, B8*B30+B9*B40*(1-B44))</f>
        <v/>
      </c>
      <c r="C47" s="57" t="inlineStr">
        <is>
          <t>Floored 8.5% (D-001); raw formula below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NVDA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2022</t>
        </is>
      </c>
      <c r="C3" s="65" t="inlineStr">
        <is>
          <t>2023</t>
        </is>
      </c>
      <c r="D3" s="65" t="inlineStr">
        <is>
          <t>2024</t>
        </is>
      </c>
      <c r="E3" s="65" t="inlineStr">
        <is>
          <t>2025</t>
        </is>
      </c>
      <c r="F3" s="65" t="inlineStr">
        <is>
          <t>2026</t>
        </is>
      </c>
      <c r="G3" s="66" t="inlineStr">
        <is>
          <t>2027E</t>
        </is>
      </c>
      <c r="H3" s="66" t="inlineStr">
        <is>
          <t>2028E</t>
        </is>
      </c>
      <c r="I3" s="66" t="inlineStr">
        <is>
          <t>2029E</t>
        </is>
      </c>
      <c r="J3" s="66" t="inlineStr">
        <is>
          <t>2030E</t>
        </is>
      </c>
      <c r="K3" s="66" t="inlineStr">
        <is>
          <t>2031E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0.8008999999999999</v>
      </c>
      <c r="H7" s="72" t="n">
        <v>0.4072</v>
      </c>
      <c r="I7" s="72" t="n">
        <v>0.191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0.5114</v>
      </c>
      <c r="H8" s="72" t="n">
        <v>0.5114</v>
      </c>
      <c r="I8" s="72" t="n">
        <v>0.5114</v>
      </c>
      <c r="J8" s="73">
        <f>I8</f>
        <v/>
      </c>
      <c r="K8" s="73">
        <f>I8</f>
        <v/>
      </c>
      <c r="L8" s="74" t="n">
        <v>0.6694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388878.6</v>
      </c>
      <c r="H15" s="78" t="n">
        <v>547215.1</v>
      </c>
      <c r="I15" s="78" t="n">
        <v>651706.4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363,946 — 410,228</t>
        </is>
      </c>
      <c r="H16" s="83" t="inlineStr">
        <is>
          <t>388,362 — 638,923</t>
        </is>
      </c>
      <c r="I16" s="83" t="inlineStr">
        <is>
          <t>647,578 — 655,835</t>
        </is>
      </c>
      <c r="J16" s="83" t="inlineStr">
        <is>
          <t>559,914 — 796,908</t>
        </is>
      </c>
      <c r="K16" s="83" t="inlineStr">
        <is>
          <t>626,307 — 891,402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37</v>
      </c>
      <c r="H17" s="85" t="n">
        <v>40</v>
      </c>
      <c r="I17" s="85" t="n">
        <v>25</v>
      </c>
      <c r="J17" s="85" t="n">
        <v>12</v>
      </c>
      <c r="K17" s="85" t="n">
        <v>11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198890.1</v>
      </c>
      <c r="H20" s="78" t="n">
        <v>279870.6</v>
      </c>
      <c r="I20" s="78" t="n">
        <v>333312.1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186,138 — 209,809</t>
        </is>
      </c>
      <c r="H21" s="83" t="inlineStr">
        <is>
          <t>198,626 — 326,774</t>
        </is>
      </c>
      <c r="I21" s="83" t="inlineStr">
        <is>
          <t>331,201 — 335,424</t>
        </is>
      </c>
      <c r="J21" s="83" t="inlineStr">
        <is>
          <t>286,366 — 407,575</t>
        </is>
      </c>
      <c r="K21" s="83" t="inlineStr">
        <is>
          <t>320,322 — 455,903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(101.8%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28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(101.8% 3yr avg rev growth).  Bear 22x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24514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214.25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NVDA  |  Master Prompt v2  |  29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71.1% ✓ (&gt;40%)  |  GM trend +14.1% ✓ (&gt;+1pp)  |  ROIC-WACC +57.0% ✓ (&gt;+5pp)  |  Rev consistency σ=49.5% ✗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71.1% ✓ (&gt;40%)  |  GM trend +14.1% ✓ (&gt;+1pp)  |  ROIC-WACC +57.0% ✓ (&gt;+5pp)  |  Rev consistency σ=49.5% ✗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+57.7% ✓ (&gt;=-2pp)  |  GM maintained +14.1% ✓  |  Op margin +44.7% ✓ (≥-2pp)  |  Capital returns MOD-HIGH ✓  |  Share count -0.6%/yr ✓ (net buyback)  |  Goodwill/Equity 13%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+57.7% ✓ (&gt;=-2pp)  |  GM maintained +14.1% ✓  |  Op margin +44.7% ✓ (≥-2pp)  |  Capital returns MOD-HIGH ✓  |  Share count -0.6%/yr ✓ (net buyback)  |  Goodwill/Equity 13%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100.0%</t>
        </is>
      </c>
      <c r="E13" s="135" t="inlineStr">
        <is>
          <t>HIGH</t>
        </is>
      </c>
      <c r="F13" s="132" t="n">
        <v>10</v>
      </c>
      <c r="G13" s="133">
        <f>IF(F13="",0,C13*F13*10)</f>
        <v/>
      </c>
      <c r="H13" s="134" t="inlineStr">
        <is>
          <t>100.0%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81%  [through-cycle: 70/30 latest+5yr median, latest 80.5% → smoothed 81.4%]</t>
        </is>
      </c>
      <c r="E14" s="135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81%  [through-cycle: 70/30 latest+5yr median, latest 80.5% → smoothed 81.4%]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$40,086mm latest FY — 4yr equity-funded  [payout 41% of FCF]</t>
        </is>
      </c>
      <c r="E15" s="131" t="inlineStr">
        <is>
          <t>MOD-HIGH</t>
        </is>
      </c>
      <c r="F15" s="132" t="n">
        <v>7</v>
      </c>
      <c r="G15" s="133">
        <f>IF(F15="",0,C15*F15*10)</f>
        <v/>
      </c>
      <c r="H15" s="134" t="inlineStr">
        <is>
          <t>$40,086mm latest FY — 4yr equity-funded  [payout 41%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69.1%  [through-cycle: 70/30 latest+5yr median, latest 71.3% → smoothed 69.1%]</t>
        </is>
      </c>
      <c r="E16" s="135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69.1%  [through-cycle: 70/30 latest+5yr median, latest 71.3% → smoothed 69.1%]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$2,137mm — no net leverage  [through-cycle: 70/30 latest+5yr median, latest 0.1x → smoothed 0.1x]</t>
        </is>
      </c>
      <c r="E18" s="135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$2,137mm — no net leverage  [through-cycle: 70/30 latest+5yr median, latest 0.1x → smoothed 0.1x]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503.4x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503.4x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CAGR=100% &gt;40% — margin trajectory only  |  OM trend +23.1% (37.3%→60.4%), σ=17.5%  [quality = direction + stability]</t>
        </is>
      </c>
      <c r="E20" s="135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CAGR=100% &gt;40% — margin trajectory only  |  OM trend +23.1% (37.3%→60.4%), σ=17.5%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24.2x (scoring basis)  |  5yr avg 60.3x  |  Sector median 80.5x  |  DCF-implied 41.7x [ref only — not used as benchmark]  [-52% vs benchmark]  [trail=10.00 | fwd_pe=24.2x→10.00 | abs=7.0 → blended 40/40/20=9.40]  PEG=30.26 (fwd_pe=24.2x / eps_growth=80%)  [revision:Strong upgrade cycle→+0.50]</t>
        </is>
      </c>
      <c r="E22" s="135" t="inlineStr">
        <is>
          <t>HIGH</t>
        </is>
      </c>
      <c r="F22" s="132" t="n">
        <v>9.9</v>
      </c>
      <c r="G22" s="133">
        <f>IF(F22="",0,C22*F22*10)</f>
        <v/>
      </c>
      <c r="H22" s="134" t="inlineStr">
        <is>
          <t>Fwd P/E 24.2x (scoring basis)  |  5yr avg 60.3x  |  Sector median 80.5x  |  DCF-implied 41.7x [ref only — not used as benchmark]  [-52% vs benchmark]  [trail=10.00 | fwd_pe=24.2x→10.00 | abs=7.0 → blended 40/40/20=9.40]  PEG=30.26 (fwd_pe=24.2x / eps_growth=80%)  [revision:Strong upgrade cycle→+0.50]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47.0x  |  5yr avg 70.4x  |  Sector median 51.8x  |  DCF-implied 51.8x [ref only — not used as benchmark]  [-6% vs benchmark]  [trail=7.90 | fwd_pfcf=30.0x→10.00 | abs=1.5 → blended 40/40/20=7.46]  [fcf_yield=2.1% vs rf=4.3%  spread=-2.2%→modifier=-0.50]</t>
        </is>
      </c>
      <c r="E23" s="131" t="inlineStr">
        <is>
          <t>MOD-HIGH</t>
        </is>
      </c>
      <c r="F23" s="132" t="n">
        <v>6.96</v>
      </c>
      <c r="G23" s="133">
        <f>IF(F23="",0,C23*F23*10)</f>
        <v/>
      </c>
      <c r="H23" s="134" t="inlineStr">
        <is>
          <t>Current 47.0x  |  5yr avg 70.4x  |  Sector median 51.8x  |  DCF-implied 51.8x [ref only — not used as benchmark]  [-6% vs benchmark]  [trail=7.90 | fwd_pfcf=30.0x→10.00 | abs=1.5 → blended 40/40/20=7.46]  [fcf_yield=2.1% vs rf=4.3%  spread=-2.2%→modifier=-0.50]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2026-05-29T03:35:38Z</dcterms:created>
  <dcterms:modified xmlns:dcterms="http://purl.org/dc/terms/" xmlns:xsi="http://www.w3.org/2001/XMLSchema-instance" xsi:type="dcterms:W3CDTF">2026-05-29T03:37:06Z</dcterms:modified>
</cp:coreProperties>
</file>