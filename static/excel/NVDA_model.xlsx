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i val="1"/>
      <color rgb="005D4037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0" fontId="4" fillId="13" borderId="1" applyAlignment="1" pivotButton="0" quotePrefix="0" xfId="0">
      <alignment horizontal="left" indent="1"/>
    </xf>
    <xf numFmtId="170" fontId="4" fillId="13" borderId="1" applyAlignment="1" pivotButton="0" quotePrefix="0" xfId="0">
      <alignment horizontal="right"/>
    </xf>
    <xf numFmtId="0" fontId="10" fillId="13" borderId="1" applyAlignment="1" pivotButton="0" quotePrefix="0" xfId="0">
      <alignment horizontal="left" indent="1"/>
    </xf>
    <xf numFmtId="0" fontId="12" fillId="14" borderId="1" applyAlignment="1" pivotButton="0" quotePrefix="0" xfId="0">
      <alignment horizontal="left" wrapText="1" indent="2"/>
    </xf>
    <xf numFmtId="0" fontId="13" fillId="15" borderId="1" applyAlignment="1" pivotButton="0" quotePrefix="0" xfId="0">
      <alignment horizontal="left" indent="2"/>
    </xf>
    <xf numFmtId="172" fontId="8" fillId="12" borderId="1" applyAlignment="1" pivotButton="0" quotePrefix="0" xfId="0">
      <alignment horizontal="right"/>
    </xf>
    <xf numFmtId="171" fontId="4" fillId="13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left" indent="1"/>
    </xf>
    <xf numFmtId="171" fontId="14" fillId="7" borderId="1" applyAlignment="1" pivotButton="0" quotePrefix="0" xfId="0">
      <alignment horizontal="right"/>
    </xf>
    <xf numFmtId="0" fontId="15" fillId="7" borderId="1" applyAlignment="1" pivotButton="0" quotePrefix="0" xfId="0">
      <alignment horizontal="left" indent="1"/>
    </xf>
    <xf numFmtId="0" fontId="16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171" fontId="17" fillId="6" borderId="1" applyAlignment="1" pivotButton="0" quotePrefix="0" xfId="0">
      <alignment horizontal="right"/>
    </xf>
    <xf numFmtId="0" fontId="16" fillId="7" borderId="1" applyAlignment="1" pivotButton="0" quotePrefix="0" xfId="0">
      <alignment horizontal="center"/>
    </xf>
    <xf numFmtId="171" fontId="17" fillId="7" borderId="1" applyAlignment="1" pivotButton="0" quotePrefix="0" xfId="0">
      <alignment horizontal="right"/>
    </xf>
    <xf numFmtId="171" fontId="16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6" borderId="1" applyAlignment="1" pivotButton="0" quotePrefix="0" xfId="0">
      <alignment horizontal="right" vertical="center"/>
    </xf>
    <xf numFmtId="0" fontId="6" fillId="17" borderId="1" applyAlignment="1" pivotButton="0" quotePrefix="0" xfId="0">
      <alignment horizontal="right" vertical="center"/>
    </xf>
    <xf numFmtId="0" fontId="18" fillId="16" borderId="1" applyAlignment="1" pivotButton="0" quotePrefix="0" xfId="0">
      <alignment horizontal="left" indent="2"/>
    </xf>
    <xf numFmtId="0" fontId="6" fillId="17" borderId="1" applyAlignment="1" pivotButton="0" quotePrefix="0" xfId="0">
      <alignment horizontal="left" vertical="center" indent="1"/>
    </xf>
    <xf numFmtId="49" fontId="19" fillId="18" borderId="1" applyAlignment="1" pivotButton="0" quotePrefix="0" xfId="0">
      <alignment horizontal="right" vertical="center"/>
    </xf>
    <xf numFmtId="168" fontId="19" fillId="18" borderId="1" applyAlignment="1" pivotButton="0" quotePrefix="0" xfId="0">
      <alignment horizontal="right" vertical="center"/>
    </xf>
    <xf numFmtId="168" fontId="20" fillId="16" borderId="1" applyAlignment="1" pivotButton="0" quotePrefix="0" xfId="0">
      <alignment horizontal="right" vertical="center"/>
    </xf>
    <xf numFmtId="168" fontId="5" fillId="17" borderId="1" applyAlignment="1" pivotButton="0" quotePrefix="0" xfId="0">
      <alignment horizontal="right" vertical="center"/>
    </xf>
    <xf numFmtId="0" fontId="21" fillId="17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6" borderId="1" applyAlignment="1" pivotButton="0" quotePrefix="0" xfId="0">
      <alignment horizontal="left" vertical="center" indent="1"/>
    </xf>
    <xf numFmtId="167" fontId="5" fillId="18" borderId="1" applyAlignment="1" pivotButton="0" quotePrefix="0" xfId="0">
      <alignment horizontal="right" vertical="center"/>
    </xf>
    <xf numFmtId="167" fontId="20" fillId="16" borderId="1" applyAlignment="1" pivotButton="0" quotePrefix="0" xfId="0">
      <alignment horizontal="right" vertical="center"/>
    </xf>
    <xf numFmtId="167" fontId="4" fillId="17" borderId="1" applyAlignment="1" pivotButton="0" quotePrefix="0" xfId="0">
      <alignment horizontal="right" vertical="center"/>
    </xf>
    <xf numFmtId="0" fontId="21" fillId="6" borderId="1" applyAlignment="1" pivotButton="0" quotePrefix="0" xfId="0">
      <alignment horizontal="left" wrapText="1" indent="1"/>
    </xf>
    <xf numFmtId="0" fontId="22" fillId="6" borderId="1" applyAlignment="1" pivotButton="0" quotePrefix="0" xfId="0">
      <alignment horizontal="left" vertical="center" indent="2"/>
    </xf>
    <xf numFmtId="0" fontId="15" fillId="16" borderId="1" applyAlignment="1" pivotButton="0" quotePrefix="0" xfId="0">
      <alignment horizontal="right" vertical="center"/>
    </xf>
    <xf numFmtId="0" fontId="23" fillId="17" borderId="1" applyAlignment="1" pivotButton="0" quotePrefix="0" xfId="0">
      <alignment horizontal="right" vertical="center"/>
    </xf>
    <xf numFmtId="3" fontId="22" fillId="16" borderId="1" applyAlignment="1" pivotButton="0" quotePrefix="0" xfId="0">
      <alignment horizontal="right" vertical="center"/>
    </xf>
    <xf numFmtId="3" fontId="24" fillId="16" borderId="1" applyAlignment="1" pivotButton="0" quotePrefix="0" xfId="0">
      <alignment horizontal="right" vertical="center"/>
    </xf>
    <xf numFmtId="0" fontId="23" fillId="18" borderId="1" applyAlignment="1" pivotButton="0" quotePrefix="0" xfId="0">
      <alignment horizontal="right" vertical="center"/>
    </xf>
    <xf numFmtId="168" fontId="22" fillId="18" borderId="1" applyAlignment="1" pivotButton="0" quotePrefix="0" xfId="0">
      <alignment horizontal="right" vertical="center"/>
    </xf>
    <xf numFmtId="168" fontId="22" fillId="16" borderId="1" applyAlignment="1" pivotButton="0" quotePrefix="0" xfId="0">
      <alignment horizontal="right" vertical="center"/>
    </xf>
    <xf numFmtId="168" fontId="22" fillId="1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6" borderId="1" applyAlignment="1" pivotButton="0" quotePrefix="0" xfId="0">
      <alignment horizontal="right" vertical="center"/>
    </xf>
    <xf numFmtId="167" fontId="6" fillId="18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8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6" borderId="1" applyAlignment="1" pivotButton="0" quotePrefix="0" xfId="0">
      <alignment horizontal="right" vertical="center"/>
    </xf>
    <xf numFmtId="168" fontId="22" fillId="6" borderId="1" applyAlignment="1" pivotButton="0" quotePrefix="0" xfId="0">
      <alignment horizontal="right" vertical="center"/>
    </xf>
    <xf numFmtId="171" fontId="25" fillId="17" borderId="1" applyAlignment="1" pivotButton="0" quotePrefix="0" xfId="0">
      <alignment horizontal="right" vertical="center"/>
    </xf>
    <xf numFmtId="0" fontId="4" fillId="17" borderId="1" applyAlignment="1" pivotButton="0" quotePrefix="0" xfId="0">
      <alignment horizontal="right" vertical="center"/>
    </xf>
    <xf numFmtId="171" fontId="8" fillId="17" borderId="1" applyAlignment="1" pivotButton="0" quotePrefix="0" xfId="0">
      <alignment horizontal="right" vertical="center"/>
    </xf>
    <xf numFmtId="173" fontId="8" fillId="1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6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6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7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7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6" borderId="1" applyAlignment="1" pivotButton="0" quotePrefix="0" xfId="0">
      <alignment horizontal="right" vertical="center"/>
    </xf>
    <xf numFmtId="165" fontId="26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NVDA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2026</t>
        </is>
      </c>
    </row>
    <row r="6">
      <c r="A6" s="4" t="inlineStr">
        <is>
          <t>Revenue ($mm)</t>
        </is>
      </c>
      <c r="B6" s="6" t="n">
        <v>215938</v>
      </c>
    </row>
    <row r="7">
      <c r="A7" s="4" t="inlineStr">
        <is>
          <t>Gross Profit ($mm)</t>
        </is>
      </c>
      <c r="B7" s="6" t="n">
        <v>153463</v>
      </c>
    </row>
    <row r="8">
      <c r="A8" s="4" t="inlineStr">
        <is>
          <t>EBITDA ($mm)</t>
        </is>
      </c>
      <c r="B8" s="6" t="n">
        <v>144552</v>
      </c>
    </row>
    <row r="9">
      <c r="A9" s="4" t="inlineStr">
        <is>
          <t>EBIT ($mm)</t>
        </is>
      </c>
      <c r="B9" s="6" t="n">
        <v>130387</v>
      </c>
    </row>
    <row r="10">
      <c r="A10" s="4" t="inlineStr">
        <is>
          <t>Net Income ($mm)</t>
        </is>
      </c>
      <c r="B10" s="6" t="n">
        <v>120067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26914</v>
      </c>
      <c r="C5" s="15" t="n">
        <v>26974</v>
      </c>
      <c r="D5" s="15" t="n">
        <v>60922</v>
      </c>
      <c r="E5" s="15" t="n">
        <v>130497</v>
      </c>
      <c r="F5" s="15" t="n">
        <v>215938</v>
      </c>
    </row>
    <row r="6">
      <c r="A6" s="16" t="inlineStr">
        <is>
          <t>(2)  Cost of Revenue (COGS)</t>
        </is>
      </c>
      <c r="B6" s="17" t="n">
        <v>9439</v>
      </c>
      <c r="C6" s="17" t="n">
        <v>11618</v>
      </c>
      <c r="D6" s="17" t="n">
        <v>16621</v>
      </c>
      <c r="E6" s="17" t="n">
        <v>32639</v>
      </c>
      <c r="F6" s="17" t="n">
        <v>62475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2166</v>
      </c>
      <c r="C9" s="17" t="n">
        <v>2440</v>
      </c>
      <c r="D9" s="17" t="n">
        <v>2654</v>
      </c>
      <c r="E9" s="17" t="n">
        <v>3491</v>
      </c>
      <c r="F9" s="17" t="n">
        <v>4579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7434</v>
      </c>
      <c r="C11" s="17" t="n">
        <v>11132</v>
      </c>
      <c r="D11" s="17" t="n">
        <v>11329</v>
      </c>
      <c r="E11" s="17" t="n">
        <v>16405</v>
      </c>
      <c r="F11" s="17" t="n">
        <v>23076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1174</v>
      </c>
      <c r="C14" s="17" t="n">
        <v>1543</v>
      </c>
      <c r="D14" s="17" t="n">
        <v>1508</v>
      </c>
      <c r="E14" s="17" t="n">
        <v>1864</v>
      </c>
      <c r="F14" s="17" t="n">
        <v>2843</v>
      </c>
    </row>
    <row r="15">
      <c r="A15" s="18" t="inlineStr">
        <is>
          <t>(8)  EBIT (Operating Income)</t>
        </is>
      </c>
      <c r="B15" s="23" t="n">
        <v>10041</v>
      </c>
      <c r="C15" s="23" t="n">
        <v>4224</v>
      </c>
      <c r="D15" s="23" t="n">
        <v>32972</v>
      </c>
      <c r="E15" s="23" t="n">
        <v>81453</v>
      </c>
      <c r="F15" s="23" t="n">
        <v>130387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236</v>
      </c>
      <c r="C17" s="17" t="n">
        <v>262</v>
      </c>
      <c r="D17" s="17" t="n">
        <v>257</v>
      </c>
      <c r="E17" s="17" t="n">
        <v>247</v>
      </c>
      <c r="F17" s="17" t="n">
        <v>259</v>
      </c>
    </row>
    <row r="18">
      <c r="A18" s="20" t="inlineStr">
        <is>
          <t xml:space="preserve">     Interest Income</t>
        </is>
      </c>
      <c r="B18" s="17" t="n">
        <v>29</v>
      </c>
      <c r="C18" s="17" t="n">
        <v>267</v>
      </c>
      <c r="D18" s="17" t="n">
        <v>866</v>
      </c>
      <c r="E18" s="17" t="n">
        <v>1786</v>
      </c>
      <c r="F18" s="17" t="n">
        <v>2300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9941</v>
      </c>
      <c r="C21" s="23" t="n">
        <v>4181</v>
      </c>
      <c r="D21" s="23" t="n">
        <v>33818</v>
      </c>
      <c r="E21" s="23" t="n">
        <v>84026</v>
      </c>
      <c r="F21" s="23" t="n">
        <v>141450</v>
      </c>
    </row>
    <row r="22">
      <c r="A22" s="16" t="inlineStr">
        <is>
          <t>(11) Income Tax Expense</t>
        </is>
      </c>
      <c r="B22" s="17" t="n">
        <v>189</v>
      </c>
      <c r="C22" s="17" t="n">
        <v>-187</v>
      </c>
      <c r="D22" s="17" t="n">
        <v>4058</v>
      </c>
      <c r="E22" s="17" t="n">
        <v>11146</v>
      </c>
      <c r="F22" s="17" t="n">
        <v>21383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9752</v>
      </c>
      <c r="C24" s="23" t="n">
        <v>4368</v>
      </c>
      <c r="D24" s="23" t="n">
        <v>29760</v>
      </c>
      <c r="E24" s="23" t="n">
        <v>72880</v>
      </c>
      <c r="F24" s="23" t="n">
        <v>120067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2022</t>
        </is>
      </c>
      <c r="C28" s="13" t="inlineStr">
        <is>
          <t>2023</t>
        </is>
      </c>
      <c r="D28" s="13" t="inlineStr">
        <is>
          <t>2024</t>
        </is>
      </c>
      <c r="E28" s="13" t="inlineStr">
        <is>
          <t>2025</t>
        </is>
      </c>
      <c r="F28" s="13" t="inlineStr">
        <is>
          <t>2026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26914</v>
      </c>
      <c r="C30" s="15" t="n">
        <v>26974</v>
      </c>
      <c r="D30" s="15" t="n">
        <v>60922</v>
      </c>
      <c r="E30" s="15" t="n">
        <v>130497</v>
      </c>
      <c r="F30" s="15" t="n">
        <v>215938</v>
      </c>
    </row>
    <row r="31">
      <c r="A31" s="16" t="inlineStr">
        <is>
          <t>Cost of Revenue</t>
        </is>
      </c>
      <c r="B31" s="17" t="n">
        <v>9439</v>
      </c>
      <c r="C31" s="17" t="n">
        <v>11618</v>
      </c>
      <c r="D31" s="17" t="n">
        <v>16621</v>
      </c>
      <c r="E31" s="17" t="n">
        <v>32639</v>
      </c>
      <c r="F31" s="17" t="n">
        <v>62475</v>
      </c>
    </row>
    <row r="32">
      <c r="A32" s="25" t="inlineStr">
        <is>
          <t>Gross Profit</t>
        </is>
      </c>
      <c r="B32" s="26" t="n">
        <v>17475</v>
      </c>
      <c r="C32" s="26" t="n">
        <v>15356</v>
      </c>
      <c r="D32" s="26" t="n">
        <v>44301</v>
      </c>
      <c r="E32" s="26" t="n">
        <v>97858</v>
      </c>
      <c r="F32" s="26" t="n">
        <v>153463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5268</v>
      </c>
      <c r="C34" s="17" t="n">
        <v>7339</v>
      </c>
      <c r="D34" s="17" t="n">
        <v>8675</v>
      </c>
      <c r="E34" s="17" t="n">
        <v>12914</v>
      </c>
      <c r="F34" s="17" t="n">
        <v>18497</v>
      </c>
    </row>
    <row r="35">
      <c r="A35" s="16" t="inlineStr">
        <is>
          <t>General &amp; Administrative</t>
        </is>
      </c>
      <c r="B35" s="17" t="n">
        <v>0</v>
      </c>
      <c r="C35" s="17" t="n">
        <v>0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2166</v>
      </c>
      <c r="C37" s="17" t="n">
        <v>2440</v>
      </c>
      <c r="D37" s="17" t="n">
        <v>2654</v>
      </c>
      <c r="E37" s="17" t="n">
        <v>3491</v>
      </c>
      <c r="F37" s="17" t="n">
        <v>4579</v>
      </c>
    </row>
    <row r="38">
      <c r="A38" s="16" t="inlineStr">
        <is>
          <t>Other Expenses</t>
        </is>
      </c>
      <c r="B38" s="17" t="n">
        <v>0</v>
      </c>
      <c r="C38" s="17" t="n">
        <v>1353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7434</v>
      </c>
      <c r="C39" s="26" t="n">
        <v>11132</v>
      </c>
      <c r="D39" s="26" t="n">
        <v>11329</v>
      </c>
      <c r="E39" s="26" t="n">
        <v>16405</v>
      </c>
      <c r="F39" s="26" t="n">
        <v>23076</v>
      </c>
    </row>
    <row r="40">
      <c r="A40" s="16" t="inlineStr">
        <is>
          <t>Cost &amp; Expenses (COGS + Opex)</t>
        </is>
      </c>
      <c r="B40" s="17" t="n">
        <v>16873</v>
      </c>
      <c r="C40" s="17" t="n">
        <v>22750</v>
      </c>
      <c r="D40" s="17" t="n">
        <v>27950</v>
      </c>
      <c r="E40" s="17" t="n">
        <v>49044</v>
      </c>
      <c r="F40" s="17" t="n">
        <v>85551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10041</v>
      </c>
      <c r="C42" s="15" t="n">
        <v>4224</v>
      </c>
      <c r="D42" s="15" t="n">
        <v>32972</v>
      </c>
      <c r="E42" s="15" t="n">
        <v>81453</v>
      </c>
      <c r="F42" s="15" t="n">
        <v>130387</v>
      </c>
    </row>
    <row r="43">
      <c r="A43" s="16" t="inlineStr">
        <is>
          <t>EBIT (FMP field)</t>
        </is>
      </c>
      <c r="B43" s="17" t="n">
        <v>10177</v>
      </c>
      <c r="C43" s="17" t="n">
        <v>4443</v>
      </c>
      <c r="D43" s="17" t="n">
        <v>34075</v>
      </c>
      <c r="E43" s="17" t="n">
        <v>84273</v>
      </c>
      <c r="F43" s="17" t="n">
        <v>141709</v>
      </c>
    </row>
    <row r="44">
      <c r="A44" s="25" t="inlineStr">
        <is>
          <t>EBITDA</t>
        </is>
      </c>
      <c r="B44" s="26" t="n">
        <v>11351</v>
      </c>
      <c r="C44" s="26" t="n">
        <v>5986</v>
      </c>
      <c r="D44" s="26" t="n">
        <v>35583</v>
      </c>
      <c r="E44" s="26" t="n">
        <v>86137</v>
      </c>
      <c r="F44" s="26" t="n">
        <v>144552</v>
      </c>
    </row>
    <row r="45">
      <c r="A45" s="16" t="inlineStr">
        <is>
          <t>Depreciation &amp; Amortisation</t>
        </is>
      </c>
      <c r="B45" s="17" t="n">
        <v>1174</v>
      </c>
      <c r="C45" s="17" t="n">
        <v>1543</v>
      </c>
      <c r="D45" s="17" t="n">
        <v>1508</v>
      </c>
      <c r="E45" s="17" t="n">
        <v>1864</v>
      </c>
      <c r="F45" s="17" t="n">
        <v>2843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29</v>
      </c>
      <c r="C47" s="17" t="n">
        <v>267</v>
      </c>
      <c r="D47" s="17" t="n">
        <v>866</v>
      </c>
      <c r="E47" s="17" t="n">
        <v>1786</v>
      </c>
      <c r="F47" s="17" t="n">
        <v>2300</v>
      </c>
    </row>
    <row r="48">
      <c r="A48" s="16" t="inlineStr">
        <is>
          <t>Interest Expense</t>
        </is>
      </c>
      <c r="B48" s="17" t="n">
        <v>236</v>
      </c>
      <c r="C48" s="17" t="n">
        <v>262</v>
      </c>
      <c r="D48" s="17" t="n">
        <v>257</v>
      </c>
      <c r="E48" s="17" t="n">
        <v>247</v>
      </c>
      <c r="F48" s="17" t="n">
        <v>259</v>
      </c>
    </row>
    <row r="49">
      <c r="A49" s="16" t="inlineStr">
        <is>
          <t>Net Interest Income</t>
        </is>
      </c>
      <c r="B49" s="17" t="n">
        <v>-207</v>
      </c>
      <c r="C49" s="17" t="n">
        <v>5</v>
      </c>
      <c r="D49" s="17" t="n">
        <v>609</v>
      </c>
      <c r="E49" s="17" t="n">
        <v>1539</v>
      </c>
      <c r="F49" s="17" t="n">
        <v>2041</v>
      </c>
    </row>
    <row r="50">
      <c r="A50" s="16" t="inlineStr">
        <is>
          <t>Non-Operating Income (ex-interest)</t>
        </is>
      </c>
      <c r="B50" s="17" t="n">
        <v>-136</v>
      </c>
      <c r="C50" s="17" t="n">
        <v>-219</v>
      </c>
      <c r="D50" s="17" t="n">
        <v>-1103</v>
      </c>
      <c r="E50" s="17" t="n">
        <v>-2820</v>
      </c>
      <c r="F50" s="17" t="n">
        <v>-11322</v>
      </c>
    </row>
    <row r="51">
      <c r="A51" s="16" t="inlineStr">
        <is>
          <t>Total Other Income / (Expenses)</t>
        </is>
      </c>
      <c r="B51" s="17" t="n">
        <v>-100</v>
      </c>
      <c r="C51" s="17" t="n">
        <v>-43</v>
      </c>
      <c r="D51" s="17" t="n">
        <v>846</v>
      </c>
      <c r="E51" s="17" t="n">
        <v>2573</v>
      </c>
      <c r="F51" s="17" t="n">
        <v>11063</v>
      </c>
    </row>
    <row r="52">
      <c r="A52" s="25" t="inlineStr">
        <is>
          <t>EBT / Income Before Tax</t>
        </is>
      </c>
      <c r="B52" s="26" t="n">
        <v>9941</v>
      </c>
      <c r="C52" s="26" t="n">
        <v>4181</v>
      </c>
      <c r="D52" s="26" t="n">
        <v>33818</v>
      </c>
      <c r="E52" s="26" t="n">
        <v>84026</v>
      </c>
      <c r="F52" s="26" t="n">
        <v>141450</v>
      </c>
    </row>
    <row r="53">
      <c r="A53" s="16" t="inlineStr">
        <is>
          <t>Income Tax Expense</t>
        </is>
      </c>
      <c r="B53" s="17" t="n">
        <v>189</v>
      </c>
      <c r="C53" s="17" t="n">
        <v>-187</v>
      </c>
      <c r="D53" s="17" t="n">
        <v>4058</v>
      </c>
      <c r="E53" s="17" t="n">
        <v>11146</v>
      </c>
      <c r="F53" s="17" t="n">
        <v>21383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9752</v>
      </c>
      <c r="C55" s="17" t="n">
        <v>4368</v>
      </c>
      <c r="D55" s="17" t="n">
        <v>29760</v>
      </c>
      <c r="E55" s="17" t="n">
        <v>72880</v>
      </c>
      <c r="F55" s="17" t="n">
        <v>120067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9752</v>
      </c>
      <c r="C59" s="26" t="n">
        <v>4368</v>
      </c>
      <c r="D59" s="26" t="n">
        <v>29760</v>
      </c>
      <c r="E59" s="26" t="n">
        <v>72880</v>
      </c>
      <c r="F59" s="26" t="n">
        <v>120067</v>
      </c>
    </row>
    <row r="60">
      <c r="A60" s="14" t="inlineStr">
        <is>
          <t>Bottom Line Net Income</t>
        </is>
      </c>
      <c r="B60" s="15" t="n">
        <v>9752</v>
      </c>
      <c r="C60" s="15" t="n">
        <v>4368</v>
      </c>
      <c r="D60" s="15" t="n">
        <v>29760</v>
      </c>
      <c r="E60" s="15" t="n">
        <v>72880</v>
      </c>
      <c r="F60" s="15" t="n">
        <v>120067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0.39</v>
      </c>
      <c r="C62" s="17" t="n">
        <v>0.18</v>
      </c>
      <c r="D62" s="17" t="n">
        <v>1.21</v>
      </c>
      <c r="E62" s="17" t="n">
        <v>2.97</v>
      </c>
      <c r="F62" s="17" t="n">
        <v>4.93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24960</v>
      </c>
      <c r="C64" s="17" t="n">
        <v>24870</v>
      </c>
      <c r="D64" s="17" t="n">
        <v>24690</v>
      </c>
      <c r="E64" s="17" t="n">
        <v>24555</v>
      </c>
      <c r="F64" s="17" t="n">
        <v>24304</v>
      </c>
    </row>
    <row r="65">
      <c r="A65" s="16" t="inlineStr">
        <is>
          <t>Shares Outstanding — Diluted (mm)</t>
        </is>
      </c>
      <c r="B65" s="17" t="n">
        <v>25350</v>
      </c>
      <c r="C65" s="17" t="n">
        <v>25070</v>
      </c>
      <c r="D65" s="17" t="n">
        <v>24940</v>
      </c>
      <c r="E65" s="17" t="n">
        <v>24804</v>
      </c>
      <c r="F65" s="17" t="n">
        <v>24432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1990</v>
      </c>
      <c r="C5" s="17" t="n">
        <v>3389</v>
      </c>
      <c r="D5" s="17" t="n">
        <v>7280</v>
      </c>
      <c r="E5" s="17" t="n">
        <v>8589</v>
      </c>
      <c r="F5" s="17" t="n">
        <v>10605</v>
      </c>
    </row>
    <row r="6">
      <c r="A6" s="16" t="inlineStr">
        <is>
          <t>(2)  Receivables</t>
        </is>
      </c>
      <c r="B6" s="17" t="n">
        <v>4650</v>
      </c>
      <c r="C6" s="17" t="n">
        <v>3827</v>
      </c>
      <c r="D6" s="17" t="n">
        <v>9999</v>
      </c>
      <c r="E6" s="17" t="n">
        <v>23065</v>
      </c>
      <c r="F6" s="17" t="n">
        <v>38466</v>
      </c>
    </row>
    <row r="7">
      <c r="A7" s="16" t="inlineStr">
        <is>
          <t>(3)  Inventory</t>
        </is>
      </c>
      <c r="B7" s="17" t="n">
        <v>2605</v>
      </c>
      <c r="C7" s="17" t="n">
        <v>5159</v>
      </c>
      <c r="D7" s="17" t="n">
        <v>5282</v>
      </c>
      <c r="E7" s="17" t="n">
        <v>10080</v>
      </c>
      <c r="F7" s="17" t="n">
        <v>21403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28829</v>
      </c>
      <c r="C9" s="23" t="n">
        <v>23073</v>
      </c>
      <c r="D9" s="23" t="n">
        <v>44345</v>
      </c>
      <c r="E9" s="23" t="n">
        <v>80126</v>
      </c>
      <c r="F9" s="23" t="n">
        <v>125605</v>
      </c>
    </row>
    <row r="10">
      <c r="A10" s="16" t="inlineStr">
        <is>
          <t>(6)  PP&amp;E (Net)</t>
        </is>
      </c>
      <c r="B10" s="17" t="n">
        <v>3607</v>
      </c>
      <c r="C10" s="17" t="n">
        <v>4845</v>
      </c>
      <c r="D10" s="17" t="n">
        <v>5260</v>
      </c>
      <c r="E10" s="17" t="n">
        <v>8076</v>
      </c>
      <c r="F10" s="17" t="n">
        <v>13250</v>
      </c>
    </row>
    <row r="11">
      <c r="A11" s="16" t="inlineStr">
        <is>
          <t>(7)  Goodwill</t>
        </is>
      </c>
      <c r="B11" s="17" t="n">
        <v>4349</v>
      </c>
      <c r="C11" s="17" t="n">
        <v>4372</v>
      </c>
      <c r="D11" s="17" t="n">
        <v>4430</v>
      </c>
      <c r="E11" s="17" t="n">
        <v>5188</v>
      </c>
      <c r="F11" s="17" t="n">
        <v>20832</v>
      </c>
    </row>
    <row r="12">
      <c r="A12" s="16" t="inlineStr">
        <is>
          <t>(8)  Deferred Tax Assets</t>
        </is>
      </c>
      <c r="B12" s="17" t="n">
        <v>1222</v>
      </c>
      <c r="C12" s="17" t="n">
        <v>3396</v>
      </c>
      <c r="D12" s="17" t="n">
        <v>6081</v>
      </c>
      <c r="E12" s="17" t="n">
        <v>10979</v>
      </c>
      <c r="F12" s="17" t="n">
        <v>13258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15358</v>
      </c>
      <c r="C14" s="23" t="n">
        <v>18109</v>
      </c>
      <c r="D14" s="23" t="n">
        <v>21383</v>
      </c>
      <c r="E14" s="23" t="n">
        <v>31475</v>
      </c>
      <c r="F14" s="23" t="n">
        <v>81198</v>
      </c>
    </row>
    <row r="15">
      <c r="A15" s="18" t="inlineStr">
        <is>
          <t>(11) Total Assets</t>
        </is>
      </c>
      <c r="B15" s="23" t="n">
        <v>44187</v>
      </c>
      <c r="C15" s="23" t="n">
        <v>41182</v>
      </c>
      <c r="D15" s="23" t="n">
        <v>65728</v>
      </c>
      <c r="E15" s="23" t="n">
        <v>111601</v>
      </c>
      <c r="F15" s="23" t="n">
        <v>206803</v>
      </c>
    </row>
    <row r="16" ht="6" customHeight="1"/>
    <row r="17">
      <c r="A17" s="16" t="inlineStr">
        <is>
          <t>(12) Accounts Payable</t>
        </is>
      </c>
      <c r="B17" s="17" t="n">
        <v>1783</v>
      </c>
      <c r="C17" s="17" t="n">
        <v>1193</v>
      </c>
      <c r="D17" s="17" t="n">
        <v>2699</v>
      </c>
      <c r="E17" s="17" t="n">
        <v>6310</v>
      </c>
      <c r="F17" s="17" t="n">
        <v>9812</v>
      </c>
    </row>
    <row r="18">
      <c r="A18" s="16" t="inlineStr">
        <is>
          <t>(13) Short-Term Borrowings</t>
        </is>
      </c>
      <c r="B18" s="17" t="n">
        <v>0</v>
      </c>
      <c r="C18" s="17" t="n">
        <v>1250</v>
      </c>
      <c r="D18" s="17" t="n">
        <v>1250</v>
      </c>
      <c r="E18" s="17" t="n">
        <v>0</v>
      </c>
      <c r="F18" s="17" t="n">
        <v>999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4335</v>
      </c>
      <c r="C21" s="23" t="n">
        <v>6563</v>
      </c>
      <c r="D21" s="23" t="n">
        <v>10631</v>
      </c>
      <c r="E21" s="23" t="n">
        <v>18047</v>
      </c>
      <c r="F21" s="23" t="n">
        <v>32163</v>
      </c>
    </row>
    <row r="22">
      <c r="A22" s="16" t="inlineStr">
        <is>
          <t>(17) Long-Term Debt</t>
        </is>
      </c>
      <c r="B22" s="17" t="n">
        <v>10946</v>
      </c>
      <c r="C22" s="17" t="n">
        <v>9703</v>
      </c>
      <c r="D22" s="17" t="n">
        <v>8459</v>
      </c>
      <c r="E22" s="17" t="n">
        <v>8463</v>
      </c>
      <c r="F22" s="17" t="n">
        <v>7469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17575</v>
      </c>
      <c r="C25" s="23" t="n">
        <v>19081</v>
      </c>
      <c r="D25" s="23" t="n">
        <v>22750</v>
      </c>
      <c r="E25" s="23" t="n">
        <v>32274</v>
      </c>
      <c r="F25" s="23" t="n">
        <v>49510</v>
      </c>
    </row>
    <row r="26" ht="6" customHeight="1"/>
    <row r="27">
      <c r="A27" s="16" t="inlineStr">
        <is>
          <t>(21) Common Stock &amp; APIC</t>
        </is>
      </c>
      <c r="B27" s="17" t="n">
        <v>3</v>
      </c>
      <c r="C27" s="17" t="n">
        <v>2</v>
      </c>
      <c r="D27" s="17" t="n">
        <v>25</v>
      </c>
      <c r="E27" s="17" t="n">
        <v>24</v>
      </c>
      <c r="F27" s="17" t="n">
        <v>24</v>
      </c>
    </row>
    <row r="28">
      <c r="A28" s="16" t="inlineStr">
        <is>
          <t>(22) Retained Earnings</t>
        </is>
      </c>
      <c r="B28" s="17" t="n">
        <v>16235</v>
      </c>
      <c r="C28" s="17" t="n">
        <v>10171</v>
      </c>
      <c r="D28" s="17" t="n">
        <v>29817</v>
      </c>
      <c r="E28" s="17" t="n">
        <v>68038</v>
      </c>
      <c r="F28" s="17" t="n">
        <v>146973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26612</v>
      </c>
      <c r="C30" s="23" t="n">
        <v>22101</v>
      </c>
      <c r="D30" s="23" t="n">
        <v>42978</v>
      </c>
      <c r="E30" s="23" t="n">
        <v>79327</v>
      </c>
      <c r="F30" s="23" t="n">
        <v>157293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2022</t>
        </is>
      </c>
      <c r="C34" s="13" t="inlineStr">
        <is>
          <t>2023</t>
        </is>
      </c>
      <c r="D34" s="13" t="inlineStr">
        <is>
          <t>2024</t>
        </is>
      </c>
      <c r="E34" s="13" t="inlineStr">
        <is>
          <t>2025</t>
        </is>
      </c>
      <c r="F34" s="13" t="inlineStr">
        <is>
          <t>2026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1990</v>
      </c>
      <c r="C36" s="17" t="n">
        <v>3389</v>
      </c>
      <c r="D36" s="17" t="n">
        <v>7280</v>
      </c>
      <c r="E36" s="17" t="n">
        <v>8589</v>
      </c>
      <c r="F36" s="17" t="n">
        <v>10605</v>
      </c>
    </row>
    <row r="37">
      <c r="A37" s="16" t="inlineStr">
        <is>
          <t>Short-Term Investments</t>
        </is>
      </c>
      <c r="B37" s="17" t="n">
        <v>19218</v>
      </c>
      <c r="C37" s="17" t="n">
        <v>9907</v>
      </c>
      <c r="D37" s="17" t="n">
        <v>18704</v>
      </c>
      <c r="E37" s="17" t="n">
        <v>34621</v>
      </c>
      <c r="F37" s="17" t="n">
        <v>51951</v>
      </c>
    </row>
    <row r="38">
      <c r="A38" s="27" t="inlineStr">
        <is>
          <t>Cash &amp; Short-Term Investments</t>
        </is>
      </c>
      <c r="B38" s="28" t="n">
        <v>21208</v>
      </c>
      <c r="C38" s="28" t="n">
        <v>13296</v>
      </c>
      <c r="D38" s="28" t="n">
        <v>25984</v>
      </c>
      <c r="E38" s="28" t="n">
        <v>43210</v>
      </c>
      <c r="F38" s="28" t="n">
        <v>62556</v>
      </c>
    </row>
    <row r="39">
      <c r="A39" s="16" t="inlineStr">
        <is>
          <t>Accounts Receivable (Trade)</t>
        </is>
      </c>
      <c r="B39" s="17" t="n">
        <v>4650</v>
      </c>
      <c r="C39" s="17" t="n">
        <v>3827</v>
      </c>
      <c r="D39" s="17" t="n">
        <v>9999</v>
      </c>
      <c r="E39" s="17" t="n">
        <v>23065</v>
      </c>
      <c r="F39" s="17" t="n">
        <v>38466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4650</v>
      </c>
      <c r="C41" s="28" t="n">
        <v>3827</v>
      </c>
      <c r="D41" s="28" t="n">
        <v>9999</v>
      </c>
      <c r="E41" s="28" t="n">
        <v>23065</v>
      </c>
      <c r="F41" s="28" t="n">
        <v>38466</v>
      </c>
    </row>
    <row r="42">
      <c r="A42" s="16" t="inlineStr">
        <is>
          <t>Inventory</t>
        </is>
      </c>
      <c r="B42" s="17" t="n">
        <v>2605</v>
      </c>
      <c r="C42" s="17" t="n">
        <v>5159</v>
      </c>
      <c r="D42" s="17" t="n">
        <v>5282</v>
      </c>
      <c r="E42" s="17" t="n">
        <v>10080</v>
      </c>
      <c r="F42" s="17" t="n">
        <v>21403</v>
      </c>
    </row>
    <row r="43">
      <c r="A43" s="16" t="inlineStr">
        <is>
          <t>Prepaids</t>
        </is>
      </c>
      <c r="B43" s="17" t="n">
        <v>366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791</v>
      </c>
      <c r="D44" s="17" t="n">
        <v>3080</v>
      </c>
      <c r="E44" s="17" t="n">
        <v>3771</v>
      </c>
      <c r="F44" s="17" t="n">
        <v>3180</v>
      </c>
    </row>
    <row r="45">
      <c r="A45" s="25" t="inlineStr">
        <is>
          <t>Total Current Assets</t>
        </is>
      </c>
      <c r="B45" s="26" t="n">
        <v>28829</v>
      </c>
      <c r="C45" s="26" t="n">
        <v>23073</v>
      </c>
      <c r="D45" s="26" t="n">
        <v>44345</v>
      </c>
      <c r="E45" s="26" t="n">
        <v>80126</v>
      </c>
      <c r="F45" s="26" t="n">
        <v>125605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3607</v>
      </c>
      <c r="C47" s="17" t="n">
        <v>4845</v>
      </c>
      <c r="D47" s="17" t="n">
        <v>5260</v>
      </c>
      <c r="E47" s="17" t="n">
        <v>8076</v>
      </c>
      <c r="F47" s="17" t="n">
        <v>13250</v>
      </c>
    </row>
    <row r="48">
      <c r="A48" s="16" t="inlineStr">
        <is>
          <t>Goodwill</t>
        </is>
      </c>
      <c r="B48" s="17" t="n">
        <v>4349</v>
      </c>
      <c r="C48" s="17" t="n">
        <v>4372</v>
      </c>
      <c r="D48" s="17" t="n">
        <v>4430</v>
      </c>
      <c r="E48" s="17" t="n">
        <v>5188</v>
      </c>
      <c r="F48" s="17" t="n">
        <v>20832</v>
      </c>
    </row>
    <row r="49">
      <c r="A49" s="16" t="inlineStr">
        <is>
          <t>Intangible Assets</t>
        </is>
      </c>
      <c r="B49" s="17" t="n">
        <v>2339</v>
      </c>
      <c r="C49" s="17" t="n">
        <v>1676</v>
      </c>
      <c r="D49" s="17" t="n">
        <v>1112</v>
      </c>
      <c r="E49" s="17" t="n">
        <v>807</v>
      </c>
      <c r="F49" s="17" t="n">
        <v>3306</v>
      </c>
    </row>
    <row r="50">
      <c r="A50" s="16" t="inlineStr">
        <is>
          <t>Long-Term Investments</t>
        </is>
      </c>
      <c r="B50" s="17" t="n">
        <v>266</v>
      </c>
      <c r="C50" s="17" t="n">
        <v>299</v>
      </c>
      <c r="D50" s="17" t="n">
        <v>1321</v>
      </c>
      <c r="E50" s="17" t="n">
        <v>3387</v>
      </c>
      <c r="F50" s="17" t="n">
        <v>22251</v>
      </c>
    </row>
    <row r="51">
      <c r="A51" s="16" t="inlineStr">
        <is>
          <t>Tax Assets (Deferred)</t>
        </is>
      </c>
      <c r="B51" s="17" t="n">
        <v>1222</v>
      </c>
      <c r="C51" s="17" t="n">
        <v>3396</v>
      </c>
      <c r="D51" s="17" t="n">
        <v>6081</v>
      </c>
      <c r="E51" s="17" t="n">
        <v>10979</v>
      </c>
      <c r="F51" s="17" t="n">
        <v>13258</v>
      </c>
    </row>
    <row r="52">
      <c r="A52" s="16" t="inlineStr">
        <is>
          <t>Total Investments</t>
        </is>
      </c>
      <c r="B52" s="17" t="n">
        <v>19484</v>
      </c>
      <c r="C52" s="17" t="n">
        <v>10206</v>
      </c>
      <c r="D52" s="17" t="n">
        <v>20025</v>
      </c>
      <c r="E52" s="17" t="n">
        <v>38008</v>
      </c>
      <c r="F52" s="17" t="n">
        <v>74202</v>
      </c>
    </row>
    <row r="53">
      <c r="A53" s="16" t="inlineStr">
        <is>
          <t>Other Non-Current Assets</t>
        </is>
      </c>
      <c r="B53" s="17" t="n">
        <v>3575</v>
      </c>
      <c r="C53" s="17" t="n">
        <v>3521</v>
      </c>
      <c r="D53" s="17" t="n">
        <v>3179</v>
      </c>
      <c r="E53" s="17" t="n">
        <v>3038</v>
      </c>
      <c r="F53" s="17" t="n">
        <v>8301</v>
      </c>
    </row>
    <row r="54">
      <c r="A54" s="25" t="inlineStr">
        <is>
          <t>Total Non-Current Assets</t>
        </is>
      </c>
      <c r="B54" s="26" t="n">
        <v>15358</v>
      </c>
      <c r="C54" s="26" t="n">
        <v>18109</v>
      </c>
      <c r="D54" s="26" t="n">
        <v>21383</v>
      </c>
      <c r="E54" s="26" t="n">
        <v>31475</v>
      </c>
      <c r="F54" s="26" t="n">
        <v>81198</v>
      </c>
    </row>
    <row r="55">
      <c r="A55" s="12" t="inlineStr">
        <is>
          <t>TOTAL ASSETS</t>
        </is>
      </c>
      <c r="B55" s="29" t="n">
        <v>44187</v>
      </c>
      <c r="C55" s="29" t="n">
        <v>41182</v>
      </c>
      <c r="D55" s="29" t="n">
        <v>65728</v>
      </c>
      <c r="E55" s="29" t="n">
        <v>111601</v>
      </c>
      <c r="F55" s="29" t="n">
        <v>206803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1783</v>
      </c>
      <c r="C57" s="17" t="n">
        <v>1193</v>
      </c>
      <c r="D57" s="17" t="n">
        <v>2699</v>
      </c>
      <c r="E57" s="17" t="n">
        <v>6310</v>
      </c>
      <c r="F57" s="17" t="n">
        <v>9812</v>
      </c>
    </row>
    <row r="58">
      <c r="A58" s="16" t="inlineStr">
        <is>
          <t>Short-Term Debt</t>
        </is>
      </c>
      <c r="B58" s="17" t="n">
        <v>0</v>
      </c>
      <c r="C58" s="17" t="n">
        <v>1250</v>
      </c>
      <c r="D58" s="17" t="n">
        <v>1250</v>
      </c>
      <c r="E58" s="17" t="n">
        <v>0</v>
      </c>
      <c r="F58" s="17" t="n">
        <v>999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300</v>
      </c>
      <c r="C60" s="17" t="n">
        <v>354</v>
      </c>
      <c r="D60" s="17" t="n">
        <v>764</v>
      </c>
      <c r="E60" s="17" t="n">
        <v>837</v>
      </c>
      <c r="F60" s="17" t="n">
        <v>1379</v>
      </c>
    </row>
    <row r="61">
      <c r="A61" s="16" t="inlineStr">
        <is>
          <t>Accrued &amp; Other Current Liabilities</t>
        </is>
      </c>
      <c r="B61" s="17" t="n">
        <v>371</v>
      </c>
      <c r="C61" s="17" t="n">
        <v>177</v>
      </c>
      <c r="D61" s="17" t="n">
        <v>614</v>
      </c>
      <c r="E61" s="17" t="n">
        <v>1601</v>
      </c>
      <c r="F61" s="17" t="n">
        <v>7693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4335</v>
      </c>
      <c r="C63" s="26" t="n">
        <v>6563</v>
      </c>
      <c r="D63" s="26" t="n">
        <v>10631</v>
      </c>
      <c r="E63" s="26" t="n">
        <v>18047</v>
      </c>
      <c r="F63" s="26" t="n">
        <v>32163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10946</v>
      </c>
      <c r="C65" s="17" t="n">
        <v>9703</v>
      </c>
      <c r="D65" s="17" t="n">
        <v>8459</v>
      </c>
      <c r="E65" s="17" t="n">
        <v>8463</v>
      </c>
      <c r="F65" s="17" t="n">
        <v>7469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202</v>
      </c>
      <c r="C67" s="17" t="n">
        <v>218</v>
      </c>
      <c r="D67" s="17" t="n">
        <v>573</v>
      </c>
      <c r="E67" s="17" t="n">
        <v>976</v>
      </c>
      <c r="F67" s="17" t="n">
        <v>1193</v>
      </c>
    </row>
    <row r="68">
      <c r="A68" s="16" t="inlineStr">
        <is>
          <t>Deferred Tax Liabilities</t>
        </is>
      </c>
      <c r="B68" s="17" t="n">
        <v>245</v>
      </c>
      <c r="C68" s="17" t="n">
        <v>247</v>
      </c>
      <c r="D68" s="17" t="n">
        <v>462</v>
      </c>
      <c r="E68" s="17" t="n">
        <v>886</v>
      </c>
      <c r="F68" s="17" t="n">
        <v>1774</v>
      </c>
    </row>
    <row r="69">
      <c r="A69" s="16" t="inlineStr">
        <is>
          <t>Other Non-Current Liabilities</t>
        </is>
      </c>
      <c r="B69" s="17" t="n">
        <v>1106</v>
      </c>
      <c r="C69" s="17" t="n">
        <v>1448</v>
      </c>
      <c r="D69" s="17" t="n">
        <v>1506</v>
      </c>
      <c r="E69" s="17" t="n">
        <v>2383</v>
      </c>
      <c r="F69" s="17" t="n">
        <v>4339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17575</v>
      </c>
      <c r="C71" s="29" t="n">
        <v>19081</v>
      </c>
      <c r="D71" s="29" t="n">
        <v>22750</v>
      </c>
      <c r="E71" s="29" t="n">
        <v>32274</v>
      </c>
      <c r="F71" s="29" t="n">
        <v>49510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3</v>
      </c>
      <c r="C73" s="17" t="n">
        <v>2</v>
      </c>
      <c r="D73" s="17" t="n">
        <v>25</v>
      </c>
      <c r="E73" s="17" t="n">
        <v>24</v>
      </c>
      <c r="F73" s="17" t="n">
        <v>24</v>
      </c>
    </row>
    <row r="74">
      <c r="A74" s="16" t="inlineStr">
        <is>
          <t>Retained Earnings</t>
        </is>
      </c>
      <c r="B74" s="17" t="n">
        <v>16235</v>
      </c>
      <c r="C74" s="17" t="n">
        <v>10171</v>
      </c>
      <c r="D74" s="17" t="n">
        <v>29817</v>
      </c>
      <c r="E74" s="17" t="n">
        <v>68038</v>
      </c>
      <c r="F74" s="17" t="n">
        <v>146973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26612</v>
      </c>
      <c r="C78" s="26" t="n">
        <v>22101</v>
      </c>
      <c r="D78" s="26" t="n">
        <v>42978</v>
      </c>
      <c r="E78" s="26" t="n">
        <v>79327</v>
      </c>
      <c r="F78" s="26" t="n">
        <v>157293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11831</v>
      </c>
      <c r="C80" s="15" t="n">
        <v>12031</v>
      </c>
      <c r="D80" s="15" t="n">
        <v>11056</v>
      </c>
      <c r="E80" s="15" t="n">
        <v>10270</v>
      </c>
      <c r="F80" s="15" t="n">
        <v>11412</v>
      </c>
    </row>
    <row r="81">
      <c r="A81" s="14" t="inlineStr">
        <is>
          <t>Net Debt</t>
        </is>
      </c>
      <c r="B81" s="15" t="n">
        <v>9841</v>
      </c>
      <c r="C81" s="15" t="n">
        <v>8642</v>
      </c>
      <c r="D81" s="15" t="n">
        <v>3776</v>
      </c>
      <c r="E81" s="15" t="n">
        <v>1681</v>
      </c>
      <c r="F81" s="15" t="n">
        <v>807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9108</v>
      </c>
      <c r="C5" s="23" t="n">
        <v>5641</v>
      </c>
      <c r="D5" s="23" t="n">
        <v>28090</v>
      </c>
      <c r="E5" s="23" t="n">
        <v>64089</v>
      </c>
      <c r="F5" s="23" t="n">
        <v>102718</v>
      </c>
    </row>
    <row r="6">
      <c r="A6" s="16" t="inlineStr">
        <is>
          <t>(2)  Capital Expenditures</t>
        </is>
      </c>
      <c r="B6" s="17" t="n">
        <v>-976</v>
      </c>
      <c r="C6" s="17" t="n">
        <v>-1833</v>
      </c>
      <c r="D6" s="17" t="n">
        <v>-1069</v>
      </c>
      <c r="E6" s="17" t="n">
        <v>-3236</v>
      </c>
      <c r="F6" s="17" t="n">
        <v>-6042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3977</v>
      </c>
      <c r="C9" s="17" t="n">
        <v>0</v>
      </c>
      <c r="D9" s="17" t="n">
        <v>-1250</v>
      </c>
      <c r="E9" s="17" t="n">
        <v>-1250</v>
      </c>
      <c r="F9" s="17" t="n">
        <v>0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281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-399</v>
      </c>
      <c r="C12" s="17" t="n">
        <v>-398</v>
      </c>
      <c r="D12" s="17" t="n">
        <v>-395</v>
      </c>
      <c r="E12" s="17" t="n">
        <v>-834</v>
      </c>
      <c r="F12" s="17" t="n">
        <v>-974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8132</v>
      </c>
      <c r="C15" s="23" t="n">
        <v>3808</v>
      </c>
      <c r="D15" s="23" t="n">
        <v>27021</v>
      </c>
      <c r="E15" s="23" t="n">
        <v>60853</v>
      </c>
      <c r="F15" s="23" t="n">
        <v>96676</v>
      </c>
    </row>
    <row r="16">
      <c r="A16" s="14" t="inlineStr">
        <is>
          <t xml:space="preserve">     Net Change in Cash</t>
        </is>
      </c>
      <c r="B16" s="15" t="n">
        <v>1143</v>
      </c>
      <c r="C16" s="15" t="n">
        <v>1399</v>
      </c>
      <c r="D16" s="15" t="n">
        <v>3891</v>
      </c>
      <c r="E16" s="15" t="n">
        <v>1309</v>
      </c>
      <c r="F16" s="15" t="n">
        <v>2016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2022</t>
        </is>
      </c>
      <c r="C19" s="13" t="inlineStr">
        <is>
          <t>2023</t>
        </is>
      </c>
      <c r="D19" s="13" t="inlineStr">
        <is>
          <t>2024</t>
        </is>
      </c>
      <c r="E19" s="13" t="inlineStr">
        <is>
          <t>2025</t>
        </is>
      </c>
      <c r="F19" s="13" t="inlineStr">
        <is>
          <t>2026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9752</v>
      </c>
      <c r="C21" s="17" t="n">
        <v>4368</v>
      </c>
      <c r="D21" s="17" t="n">
        <v>29760</v>
      </c>
      <c r="E21" s="17" t="n">
        <v>72880</v>
      </c>
      <c r="F21" s="17" t="n">
        <v>120067</v>
      </c>
    </row>
    <row r="22">
      <c r="A22" s="16" t="inlineStr">
        <is>
          <t>Depreciation &amp; Amortisation</t>
        </is>
      </c>
      <c r="B22" s="17" t="n">
        <v>1174</v>
      </c>
      <c r="C22" s="17" t="n">
        <v>1544</v>
      </c>
      <c r="D22" s="17" t="n">
        <v>1508</v>
      </c>
      <c r="E22" s="17" t="n">
        <v>1864</v>
      </c>
      <c r="F22" s="17" t="n">
        <v>2843</v>
      </c>
    </row>
    <row r="23">
      <c r="A23" s="16" t="inlineStr">
        <is>
          <t>Deferred Income Tax</t>
        </is>
      </c>
      <c r="B23" s="17" t="n">
        <v>-406</v>
      </c>
      <c r="C23" s="17" t="n">
        <v>-2164</v>
      </c>
      <c r="D23" s="17" t="n">
        <v>-2489</v>
      </c>
      <c r="E23" s="17" t="n">
        <v>-4477</v>
      </c>
      <c r="F23" s="17" t="n">
        <v>-1424</v>
      </c>
    </row>
    <row r="24">
      <c r="A24" s="16" t="inlineStr">
        <is>
          <t>Stock-Based Compensation</t>
        </is>
      </c>
      <c r="B24" s="17" t="n">
        <v>2004</v>
      </c>
      <c r="C24" s="17" t="n">
        <v>2709</v>
      </c>
      <c r="D24" s="17" t="n">
        <v>3549</v>
      </c>
      <c r="E24" s="17" t="n">
        <v>4737</v>
      </c>
      <c r="F24" s="17" t="n">
        <v>6386</v>
      </c>
    </row>
    <row r="25">
      <c r="A25" s="16" t="inlineStr">
        <is>
          <t>Change in Working Capital</t>
        </is>
      </c>
      <c r="B25" s="17" t="n">
        <v>-3363</v>
      </c>
      <c r="C25" s="17" t="n">
        <v>-2207</v>
      </c>
      <c r="D25" s="17" t="n">
        <v>-3722</v>
      </c>
      <c r="E25" s="17" t="n">
        <v>-9383</v>
      </c>
      <c r="F25" s="17" t="n">
        <v>-15949</v>
      </c>
    </row>
    <row r="26">
      <c r="A26" s="20" t="inlineStr">
        <is>
          <t xml:space="preserve">  — Accounts Receivable</t>
        </is>
      </c>
      <c r="B26" s="17" t="n">
        <v>-2215</v>
      </c>
      <c r="C26" s="17" t="n">
        <v>822</v>
      </c>
      <c r="D26" s="17" t="n">
        <v>-6172</v>
      </c>
      <c r="E26" s="17" t="n">
        <v>-13063</v>
      </c>
      <c r="F26" s="17" t="n">
        <v>-15399</v>
      </c>
    </row>
    <row r="27">
      <c r="A27" s="20" t="inlineStr">
        <is>
          <t xml:space="preserve">  — Inventory</t>
        </is>
      </c>
      <c r="B27" s="17" t="n">
        <v>-774</v>
      </c>
      <c r="C27" s="17" t="n">
        <v>-2554</v>
      </c>
      <c r="D27" s="17" t="n">
        <v>-98</v>
      </c>
      <c r="E27" s="17" t="n">
        <v>-4781</v>
      </c>
      <c r="F27" s="17" t="n">
        <v>-11324</v>
      </c>
    </row>
    <row r="28">
      <c r="A28" s="20" t="inlineStr">
        <is>
          <t xml:space="preserve">  — Accounts Payable</t>
        </is>
      </c>
      <c r="B28" s="17" t="n">
        <v>568</v>
      </c>
      <c r="C28" s="17" t="n">
        <v>-551</v>
      </c>
      <c r="D28" s="17" t="n">
        <v>1531</v>
      </c>
      <c r="E28" s="17" t="n">
        <v>3357</v>
      </c>
      <c r="F28" s="17" t="n">
        <v>3096</v>
      </c>
    </row>
    <row r="29">
      <c r="A29" s="20" t="inlineStr">
        <is>
          <t xml:space="preserve">  — Other Working Capital</t>
        </is>
      </c>
      <c r="B29" s="17" t="n">
        <v>-942</v>
      </c>
      <c r="C29" s="17" t="n">
        <v>76</v>
      </c>
      <c r="D29" s="17" t="n">
        <v>1017</v>
      </c>
      <c r="E29" s="17" t="n">
        <v>5104</v>
      </c>
      <c r="F29" s="17" t="n">
        <v>7678</v>
      </c>
    </row>
    <row r="30">
      <c r="A30" s="16" t="inlineStr">
        <is>
          <t>Other Non-Cash Items</t>
        </is>
      </c>
      <c r="B30" s="17" t="n">
        <v>-53</v>
      </c>
      <c r="C30" s="17" t="n">
        <v>1391</v>
      </c>
      <c r="D30" s="17" t="n">
        <v>-516</v>
      </c>
      <c r="E30" s="17" t="n">
        <v>-1532</v>
      </c>
      <c r="F30" s="17" t="n">
        <v>-9205</v>
      </c>
    </row>
    <row r="31">
      <c r="A31" s="25" t="inlineStr">
        <is>
          <t>Net Cash from Operations (CFO)</t>
        </is>
      </c>
      <c r="B31" s="26" t="n">
        <v>9108</v>
      </c>
      <c r="C31" s="26" t="n">
        <v>5641</v>
      </c>
      <c r="D31" s="26" t="n">
        <v>28090</v>
      </c>
      <c r="E31" s="26" t="n">
        <v>64089</v>
      </c>
      <c r="F31" s="26" t="n">
        <v>102718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-976</v>
      </c>
      <c r="C33" s="17" t="n">
        <v>-1833</v>
      </c>
      <c r="D33" s="17" t="n">
        <v>-1069</v>
      </c>
      <c r="E33" s="17" t="n">
        <v>-3236</v>
      </c>
      <c r="F33" s="17" t="n">
        <v>-6042</v>
      </c>
    </row>
    <row r="34">
      <c r="A34" s="20" t="inlineStr">
        <is>
          <t xml:space="preserve">  (Alt: Invest. in PP&amp;E)</t>
        </is>
      </c>
      <c r="B34" s="17" t="n">
        <v>-976</v>
      </c>
      <c r="C34" s="17" t="n">
        <v>-1833</v>
      </c>
      <c r="D34" s="17" t="n">
        <v>-1069</v>
      </c>
      <c r="E34" s="17" t="n">
        <v>-3236</v>
      </c>
      <c r="F34" s="17" t="n">
        <v>-6042</v>
      </c>
    </row>
    <row r="35">
      <c r="A35" s="16" t="inlineStr">
        <is>
          <t>Acquisitions (Net)</t>
        </is>
      </c>
      <c r="B35" s="17" t="n">
        <v>-263</v>
      </c>
      <c r="C35" s="17" t="n">
        <v>-49</v>
      </c>
      <c r="D35" s="17" t="n">
        <v>-83</v>
      </c>
      <c r="E35" s="17" t="n">
        <v>-1007</v>
      </c>
      <c r="F35" s="17" t="n">
        <v>-1535</v>
      </c>
    </row>
    <row r="36">
      <c r="A36" s="16" t="inlineStr">
        <is>
          <t>Purchases of Investments</t>
        </is>
      </c>
      <c r="B36" s="17" t="n">
        <v>-24811</v>
      </c>
      <c r="C36" s="17" t="n">
        <v>-11982</v>
      </c>
      <c r="D36" s="17" t="n">
        <v>-19073</v>
      </c>
      <c r="E36" s="17" t="n">
        <v>-28061</v>
      </c>
      <c r="F36" s="17" t="n">
        <v>-58118</v>
      </c>
    </row>
    <row r="37">
      <c r="A37" s="16" t="inlineStr">
        <is>
          <t>Sales / Maturities of Investments</t>
        </is>
      </c>
      <c r="B37" s="17" t="n">
        <v>16220</v>
      </c>
      <c r="C37" s="17" t="n">
        <v>21239</v>
      </c>
      <c r="D37" s="17" t="n">
        <v>9783</v>
      </c>
      <c r="E37" s="17" t="n">
        <v>11861</v>
      </c>
      <c r="F37" s="17" t="n">
        <v>26467</v>
      </c>
    </row>
    <row r="38">
      <c r="A38" s="16" t="inlineStr">
        <is>
          <t>Other Investing Activities</t>
        </is>
      </c>
      <c r="B38" s="17" t="n">
        <v>0</v>
      </c>
      <c r="C38" s="17" t="n">
        <v>0</v>
      </c>
      <c r="D38" s="17" t="n">
        <v>-124</v>
      </c>
      <c r="E38" s="17" t="n">
        <v>22</v>
      </c>
      <c r="F38" s="17" t="n">
        <v>-13000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3977</v>
      </c>
      <c r="C41" s="17" t="n">
        <v>0</v>
      </c>
      <c r="D41" s="17" t="n">
        <v>-1250</v>
      </c>
      <c r="E41" s="17" t="n">
        <v>-1250</v>
      </c>
      <c r="F41" s="17" t="n">
        <v>0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281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0</v>
      </c>
      <c r="C44" s="17" t="n">
        <v>-10039</v>
      </c>
      <c r="D44" s="17" t="n">
        <v>-9533</v>
      </c>
      <c r="E44" s="17" t="n">
        <v>-33706</v>
      </c>
      <c r="F44" s="17" t="n">
        <v>-40086</v>
      </c>
    </row>
    <row r="45">
      <c r="A45" s="16" t="inlineStr">
        <is>
          <t>Dividends Paid</t>
        </is>
      </c>
      <c r="B45" s="17" t="n">
        <v>-399</v>
      </c>
      <c r="C45" s="17" t="n">
        <v>-398</v>
      </c>
      <c r="D45" s="17" t="n">
        <v>-395</v>
      </c>
      <c r="E45" s="17" t="n">
        <v>-834</v>
      </c>
      <c r="F45" s="17" t="n">
        <v>-974</v>
      </c>
    </row>
    <row r="46">
      <c r="A46" s="16" t="inlineStr">
        <is>
          <t>Other Financing Activities</t>
        </is>
      </c>
      <c r="B46" s="17" t="n">
        <v>-1994</v>
      </c>
      <c r="C46" s="17" t="n">
        <v>-1180</v>
      </c>
      <c r="D46" s="17" t="n">
        <v>-2455</v>
      </c>
      <c r="E46" s="17" t="n">
        <v>-6569</v>
      </c>
      <c r="F46" s="17" t="n">
        <v>-7414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4" t="inlineStr">
        <is>
          <t>Net Change in Cash</t>
        </is>
      </c>
      <c r="B50" s="15" t="n">
        <v>1143</v>
      </c>
      <c r="C50" s="15" t="n">
        <v>1399</v>
      </c>
      <c r="D50" s="15" t="n">
        <v>3891</v>
      </c>
      <c r="E50" s="15" t="n">
        <v>1309</v>
      </c>
      <c r="F50" s="15" t="n">
        <v>2016</v>
      </c>
    </row>
    <row r="51">
      <c r="A51" s="16" t="inlineStr">
        <is>
          <t>Cash at Beginning of Period</t>
        </is>
      </c>
      <c r="B51" s="17" t="n">
        <v>847</v>
      </c>
      <c r="C51" s="17" t="n">
        <v>1990</v>
      </c>
      <c r="D51" s="17" t="n">
        <v>3389</v>
      </c>
      <c r="E51" s="17" t="n">
        <v>7280</v>
      </c>
      <c r="F51" s="17" t="n">
        <v>8589</v>
      </c>
    </row>
    <row r="52">
      <c r="A52" s="25" t="inlineStr">
        <is>
          <t>Cash at End of Period</t>
        </is>
      </c>
      <c r="B52" s="26" t="n">
        <v>1990</v>
      </c>
      <c r="C52" s="26" t="n">
        <v>3389</v>
      </c>
      <c r="D52" s="26" t="n">
        <v>7280</v>
      </c>
      <c r="E52" s="26" t="n">
        <v>8589</v>
      </c>
      <c r="F52" s="26" t="n">
        <v>10605</v>
      </c>
    </row>
    <row r="53">
      <c r="A53" s="25" t="inlineStr">
        <is>
          <t>Free Cash Flow</t>
        </is>
      </c>
      <c r="B53" s="26" t="n">
        <v>8132</v>
      </c>
      <c r="C53" s="26" t="n">
        <v>3808</v>
      </c>
      <c r="D53" s="26" t="n">
        <v>27021</v>
      </c>
      <c r="E53" s="26" t="n">
        <v>60853</v>
      </c>
      <c r="F53" s="26" t="n">
        <v>96676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2022</t>
        </is>
      </c>
      <c r="C3" s="13" t="inlineStr">
        <is>
          <t>2023</t>
        </is>
      </c>
      <c r="D3" s="13" t="inlineStr">
        <is>
          <t>2024</t>
        </is>
      </c>
      <c r="E3" s="13" t="inlineStr">
        <is>
          <t>2025</t>
        </is>
      </c>
      <c r="F3" s="13" t="inlineStr">
        <is>
          <t>2026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25350</v>
      </c>
      <c r="C61" s="17" t="n">
        <v>25070</v>
      </c>
      <c r="D61" s="17" t="n">
        <v>24940</v>
      </c>
      <c r="E61" s="17" t="n">
        <v>24804</v>
      </c>
      <c r="F61" s="17" t="n">
        <v>24432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2026</t>
        </is>
      </c>
      <c r="C4" s="13" t="inlineStr">
        <is>
          <t>2025</t>
        </is>
      </c>
      <c r="D4" s="13" t="inlineStr">
        <is>
          <t>2024</t>
        </is>
      </c>
      <c r="E4" s="13" t="inlineStr">
        <is>
          <t>2023</t>
        </is>
      </c>
      <c r="F4" s="13" t="inlineStr">
        <is>
          <t>2022</t>
        </is>
      </c>
    </row>
    <row r="5">
      <c r="A5" s="16" t="inlineStr">
        <is>
          <t>data</t>
        </is>
      </c>
      <c r="B5" s="17" t="n">
        <v>2349</v>
      </c>
      <c r="C5" s="17" t="n">
        <v>1694</v>
      </c>
      <c r="D5" s="17" t="n">
        <v>1091</v>
      </c>
      <c r="E5" s="17" t="n">
        <v>903</v>
      </c>
      <c r="F5" s="17" t="n">
        <v>566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NVDA — WACC &amp; COST OF CAPITAL</t>
        </is>
      </c>
    </row>
    <row r="2" ht="14" customHeight="1">
      <c r="A2" s="2" t="inlineStr">
        <is>
          <t>Blue = user override  |  Amber = AI recommendation  |  Green = selected input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4833535.344233</v>
      </c>
      <c r="C5" s="43" t="inlineStr">
        <is>
          <t>FMP marketCap  |  price $198.87</t>
        </is>
      </c>
    </row>
    <row r="6">
      <c r="A6" s="16" t="inlineStr">
        <is>
          <t>Debt  (gross book value, $mm)</t>
        </is>
      </c>
      <c r="B6" s="42" t="n">
        <v>8468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0.0426</v>
      </c>
      <c r="C12" s="43" t="inlineStr">
        <is>
          <t>FRED series DGS10  |  latest: 2026-04-14</t>
        </is>
      </c>
    </row>
    <row r="13">
      <c r="A13" s="46" t="inlineStr">
        <is>
          <t>► Selected Rf  (override if needed)</t>
        </is>
      </c>
      <c r="B13" s="47" t="n">
        <v>0.0426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2.335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1.894</v>
      </c>
      <c r="C17" s="43" t="inlineStr">
        <is>
          <t>Mean-reversion toward market beta of 1.0</t>
        </is>
      </c>
    </row>
    <row r="18">
      <c r="A18" s="16" t="inlineStr">
        <is>
          <t>Damodaran industry unlevered  (Semiconductors)</t>
        </is>
      </c>
      <c r="B18" s="49" t="n">
        <v>1.15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0.00x,  t = 15.1%)</t>
        </is>
      </c>
      <c r="B19" s="49" t="n">
        <v>1.152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1.279</v>
      </c>
      <c r="C20" s="43" t="inlineStr">
        <is>
          <t>AMD: 1.963  |  INTC: 1.349  |  QCOM: 1.279  |  AVGO:</t>
        </is>
      </c>
    </row>
    <row r="21">
      <c r="A21" s="50" t="inlineStr">
        <is>
          <t>AI recommendation  (Gemini 2.0 Flash)</t>
        </is>
      </c>
      <c r="B21" s="51" t="n">
        <v>1.28</v>
      </c>
      <c r="C21" s="52" t="inlineStr">
        <is>
          <t>Rationale below</t>
        </is>
      </c>
    </row>
    <row r="22" ht="48" customHeight="1">
      <c r="A22" s="53" t="inlineStr">
        <is>
          <t>Rationale: The peer median beta of 1.279 is a strong indicator of typical systematic risk within the semiconductor industry. Given NVDA's significant growth and market leadership, a slight upward adjustment to this median, rounding to 1.28, is appropriate to reflect its potentially higher, though not extreme, risk profile compared to the average peer.</t>
        </is>
      </c>
    </row>
    <row r="23">
      <c r="A23" s="54" t="inlineStr">
        <is>
          <t>FLAG: Raw beta (2.33) is 2.0x Damodaran industry avg (1.15) — historical window may include structural break or regime change.</t>
        </is>
      </c>
    </row>
    <row r="24">
      <c r="A24" s="46" t="inlineStr">
        <is>
          <t>► Selected beta  (user override)</t>
        </is>
      </c>
      <c r="B24" s="55" t="n">
        <v>1.28</v>
      </c>
      <c r="C24" s="48" t="inlineStr">
        <is>
          <t>Pre-filled with AI suggestion — override freely</t>
        </is>
      </c>
    </row>
    <row r="25">
      <c r="A25" s="41" t="n"/>
      <c r="B25" s="41" t="n"/>
      <c r="C25" s="41" t="n"/>
    </row>
    <row r="26" ht="18" customHeight="1">
      <c r="A26" s="24" t="inlineStr">
        <is>
          <t>STEP 3 — EQUITY RISK PREMIUM  (ERP)</t>
        </is>
      </c>
    </row>
    <row r="27">
      <c r="A27" s="16" t="inlineStr">
        <is>
          <t>Damodaran implied ERP — US market (current)</t>
        </is>
      </c>
      <c r="B27" s="45" t="n">
        <v>0.0472</v>
      </c>
      <c r="C27" s="43" t="inlineStr">
        <is>
          <t>Damodaran.com implied ERP — Jan 2026</t>
        </is>
      </c>
    </row>
    <row r="28">
      <c r="A28" s="16" t="inlineStr">
        <is>
          <t>Damodaran historical avg — US 1928–2025</t>
        </is>
      </c>
      <c r="B28" s="45" t="n">
        <v>0.042</v>
      </c>
      <c r="C28" s="43" t="inlineStr">
        <is>
          <t>Arithmetic average excess return over T-bill</t>
        </is>
      </c>
    </row>
    <row r="29">
      <c r="A29" s="50" t="inlineStr">
        <is>
          <t>AI recommendation  (Gemini 2.0 Flash)</t>
        </is>
      </c>
      <c r="B29" s="56" t="n">
        <v>0.0472</v>
      </c>
      <c r="C29" s="52" t="inlineStr">
        <is>
          <t>Rationale below</t>
        </is>
      </c>
    </row>
    <row r="30" ht="48" customHeight="1">
      <c r="A30" s="53" t="inlineStr">
        <is>
          <t>Rationale: The current implied ERP from Damodaran (4.72%) is the most relevant for a forward-looking DCF model. It reflects current market expectations and conditions, making it a more appropriate input than a historical average. The current 10-year Treasury yield is already incorporated into the implied ERP.</t>
        </is>
      </c>
    </row>
    <row r="31">
      <c r="A31" s="46" t="inlineStr">
        <is>
          <t>► Selected ERP  (user override)</t>
        </is>
      </c>
      <c r="B31" s="47" t="n">
        <v>0.0472</v>
      </c>
      <c r="C31" s="48" t="inlineStr">
        <is>
          <t>Pre-filled with AI suggestion — override freely</t>
        </is>
      </c>
    </row>
    <row r="32">
      <c r="A32" s="41" t="n"/>
      <c r="B32" s="41" t="n"/>
      <c r="C32" s="41" t="n"/>
    </row>
    <row r="33" ht="18" customHeight="1">
      <c r="A33" s="24" t="inlineStr">
        <is>
          <t>STEP 4 — COST OF EQUITY  (CAPM:  Re = Rf + β × ERP)</t>
        </is>
      </c>
    </row>
    <row r="34">
      <c r="A34" s="18" t="inlineStr">
        <is>
          <t>Cost of equity  (Re)</t>
        </is>
      </c>
      <c r="B34" s="57">
        <f>B13+B24*B31</f>
        <v/>
      </c>
      <c r="C34" s="44" t="inlineStr">
        <is>
          <t>CAPM formula — references selected inputs above</t>
        </is>
      </c>
    </row>
    <row r="35">
      <c r="A35" s="41" t="n"/>
      <c r="B35" s="41" t="n"/>
      <c r="C35" s="41" t="n"/>
    </row>
    <row r="36" ht="18" customHeight="1">
      <c r="A36" s="24" t="inlineStr">
        <is>
          <t>STEP 5 — COST OF DEBT  (Pre-tax Rd)</t>
        </is>
      </c>
    </row>
    <row r="37">
      <c r="A37" s="16" t="inlineStr">
        <is>
          <t>Credit rating  (S&amp;P / Moody's)</t>
        </is>
      </c>
      <c r="B37" s="58" t="inlineStr">
        <is>
          <t>AA+</t>
        </is>
      </c>
      <c r="C37" s="43" t="inlineStr">
        <is>
          <t>User input</t>
        </is>
      </c>
    </row>
    <row r="38">
      <c r="A38" s="16" t="inlineStr">
        <is>
          <t>FRED matched yield  (rating-tier index)</t>
        </is>
      </c>
      <c r="B38" s="45" t="n">
        <v>0.0472</v>
      </c>
      <c r="C38" s="43" t="inlineStr">
        <is>
          <t>FRED BAMLC0A2CAAEY — AA</t>
        </is>
      </c>
    </row>
    <row r="39">
      <c r="A39" s="16" t="inlineStr">
        <is>
          <t>Interest Coverage Ratio  (EBIT / Gross Int Exp)</t>
        </is>
      </c>
      <c r="B39" s="49" t="n">
        <v>503.4</v>
      </c>
      <c r="C39" s="43" t="inlineStr">
        <is>
          <t>EBIT $130387mm  /  Int Exp $259mm</t>
        </is>
      </c>
    </row>
    <row r="40">
      <c r="A40" s="16" t="inlineStr">
        <is>
          <t>Synthetic rating  (Damodaran ICR table)</t>
        </is>
      </c>
      <c r="B40" s="58" t="inlineStr">
        <is>
          <t>AAA</t>
        </is>
      </c>
      <c r="C40" s="43" t="inlineStr">
        <is>
          <t>ICR 503.4x  →  AAA</t>
        </is>
      </c>
    </row>
    <row r="41">
      <c r="A41" s="16" t="inlineStr">
        <is>
          <t>Synthetic Rd  (Rf + Damodaran default spread)</t>
        </is>
      </c>
      <c r="B41" s="45" t="n">
        <v>0.048</v>
      </c>
      <c r="C41" s="43" t="inlineStr">
        <is>
          <t>Rf 4.26% + spread 0.54%</t>
        </is>
      </c>
    </row>
    <row r="42">
      <c r="A42" s="16" t="inlineStr">
        <is>
          <t>Accounting Rd  (Gross int exp / Avg gross debt)</t>
        </is>
      </c>
      <c r="B42" s="45" t="n">
        <v>0.03059476699545213</v>
      </c>
      <c r="C42" s="43" t="inlineStr">
        <is>
          <t>Cross-check only — backward-looking</t>
        </is>
      </c>
    </row>
    <row r="43">
      <c r="A43" s="16" t="inlineStr">
        <is>
          <t xml:space="preserve">  Note: net interest INCOME of $2041mm  (int inc $2300mm &gt; int exp $259mm)</t>
        </is>
      </c>
      <c r="B43" s="58" t="n"/>
      <c r="C43" s="43" t="inlineStr">
        <is>
          <t>Gross Rd is the correct basis here — net figure is distorted</t>
        </is>
      </c>
    </row>
    <row r="44">
      <c r="A44" s="50" t="inlineStr">
        <is>
          <t>AI recommendation  (Gemini 2.0 Flash)</t>
        </is>
      </c>
      <c r="B44" s="56" t="n">
        <v>0.0472</v>
      </c>
      <c r="C44" s="52" t="inlineStr">
        <is>
          <t>Rationale below</t>
        </is>
      </c>
    </row>
    <row r="45" ht="48" customHeight="1">
      <c r="A45" s="53" t="inlineStr">
        <is>
          <t>Rationale: The FMP credit rating of AA+ aligns with the FRED rating-matched yield of 4.72% for AA-rated debt. This yield is a direct market indicator of the cost of debt for a company with this credit quality. The synthetic rating and accounting Rd are less reliable for estimating the current market cost of debt.</t>
        </is>
      </c>
    </row>
    <row r="46">
      <c r="A46" s="46" t="inlineStr">
        <is>
          <t>► Selected pre-tax Rd  (user override)</t>
        </is>
      </c>
      <c r="B46" s="47" t="n">
        <v>0.0472</v>
      </c>
      <c r="C46" s="48" t="inlineStr">
        <is>
          <t>Pre-filled with AI suggestion — override freely</t>
        </is>
      </c>
    </row>
    <row r="47">
      <c r="A47" s="41" t="n"/>
      <c r="B47" s="41" t="n"/>
      <c r="C47" s="41" t="n"/>
    </row>
    <row r="48" ht="18" customHeight="1">
      <c r="A48" s="24" t="inlineStr">
        <is>
          <t>STEP 6 — TAX RATE</t>
        </is>
      </c>
    </row>
    <row r="49">
      <c r="A49" s="16" t="inlineStr">
        <is>
          <t>Effective tax rate  (tax expense / pre-tax income)</t>
        </is>
      </c>
      <c r="B49" s="45" t="n">
        <v>0.1512</v>
      </c>
      <c r="C49" s="43" t="inlineStr">
        <is>
          <t>FMP: $21383mm  /  $141450mm</t>
        </is>
      </c>
    </row>
    <row r="50">
      <c r="A50" s="46" t="inlineStr">
        <is>
          <t>► Selected tax rate  (user override)</t>
        </is>
      </c>
      <c r="B50" s="47" t="n">
        <v>0.1512</v>
      </c>
      <c r="C50" s="48" t="inlineStr">
        <is>
          <t>Adjust to normalised / marginal rate if preferred</t>
        </is>
      </c>
    </row>
    <row r="51">
      <c r="A51" s="41" t="n"/>
      <c r="B51" s="41" t="n"/>
      <c r="C51" s="41" t="n"/>
    </row>
    <row r="52" ht="18" customHeight="1">
      <c r="A52" s="3" t="inlineStr">
        <is>
          <t>WACC OUTPUT</t>
        </is>
      </c>
    </row>
    <row r="53" ht="22" customHeight="1">
      <c r="A53" s="59" t="inlineStr">
        <is>
          <t>WACC  =  (E/V × Re)  +  (D/V × Rd × (1 − t))</t>
        </is>
      </c>
      <c r="B53" s="60">
        <f>B8*B34+B9*B46*(1-B50)</f>
        <v/>
      </c>
      <c r="C53" s="61" t="inlineStr">
        <is>
          <t>Used as discount rate in DCF tab</t>
        </is>
      </c>
    </row>
    <row r="54">
      <c r="A54" s="41" t="n"/>
      <c r="B54" s="41" t="n"/>
      <c r="C54" s="41" t="n"/>
    </row>
    <row r="55" ht="18" customHeight="1">
      <c r="A55" s="9" t="inlineStr">
        <is>
          <t>SENSITIVITY — WACC (%)  by Beta offset × ERP offset</t>
        </is>
      </c>
    </row>
    <row r="56">
      <c r="A56" s="62" t="inlineStr">
        <is>
          <t>Beta offset  \  ERP offset →</t>
        </is>
      </c>
      <c r="B56" s="62" t="inlineStr">
        <is>
          <t>-1.0%</t>
        </is>
      </c>
      <c r="C56" s="62" t="inlineStr">
        <is>
          <t>-0.5%</t>
        </is>
      </c>
      <c r="D56" s="62" t="inlineStr">
        <is>
          <t>Base ERP</t>
        </is>
      </c>
      <c r="E56" s="62" t="inlineStr">
        <is>
          <t>+0.5%</t>
        </is>
      </c>
      <c r="F56" s="62" t="inlineStr">
        <is>
          <t>+1.0%</t>
        </is>
      </c>
    </row>
    <row r="57">
      <c r="A57" s="63" t="inlineStr">
        <is>
          <t>-1.0</t>
        </is>
      </c>
      <c r="B57" s="64">
        <f>B8*(B13+(B24+(-1.0))*(B31+(-0.01)))+B9*B46*(1-B50)</f>
        <v/>
      </c>
      <c r="C57" s="64">
        <f>B8*(B13+(B24+(-1.0))*(B31+(-0.005)))+B9*B46*(1-B50)</f>
        <v/>
      </c>
      <c r="D57" s="64">
        <f>B8*(B13+(B24+(-1.0))*(B31+(0.0)))+B9*B46*(1-B50)</f>
        <v/>
      </c>
      <c r="E57" s="64">
        <f>B8*(B13+(B24+(-1.0))*(B31+(0.005)))+B9*B46*(1-B50)</f>
        <v/>
      </c>
      <c r="F57" s="64">
        <f>B8*(B13+(B24+(-1.0))*(B31+(0.01)))+B9*B46*(1-B50)</f>
        <v/>
      </c>
    </row>
    <row r="58">
      <c r="A58" s="63" t="inlineStr">
        <is>
          <t>-0.5</t>
        </is>
      </c>
      <c r="B58" s="64">
        <f>B8*(B13+(B24+(-0.5))*(B31+(-0.01)))+B9*B46*(1-B50)</f>
        <v/>
      </c>
      <c r="C58" s="64">
        <f>B8*(B13+(B24+(-0.5))*(B31+(-0.005)))+B9*B46*(1-B50)</f>
        <v/>
      </c>
      <c r="D58" s="64">
        <f>B8*(B13+(B24+(-0.5))*(B31+(0.0)))+B9*B46*(1-B50)</f>
        <v/>
      </c>
      <c r="E58" s="64">
        <f>B8*(B13+(B24+(-0.5))*(B31+(0.005)))+B9*B46*(1-B50)</f>
        <v/>
      </c>
      <c r="F58" s="64">
        <f>B8*(B13+(B24+(-0.5))*(B31+(0.01)))+B9*B46*(1-B50)</f>
        <v/>
      </c>
    </row>
    <row r="59">
      <c r="A59" s="65" t="inlineStr">
        <is>
          <t>Base β</t>
        </is>
      </c>
      <c r="B59" s="66">
        <f>B8*(B13+(B24+(0.0))*(B31+(-0.01)))+B9*B46*(1-B50)</f>
        <v/>
      </c>
      <c r="C59" s="66">
        <f>B8*(B13+(B24+(0.0))*(B31+(-0.005)))+B9*B46*(1-B50)</f>
        <v/>
      </c>
      <c r="D59" s="67">
        <f>B8*(B13+(B24+(0.0))*(B31+(0.0)))+B9*B46*(1-B50)</f>
        <v/>
      </c>
      <c r="E59" s="66">
        <f>B8*(B13+(B24+(0.0))*(B31+(0.005)))+B9*B46*(1-B50)</f>
        <v/>
      </c>
      <c r="F59" s="66">
        <f>B8*(B13+(B24+(0.0))*(B31+(0.01)))+B9*B46*(1-B50)</f>
        <v/>
      </c>
    </row>
    <row r="60">
      <c r="A60" s="63" t="inlineStr">
        <is>
          <t>+0.5</t>
        </is>
      </c>
      <c r="B60" s="64">
        <f>B8*(B13+(B24+(0.5))*(B31+(-0.01)))+B9*B46*(1-B50)</f>
        <v/>
      </c>
      <c r="C60" s="64">
        <f>B8*(B13+(B24+(0.5))*(B31+(-0.005)))+B9*B46*(1-B50)</f>
        <v/>
      </c>
      <c r="D60" s="64">
        <f>B8*(B13+(B24+(0.5))*(B31+(0.0)))+B9*B46*(1-B50)</f>
        <v/>
      </c>
      <c r="E60" s="64">
        <f>B8*(B13+(B24+(0.5))*(B31+(0.005)))+B9*B46*(1-B50)</f>
        <v/>
      </c>
      <c r="F60" s="64">
        <f>B8*(B13+(B24+(0.5))*(B31+(0.01)))+B9*B46*(1-B50)</f>
        <v/>
      </c>
    </row>
    <row r="61">
      <c r="A61" s="63" t="inlineStr">
        <is>
          <t>+1.0</t>
        </is>
      </c>
      <c r="B61" s="64">
        <f>B8*(B13+(B24+(1.0))*(B31+(-0.01)))+B9*B46*(1-B50)</f>
        <v/>
      </c>
      <c r="C61" s="64">
        <f>B8*(B13+(B24+(1.0))*(B31+(-0.005)))+B9*B46*(1-B50)</f>
        <v/>
      </c>
      <c r="D61" s="64">
        <f>B8*(B13+(B24+(1.0))*(B31+(0.0)))+B9*B46*(1-B50)</f>
        <v/>
      </c>
      <c r="E61" s="64">
        <f>B8*(B13+(B24+(1.0))*(B31+(0.005)))+B9*B46*(1-B50)</f>
        <v/>
      </c>
      <c r="F61" s="64">
        <f>B8*(B13+(B24+(1.0))*(B31+(0.01)))+B9*B46*(1-B50)</f>
        <v/>
      </c>
    </row>
  </sheetData>
  <mergeCells count="15">
    <mergeCell ref="A33:C33"/>
    <mergeCell ref="A11:C11"/>
    <mergeCell ref="A36:C36"/>
    <mergeCell ref="A1:C1"/>
    <mergeCell ref="A23:C23"/>
    <mergeCell ref="A45:C45"/>
    <mergeCell ref="A22:C22"/>
    <mergeCell ref="A30:C30"/>
    <mergeCell ref="A55:C55"/>
    <mergeCell ref="A15:C15"/>
    <mergeCell ref="A4:C4"/>
    <mergeCell ref="A48:C48"/>
    <mergeCell ref="A26:C26"/>
    <mergeCell ref="A2:C2"/>
    <mergeCell ref="A52:C5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NVDA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8" t="inlineStr">
        <is>
          <t>Fiscal Year</t>
        </is>
      </c>
      <c r="B3" s="69" t="inlineStr">
        <is>
          <t>2022</t>
        </is>
      </c>
      <c r="C3" s="69" t="inlineStr">
        <is>
          <t>2023</t>
        </is>
      </c>
      <c r="D3" s="69" t="inlineStr">
        <is>
          <t>2024</t>
        </is>
      </c>
      <c r="E3" s="69" t="inlineStr">
        <is>
          <t>2025</t>
        </is>
      </c>
      <c r="F3" s="69" t="inlineStr">
        <is>
          <t>2026</t>
        </is>
      </c>
      <c r="G3" s="70" t="inlineStr">
        <is>
          <t>2027E</t>
        </is>
      </c>
      <c r="H3" s="70" t="inlineStr">
        <is>
          <t>2028E</t>
        </is>
      </c>
      <c r="I3" s="70" t="inlineStr">
        <is>
          <t>2029E</t>
        </is>
      </c>
      <c r="J3" s="70" t="inlineStr">
        <is>
          <t>2030E</t>
        </is>
      </c>
      <c r="K3" s="70" t="inlineStr">
        <is>
          <t>2031E</t>
        </is>
      </c>
      <c r="L3" s="71" t="inlineStr">
        <is>
          <t>Terminal</t>
        </is>
      </c>
      <c r="M3" s="68" t="inlineStr">
        <is>
          <t>Source / Notes</t>
        </is>
      </c>
    </row>
    <row r="4" ht="16" customHeight="1">
      <c r="A4" s="72" t="inlineStr">
        <is>
          <t>FMP analyst consensus: 2027E – 2031E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73" t="inlineStr">
        <is>
          <t>Revenue Growth %</t>
        </is>
      </c>
      <c r="B7" s="74" t="inlineStr">
        <is>
          <t>—</t>
        </is>
      </c>
      <c r="C7" s="75" t="n">
        <v>0.0022</v>
      </c>
      <c r="D7" s="75" t="n">
        <v>1.2585</v>
      </c>
      <c r="E7" s="75" t="n">
        <v>1.142</v>
      </c>
      <c r="F7" s="75" t="n">
        <v>0.6546999999999999</v>
      </c>
      <c r="G7" s="76" t="n">
        <v>0.7020999999999999</v>
      </c>
      <c r="H7" s="76" t="n">
        <v>0.3175</v>
      </c>
      <c r="I7" s="76" t="n">
        <v>0.1372</v>
      </c>
      <c r="J7" s="76" t="n">
        <v>-0.0383</v>
      </c>
      <c r="K7" s="76" t="n">
        <v>0.1064</v>
      </c>
      <c r="L7" s="77" t="n">
        <v>0.03</v>
      </c>
      <c r="M7" s="78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73" t="inlineStr">
        <is>
          <t>EBITDA Margin %</t>
        </is>
      </c>
      <c r="B8" s="75" t="n">
        <v>0.4218</v>
      </c>
      <c r="C8" s="75" t="n">
        <v>0.2219</v>
      </c>
      <c r="D8" s="75" t="n">
        <v>0.5841</v>
      </c>
      <c r="E8" s="75" t="n">
        <v>0.6601</v>
      </c>
      <c r="F8" s="75" t="n">
        <v>0.6694</v>
      </c>
      <c r="G8" s="76" t="n">
        <v>0.5114</v>
      </c>
      <c r="H8" s="76" t="n">
        <v>0.5114</v>
      </c>
      <c r="I8" s="76" t="n">
        <v>0.5114</v>
      </c>
      <c r="J8" s="76" t="n">
        <v>0.5114</v>
      </c>
      <c r="K8" s="76" t="n">
        <v>0.5114</v>
      </c>
      <c r="L8" s="77" t="n">
        <v>0.6694</v>
      </c>
      <c r="M8" s="78" t="inlineStr">
        <is>
          <t>FMP consensus years: margin back-calculated from analyst EBITDA / Revenue.  Terminal: enter your long-run normalised EBITDA margin.</t>
        </is>
      </c>
    </row>
    <row r="9" ht="20" customHeight="1">
      <c r="A9" s="73" t="inlineStr">
        <is>
          <t>D&amp;A as % of Revenue  (user input — FMP does not estimate)</t>
        </is>
      </c>
      <c r="B9" s="75" t="n">
        <v>0.0436</v>
      </c>
      <c r="C9" s="75" t="n">
        <v>0.0572</v>
      </c>
      <c r="D9" s="75" t="n">
        <v>0.0248</v>
      </c>
      <c r="E9" s="75" t="n">
        <v>0.0143</v>
      </c>
      <c r="F9" s="75" t="n">
        <v>0.0132</v>
      </c>
      <c r="G9" s="79" t="n">
        <v>0.0132</v>
      </c>
      <c r="H9" s="79" t="n">
        <v>0.0132</v>
      </c>
      <c r="I9" s="79" t="n">
        <v>0.0132</v>
      </c>
      <c r="J9" s="79" t="n">
        <v>0.0132</v>
      </c>
      <c r="K9" s="79" t="n">
        <v>0.0132</v>
      </c>
      <c r="L9" s="77" t="n">
        <v>0.0132</v>
      </c>
      <c r="M9" s="78" t="inlineStr">
        <is>
          <t>Historical from 3-statement model.  FMP provides no forward D&amp;A estimate — enter your own.</t>
        </is>
      </c>
    </row>
    <row r="10" ht="20" customHeight="1">
      <c r="A10" s="73" t="inlineStr">
        <is>
          <t>CapEx as % of Revenue  (user input)</t>
        </is>
      </c>
      <c r="B10" s="75" t="n">
        <v>0.0363</v>
      </c>
      <c r="C10" s="75" t="n">
        <v>0.068</v>
      </c>
      <c r="D10" s="75" t="n">
        <v>0.0175</v>
      </c>
      <c r="E10" s="75" t="n">
        <v>0.0248</v>
      </c>
      <c r="F10" s="75" t="n">
        <v>0.028</v>
      </c>
      <c r="G10" s="79" t="n">
        <v>0.028</v>
      </c>
      <c r="H10" s="79" t="n">
        <v>0.028</v>
      </c>
      <c r="I10" s="79" t="n">
        <v>0.028</v>
      </c>
      <c r="J10" s="79" t="n">
        <v>0.028</v>
      </c>
      <c r="K10" s="79" t="n">
        <v>0.028</v>
      </c>
      <c r="L10" s="77" t="n">
        <v>0.028</v>
      </c>
      <c r="M10" s="78" t="inlineStr">
        <is>
          <t>Historical from cash flow statement.  Adjust for known capex programmes.</t>
        </is>
      </c>
    </row>
    <row r="11" ht="20" customHeight="1">
      <c r="A11" s="73" t="inlineStr">
        <is>
          <t>Change in NWC as % of Revenue  (user input)</t>
        </is>
      </c>
      <c r="B11" s="75" t="n">
        <v>0.01</v>
      </c>
      <c r="C11" s="75" t="n">
        <v>0.01</v>
      </c>
      <c r="D11" s="75" t="n">
        <v>0.01</v>
      </c>
      <c r="E11" s="75" t="n">
        <v>0.01</v>
      </c>
      <c r="F11" s="75" t="n">
        <v>0.01</v>
      </c>
      <c r="G11" s="79" t="n">
        <v>0.01</v>
      </c>
      <c r="H11" s="79" t="n">
        <v>0.01</v>
      </c>
      <c r="I11" s="79" t="n">
        <v>0.01</v>
      </c>
      <c r="J11" s="79" t="n">
        <v>0.01</v>
      </c>
      <c r="K11" s="79" t="n">
        <v>0.01</v>
      </c>
      <c r="L11" s="77" t="n">
        <v>0.01</v>
      </c>
      <c r="M11" s="78" t="inlineStr">
        <is>
          <t>Cross-ref historical NWC change from Ratios &amp; FCF tab.</t>
        </is>
      </c>
    </row>
    <row r="12" ht="20" customHeight="1">
      <c r="A12" s="73" t="inlineStr">
        <is>
          <t>Effective Tax Rate  (user input — adjust to normalised if needed)</t>
        </is>
      </c>
      <c r="B12" s="75" t="n">
        <v>0.019</v>
      </c>
      <c r="C12" s="75" t="n">
        <v>0.0447</v>
      </c>
      <c r="D12" s="75" t="n">
        <v>0.12</v>
      </c>
      <c r="E12" s="75" t="n">
        <v>0.1326</v>
      </c>
      <c r="F12" s="75" t="n">
        <v>0.1512</v>
      </c>
      <c r="G12" s="79" t="n">
        <v>0.1512</v>
      </c>
      <c r="H12" s="79" t="n">
        <v>0.1512</v>
      </c>
      <c r="I12" s="79" t="n">
        <v>0.1512</v>
      </c>
      <c r="J12" s="79" t="n">
        <v>0.1512</v>
      </c>
      <c r="K12" s="79" t="n">
        <v>0.1512</v>
      </c>
      <c r="L12" s="77" t="n">
        <v>0.1512</v>
      </c>
      <c r="M12" s="78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80" t="inlineStr">
        <is>
          <t>Revenue</t>
        </is>
      </c>
      <c r="B15" s="81" t="n">
        <v>26914</v>
      </c>
      <c r="C15" s="81" t="n">
        <v>26974</v>
      </c>
      <c r="D15" s="81" t="n">
        <v>60922</v>
      </c>
      <c r="E15" s="81" t="n">
        <v>130497</v>
      </c>
      <c r="F15" s="81" t="n">
        <v>215938</v>
      </c>
      <c r="G15" s="82" t="n">
        <v>367551.6</v>
      </c>
      <c r="H15" s="82" t="n">
        <v>484244.7</v>
      </c>
      <c r="I15" s="82" t="n">
        <v>550677.1</v>
      </c>
      <c r="J15" s="82" t="n">
        <v>529598.5</v>
      </c>
      <c r="K15" s="82" t="n">
        <v>585949.5</v>
      </c>
      <c r="L15" s="83">
        <f>K15*(1+L7)</f>
        <v/>
      </c>
      <c r="M15" s="84" t="inlineStr">
        <is>
          <t>FMP consensus years: analyst revenue average ($mm).  Range: Low–High shown below.  User years: prior × (1+growth).</t>
        </is>
      </c>
    </row>
    <row r="16" ht="20" customHeight="1">
      <c r="A16" s="85" t="inlineStr">
        <is>
          <t xml:space="preserve">  Analyst Range:  Low — High  ($mm)</t>
        </is>
      </c>
      <c r="G16" s="86" t="inlineStr">
        <is>
          <t>309,458 — 399,244</t>
        </is>
      </c>
      <c r="H16" s="86" t="inlineStr">
        <is>
          <t>385,190 — 596,358</t>
        </is>
      </c>
      <c r="I16" s="86" t="inlineStr">
        <is>
          <t>545,506 — 555,849</t>
        </is>
      </c>
      <c r="J16" s="86" t="inlineStr">
        <is>
          <t>415,181 — 643,611</t>
        </is>
      </c>
      <c r="K16" s="86" t="inlineStr">
        <is>
          <t>459,358 — 712,093</t>
        </is>
      </c>
      <c r="L16" s="87" t="inlineStr">
        <is>
          <t>—</t>
        </is>
      </c>
      <c r="M16" s="84" t="inlineStr">
        <is>
          <t>Sell-side analyst low / high revenue estimates for consensus years</t>
        </is>
      </c>
    </row>
    <row r="17" ht="20" customHeight="1">
      <c r="A17" s="85" t="inlineStr">
        <is>
          <t xml:space="preserve">  Number of Analysts</t>
        </is>
      </c>
      <c r="G17" s="88" t="n">
        <v>38</v>
      </c>
      <c r="H17" s="88" t="n">
        <v>39</v>
      </c>
      <c r="I17" s="88" t="n">
        <v>18</v>
      </c>
      <c r="J17" s="88" t="n">
        <v>13</v>
      </c>
      <c r="K17" s="89" t="n">
        <v>8</v>
      </c>
      <c r="L17" s="87" t="inlineStr">
        <is>
          <t>—</t>
        </is>
      </c>
      <c r="M17" s="84" t="inlineStr">
        <is>
          <t>Red &lt; 5 analysts — treat estimate with caution.  Orange &lt; 10.</t>
        </is>
      </c>
    </row>
    <row r="18" ht="20" customHeight="1">
      <c r="A18" s="85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2">
        <f>IFERROR(J15/I15-1,"")</f>
        <v/>
      </c>
      <c r="K18" s="92">
        <f>IFERROR(K15/J15-1,"")</f>
        <v/>
      </c>
      <c r="L18" s="93">
        <f>L7</f>
        <v/>
      </c>
      <c r="M18" s="84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80" t="inlineStr">
        <is>
          <t>EBITDA</t>
        </is>
      </c>
      <c r="B20" s="81" t="n">
        <v>11351</v>
      </c>
      <c r="C20" s="81" t="n">
        <v>5986</v>
      </c>
      <c r="D20" s="81" t="n">
        <v>35583</v>
      </c>
      <c r="E20" s="81" t="n">
        <v>86137</v>
      </c>
      <c r="F20" s="81" t="n">
        <v>144552</v>
      </c>
      <c r="G20" s="82" t="n">
        <v>187982.5</v>
      </c>
      <c r="H20" s="82" t="n">
        <v>247664.6</v>
      </c>
      <c r="I20" s="82" t="n">
        <v>281641.1</v>
      </c>
      <c r="J20" s="82" t="n">
        <v>270860.6</v>
      </c>
      <c r="K20" s="82" t="n">
        <v>299681.1</v>
      </c>
      <c r="L20" s="83">
        <f>L15*L8</f>
        <v/>
      </c>
      <c r="M20" s="84" t="inlineStr">
        <is>
          <t>FMP consensus years: analyst EBITDA average.  User years: Revenue × EBITDA margin assumption.</t>
        </is>
      </c>
    </row>
    <row r="21" ht="20" customHeight="1">
      <c r="A21" s="85" t="inlineStr">
        <is>
          <t xml:space="preserve">  Analyst Range:  Low — High  ($mm)</t>
        </is>
      </c>
      <c r="G21" s="86" t="inlineStr">
        <is>
          <t>158,271 — 204,191</t>
        </is>
      </c>
      <c r="H21" s="86" t="inlineStr">
        <is>
          <t>197,004 — 305,005</t>
        </is>
      </c>
      <c r="I21" s="86" t="inlineStr">
        <is>
          <t>278,996 — 284,286</t>
        </is>
      </c>
      <c r="J21" s="86" t="inlineStr">
        <is>
          <t>212,342 — 329,172</t>
        </is>
      </c>
      <c r="K21" s="86" t="inlineStr">
        <is>
          <t>234,936 — 364,197</t>
        </is>
      </c>
      <c r="L21" s="87" t="inlineStr">
        <is>
          <t>—</t>
        </is>
      </c>
      <c r="M21" s="84" t="inlineStr">
        <is>
          <t>Sell-side analyst low / high EBITDA estimates for consensus years</t>
        </is>
      </c>
    </row>
    <row r="22" ht="20" customHeight="1">
      <c r="A22" s="85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2">
        <f>IFERROR(J20/J15,"")</f>
        <v/>
      </c>
      <c r="K22" s="92">
        <f>IFERROR(K20/K15,"")</f>
        <v/>
      </c>
      <c r="L22" s="93">
        <f>IFERROR(L20/L15,"")</f>
        <v/>
      </c>
      <c r="M22" s="84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4" t="inlineStr">
        <is>
          <t xml:space="preserve">  Less: D&amp;A</t>
        </is>
      </c>
      <c r="B25" s="81" t="n">
        <v>-1174</v>
      </c>
      <c r="C25" s="81" t="n">
        <v>-1543</v>
      </c>
      <c r="D25" s="81" t="n">
        <v>-1508</v>
      </c>
      <c r="E25" s="81" t="n">
        <v>-1864</v>
      </c>
      <c r="F25" s="81" t="n">
        <v>-2843</v>
      </c>
      <c r="G25" s="95">
        <f>-G15*G9</f>
        <v/>
      </c>
      <c r="H25" s="95">
        <f>-H15*H9</f>
        <v/>
      </c>
      <c r="I25" s="95">
        <f>-I15*I9</f>
        <v/>
      </c>
      <c r="J25" s="95">
        <f>-J15*J9</f>
        <v/>
      </c>
      <c r="K25" s="95">
        <f>-K15*K9</f>
        <v/>
      </c>
      <c r="L25" s="83">
        <f>-L15*L9</f>
        <v/>
      </c>
      <c r="M25" s="84">
        <f> Revenue × D&amp;A % assumption  (negative = P&amp;L charge)</f>
        <v/>
      </c>
    </row>
    <row r="26" ht="20" customHeight="1">
      <c r="A26" s="68" t="inlineStr">
        <is>
          <t>EBIT  (Operating Profit)</t>
        </is>
      </c>
      <c r="B26" s="96" t="n">
        <v>10177</v>
      </c>
      <c r="C26" s="96" t="n">
        <v>4443</v>
      </c>
      <c r="D26" s="96" t="n">
        <v>34075</v>
      </c>
      <c r="E26" s="96" t="n">
        <v>84273</v>
      </c>
      <c r="F26" s="96" t="n">
        <v>141709</v>
      </c>
      <c r="G26" s="97">
        <f>G20+G25</f>
        <v/>
      </c>
      <c r="H26" s="97">
        <f>H20+H25</f>
        <v/>
      </c>
      <c r="I26" s="97">
        <f>I20+I25</f>
        <v/>
      </c>
      <c r="J26" s="97">
        <f>J20+J25</f>
        <v/>
      </c>
      <c r="K26" s="97">
        <f>K20+K25</f>
        <v/>
      </c>
      <c r="L26" s="97">
        <f>L20+L25</f>
        <v/>
      </c>
      <c r="M26" s="84">
        <f> EBITDA + D&amp;A  (GAAP operating income, EBIT)</f>
        <v/>
      </c>
    </row>
    <row r="27" ht="20" customHeight="1">
      <c r="A27" s="94" t="inlineStr">
        <is>
          <t xml:space="preserve">  Less: Tax on EBIT  (unlevered)</t>
        </is>
      </c>
      <c r="B27" s="98" t="n">
        <v>-193.5</v>
      </c>
      <c r="C27" s="98" t="n">
        <v>-198.7</v>
      </c>
      <c r="D27" s="98" t="n">
        <v>-4088.8</v>
      </c>
      <c r="E27" s="98" t="n">
        <v>-11178.8</v>
      </c>
      <c r="F27" s="98" t="n">
        <v>-21422.2</v>
      </c>
      <c r="G27" s="99">
        <f>-G26*G12</f>
        <v/>
      </c>
      <c r="H27" s="99">
        <f>-H26*H12</f>
        <v/>
      </c>
      <c r="I27" s="99">
        <f>-I26*I12</f>
        <v/>
      </c>
      <c r="J27" s="99">
        <f>-J26*J12</f>
        <v/>
      </c>
      <c r="K27" s="99">
        <f>-K26*K12</f>
        <v/>
      </c>
      <c r="L27" s="99">
        <f>-L26*L12</f>
        <v/>
      </c>
      <c r="M27" s="84">
        <f> EBIT × tax rate  (no interest tax shield — UFCF is pre-debt)</f>
        <v/>
      </c>
    </row>
    <row r="28" ht="20" customHeight="1">
      <c r="A28" s="80" t="inlineStr">
        <is>
          <t>NOPAT</t>
        </is>
      </c>
      <c r="B28" s="96" t="n">
        <v>9983.5</v>
      </c>
      <c r="C28" s="96" t="n">
        <v>4244.3</v>
      </c>
      <c r="D28" s="96" t="n">
        <v>29986.2</v>
      </c>
      <c r="E28" s="96" t="n">
        <v>73094.2</v>
      </c>
      <c r="F28" s="96" t="n">
        <v>120286.8</v>
      </c>
      <c r="G28" s="100">
        <f>G26+G27</f>
        <v/>
      </c>
      <c r="H28" s="100">
        <f>H26+H27</f>
        <v/>
      </c>
      <c r="I28" s="100">
        <f>I26+I27</f>
        <v/>
      </c>
      <c r="J28" s="100">
        <f>J26+J27</f>
        <v/>
      </c>
      <c r="K28" s="100">
        <f>K26+K27</f>
        <v/>
      </c>
      <c r="L28" s="100">
        <f>L26+L27</f>
        <v/>
      </c>
      <c r="M28" s="84">
        <f> EBIT × (1 − tax rate)</f>
        <v/>
      </c>
    </row>
    <row r="29" ht="20" customHeight="1">
      <c r="A29" s="94" t="inlineStr">
        <is>
          <t xml:space="preserve">  (+) D&amp;A add-back  (non-cash)</t>
        </is>
      </c>
      <c r="B29" s="98" t="n">
        <v>1174</v>
      </c>
      <c r="C29" s="98" t="n">
        <v>1543</v>
      </c>
      <c r="D29" s="98" t="n">
        <v>1508</v>
      </c>
      <c r="E29" s="98" t="n">
        <v>1864</v>
      </c>
      <c r="F29" s="98" t="n">
        <v>2843</v>
      </c>
      <c r="G29" s="99">
        <f>-G25</f>
        <v/>
      </c>
      <c r="H29" s="99">
        <f>-H25</f>
        <v/>
      </c>
      <c r="I29" s="99">
        <f>-I25</f>
        <v/>
      </c>
      <c r="J29" s="99">
        <f>-J25</f>
        <v/>
      </c>
      <c r="K29" s="99">
        <f>-K25</f>
        <v/>
      </c>
      <c r="L29" s="99">
        <f>-L25</f>
        <v/>
      </c>
      <c r="M29" s="84">
        <f> D&amp;A added back (non-cash charge — converts NOPAT to cash basis)</f>
        <v/>
      </c>
    </row>
    <row r="30" ht="20" customHeight="1">
      <c r="A30" s="94" t="inlineStr">
        <is>
          <t xml:space="preserve">  (−) Capital Expenditures</t>
        </is>
      </c>
      <c r="B30" s="81" t="n">
        <v>-976</v>
      </c>
      <c r="C30" s="81" t="n">
        <v>-1833</v>
      </c>
      <c r="D30" s="81" t="n">
        <v>-1069</v>
      </c>
      <c r="E30" s="81" t="n">
        <v>-3236</v>
      </c>
      <c r="F30" s="81" t="n">
        <v>-6042</v>
      </c>
      <c r="G30" s="99">
        <f>-G15*G10</f>
        <v/>
      </c>
      <c r="H30" s="99">
        <f>-H15*H10</f>
        <v/>
      </c>
      <c r="I30" s="99">
        <f>-I15*I10</f>
        <v/>
      </c>
      <c r="J30" s="99">
        <f>-J15*J10</f>
        <v/>
      </c>
      <c r="K30" s="99">
        <f>-K15*K10</f>
        <v/>
      </c>
      <c r="L30" s="99">
        <f>-L15*L10</f>
        <v/>
      </c>
      <c r="M30" s="84">
        <f> Revenue × CapEx % assumption  (negative = cash outflow)</f>
        <v/>
      </c>
    </row>
    <row r="31" ht="20" customHeight="1">
      <c r="A31" s="94" t="inlineStr">
        <is>
          <t xml:space="preserve">  (−) Increase in Net Working Capital</t>
        </is>
      </c>
      <c r="B31" s="98" t="n"/>
      <c r="C31" s="98" t="n"/>
      <c r="D31" s="98" t="n"/>
      <c r="E31" s="98" t="n"/>
      <c r="F31" s="98" t="n"/>
      <c r="G31" s="99">
        <f>-G15*G11</f>
        <v/>
      </c>
      <c r="H31" s="99">
        <f>-H15*H11</f>
        <v/>
      </c>
      <c r="I31" s="99">
        <f>-I15*I11</f>
        <v/>
      </c>
      <c r="J31" s="99">
        <f>-J15*J11</f>
        <v/>
      </c>
      <c r="K31" s="99">
        <f>-K15*K11</f>
        <v/>
      </c>
      <c r="L31" s="99">
        <f>-L15*L11</f>
        <v/>
      </c>
      <c r="M31" s="84">
        <f> Revenue × NWC % (positive revenue growth ties up cash in working capital)</f>
        <v/>
      </c>
    </row>
    <row r="32" ht="20" customHeight="1">
      <c r="A32" s="80" t="inlineStr">
        <is>
          <t>UNLEVERED FREE CASH FLOW  (UFCF)</t>
        </is>
      </c>
      <c r="B32" s="96" t="n">
        <v>10181.5</v>
      </c>
      <c r="C32" s="96" t="n">
        <v>3954.3</v>
      </c>
      <c r="D32" s="96" t="n">
        <v>30425.2</v>
      </c>
      <c r="E32" s="96" t="n">
        <v>71722.2</v>
      </c>
      <c r="F32" s="96" t="n">
        <v>117087.8</v>
      </c>
      <c r="G32" s="100">
        <f>G28+G29+G30+G31</f>
        <v/>
      </c>
      <c r="H32" s="100">
        <f>H28+H29+H30+H31</f>
        <v/>
      </c>
      <c r="I32" s="100">
        <f>I28+I29+I30+I31</f>
        <v/>
      </c>
      <c r="J32" s="100">
        <f>J28+J29+J30+J31</f>
        <v/>
      </c>
      <c r="K32" s="100">
        <f>K28+K29+K30+K31</f>
        <v/>
      </c>
      <c r="L32" s="100">
        <f>L28+L29+L30+L31</f>
        <v/>
      </c>
      <c r="M32" s="84">
        <f> NOPAT + D&amp;A − CapEx − ΔNWC  (pre-debt, pre-interest free cash flow)</f>
        <v/>
      </c>
    </row>
    <row r="33" ht="20" customHeight="1">
      <c r="A33" s="85" t="inlineStr">
        <is>
          <t xml:space="preserve">  UFCF Margin %</t>
        </is>
      </c>
      <c r="B33" s="91" t="n">
        <v>0.3783</v>
      </c>
      <c r="C33" s="91" t="n">
        <v>0.1466</v>
      </c>
      <c r="D33" s="91" t="n">
        <v>0.4994</v>
      </c>
      <c r="E33" s="91" t="n">
        <v>0.5496</v>
      </c>
      <c r="F33" s="91" t="n">
        <v>0.5422</v>
      </c>
      <c r="G33" s="101">
        <f>IFERROR(G32/G15,"")</f>
        <v/>
      </c>
      <c r="H33" s="101">
        <f>IFERROR(H32/H15,"")</f>
        <v/>
      </c>
      <c r="I33" s="101">
        <f>IFERROR(I32/I15,"")</f>
        <v/>
      </c>
      <c r="J33" s="101">
        <f>IFERROR(J32/J15,"")</f>
        <v/>
      </c>
      <c r="K33" s="101">
        <f>IFERROR(K32/K15,"")</f>
        <v/>
      </c>
      <c r="L33" s="101">
        <f>IFERROR(L32/L15,"")</f>
        <v/>
      </c>
      <c r="M33" s="84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73" t="inlineStr">
        <is>
          <t>WACC  (from WACC tab)</t>
        </is>
      </c>
      <c r="B36" s="102">
        <f>WACC!B53</f>
        <v/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78" t="inlineStr">
        <is>
          <t>Auto-linked from WACC tab selected output.  Override manually if needed.</t>
        </is>
      </c>
    </row>
    <row r="37" ht="20" customHeight="1">
      <c r="A37" s="73" t="inlineStr">
        <is>
          <t>Terminal Growth Rate  (g)</t>
        </is>
      </c>
      <c r="B37" s="104" t="n">
        <v>0.03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78" t="inlineStr">
        <is>
          <t>Long-run nominal GDP growth rate — typically 2-4% for US.  Keep below WACC.</t>
        </is>
      </c>
    </row>
    <row r="38" ht="20" customHeight="1">
      <c r="A38" s="73" t="inlineStr">
        <is>
          <t>Terminal EV/EBITDA Multiple  (exit multiple method)</t>
        </is>
      </c>
      <c r="B38" s="105" t="n">
        <v>20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78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6" t="inlineStr">
        <is>
          <t>Terminal Year UFCF  (grown by g)</t>
        </is>
      </c>
      <c r="B40" s="107">
        <f>L32</f>
        <v/>
      </c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84" t="inlineStr">
        <is>
          <t>Cross-ref from Section 3 — terminal year UFCF (already grown by g in assumptions)</t>
        </is>
      </c>
    </row>
    <row r="41" ht="20" customHeight="1">
      <c r="A41" s="80" t="inlineStr">
        <is>
          <t>Terminal Value  [Gordon Growth:  UFCF / (WACC − g)]</t>
        </is>
      </c>
      <c r="B41" s="100">
        <f>B40/(B36-B37)</f>
        <v/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  <c r="L41" s="109" t="n"/>
      <c r="M41" s="84" t="inlineStr">
        <is>
          <t>Sensitive to g — always cross-check vs Exit Multiple below</t>
        </is>
      </c>
    </row>
    <row r="42" ht="20" customHeight="1">
      <c r="A42" s="80" t="inlineStr">
        <is>
          <t>Terminal Value  [Exit Multiple:  Terminal EBITDA × Multiple]</t>
        </is>
      </c>
      <c r="B42" s="100">
        <f>L20*B38</f>
        <v/>
      </c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84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6" t="inlineStr">
        <is>
          <t>Discount Period  (mid-year convention)</t>
        </is>
      </c>
      <c r="G45" s="110" t="n">
        <v>0.5</v>
      </c>
      <c r="H45" s="110" t="n">
        <v>1.5</v>
      </c>
      <c r="I45" s="110" t="n">
        <v>2.5</v>
      </c>
      <c r="J45" s="110" t="n">
        <v>3.5</v>
      </c>
      <c r="K45" s="110" t="n">
        <v>4.5</v>
      </c>
      <c r="L45" s="111" t="n">
        <v>5</v>
      </c>
      <c r="M45" s="84" t="inlineStr">
        <is>
          <t>Mid-year: 0.5, 1.5, 2.5...  assumes FCF received evenly through each year</t>
        </is>
      </c>
    </row>
    <row r="46" ht="20" customHeight="1">
      <c r="A46" s="106" t="inlineStr">
        <is>
          <t>Discount Factor  =  1 / (1 + WACC) ^ period</t>
        </is>
      </c>
      <c r="G46" s="112">
        <f>1/(1+B36)^G45</f>
        <v/>
      </c>
      <c r="H46" s="112">
        <f>1/(1+B36)^H45</f>
        <v/>
      </c>
      <c r="I46" s="112">
        <f>1/(1+B36)^I45</f>
        <v/>
      </c>
      <c r="J46" s="112">
        <f>1/(1+B36)^J45</f>
        <v/>
      </c>
      <c r="K46" s="112">
        <f>1/(1+B36)^K45</f>
        <v/>
      </c>
      <c r="L46" s="113">
        <f>1/(1+B36)^L45</f>
        <v/>
      </c>
      <c r="M46" s="84">
        <f> 1 / (1 + WACC) ^ discount period</f>
        <v/>
      </c>
    </row>
    <row r="47" ht="20" customHeight="1">
      <c r="A47" s="80" t="inlineStr">
        <is>
          <t>PV of UFCF</t>
        </is>
      </c>
      <c r="G47" s="100">
        <f>G32*G46</f>
        <v/>
      </c>
      <c r="H47" s="100">
        <f>H32*H46</f>
        <v/>
      </c>
      <c r="I47" s="100">
        <f>I32*I46</f>
        <v/>
      </c>
      <c r="J47" s="100">
        <f>J32*J46</f>
        <v/>
      </c>
      <c r="K47" s="100">
        <f>K32*K46</f>
        <v/>
      </c>
      <c r="L47" s="109" t="n"/>
      <c r="M47" s="84">
        <f> UFCF × discount factor</f>
        <v/>
      </c>
    </row>
    <row r="48" ht="20" customHeight="1">
      <c r="A48" s="68" t="inlineStr">
        <is>
          <t>Sum of PV of FCFs  (explicit period)</t>
        </is>
      </c>
      <c r="B48" s="97">
        <f>G47+H47+I47+J47+K47</f>
        <v/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84" t="inlineStr">
        <is>
          <t>Sum of 5 discounted annual FCFs</t>
        </is>
      </c>
    </row>
    <row r="49" ht="20" customHeight="1">
      <c r="A49" s="68" t="inlineStr">
        <is>
          <t>PV of Terminal Value  [Gordon Growth]</t>
        </is>
      </c>
      <c r="B49" s="97">
        <f>B41*L46</f>
        <v/>
      </c>
      <c r="C49" s="114" t="n"/>
      <c r="D49" s="114" t="n"/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84" t="inlineStr">
        <is>
          <t>Terminal value × terminal-year discount factor</t>
        </is>
      </c>
    </row>
    <row r="50" ht="20" customHeight="1">
      <c r="A50" s="68" t="inlineStr">
        <is>
          <t>PV of Terminal Value  [Exit Multiple]</t>
        </is>
      </c>
      <c r="B50" s="97">
        <f>B42*L46</f>
        <v/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84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80" t="inlineStr">
        <is>
          <t>Enterprise Value  [Gordon Growth]</t>
        </is>
      </c>
      <c r="B53" s="100">
        <f>B48+B49</f>
        <v/>
      </c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  <c r="L53" s="109" t="n"/>
      <c r="M53" s="109" t="n"/>
    </row>
    <row r="54">
      <c r="A54" s="80" t="inlineStr">
        <is>
          <t>Enterprise Value  [Exit Multiple]</t>
        </is>
      </c>
      <c r="B54" s="100">
        <f>B48+B50</f>
        <v/>
      </c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  <c r="L54" s="109" t="n"/>
      <c r="M54" s="109" t="n"/>
    </row>
    <row r="55" ht="20" customHeight="1">
      <c r="A55" s="94" t="inlineStr">
        <is>
          <t xml:space="preserve">  Less: Net Debt  (Debt − Cash)</t>
        </is>
      </c>
      <c r="B55" s="107" t="n">
        <v>-2137</v>
      </c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84" t="inlineStr">
        <is>
          <t>Auto-linked from Balance Sheet: Debt $8,468mm − Cash $10,605mm = $-2,137mm  (negative = net cash)</t>
        </is>
      </c>
    </row>
    <row r="56" ht="20" customHeight="1">
      <c r="A56" s="94" t="inlineStr">
        <is>
          <t xml:space="preserve">  Less: Minority Interest</t>
        </is>
      </c>
      <c r="B56" s="107" t="n">
        <v>0</v>
      </c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84" t="inlineStr">
        <is>
          <t>Auto-linked from Balance Sheet: minorityInterest</t>
        </is>
      </c>
    </row>
    <row r="57" ht="20" customHeight="1">
      <c r="A57" s="94" t="inlineStr">
        <is>
          <t xml:space="preserve">  Shares Outstanding — Diluted  (mm)</t>
        </is>
      </c>
      <c r="B57" s="107" t="n">
        <v>24432</v>
      </c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84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80" t="inlineStr">
        <is>
          <t>Implied Share Price  [Gordon Growth]  ($)</t>
        </is>
      </c>
      <c r="B59" s="115">
        <f>IFERROR((B53-B55-B56)/B57,"")</f>
        <v/>
      </c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  <c r="L59" s="109" t="n"/>
      <c r="M59" s="109" t="n"/>
    </row>
    <row r="60">
      <c r="A60" s="80" t="inlineStr">
        <is>
          <t>Implied Share Price  [Exit Multiple]  ($)</t>
        </is>
      </c>
      <c r="B60" s="115">
        <f>IFERROR((B54-B55-B56)/B57,"")</f>
        <v/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</row>
    <row r="61" ht="20" customHeight="1">
      <c r="A61" s="106" t="inlineStr">
        <is>
          <t>Current Market Price  ($)</t>
        </is>
      </c>
      <c r="B61" s="116" t="n">
        <v>198.87</v>
      </c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84" t="inlineStr">
        <is>
          <t>Auto-linked from FMP company profile — price</t>
        </is>
      </c>
    </row>
    <row r="62">
      <c r="A62" s="68" t="inlineStr">
        <is>
          <t>Upside / (Downside)  [Gordon Growth]</t>
        </is>
      </c>
      <c r="B62" s="117">
        <f>IFERROR(B59/B61-1,"")</f>
        <v/>
      </c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</row>
    <row r="63">
      <c r="A63" s="68" t="inlineStr">
        <is>
          <t>Upside / (Downside)  [Exit Multiple]</t>
        </is>
      </c>
      <c r="B63" s="117">
        <f>IFERROR(B60/B61-1,"")</f>
        <v/>
      </c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2026-04-16T09:31:09Z</dcterms:created>
  <dcterms:modified xsi:type="dcterms:W3CDTF">2026-04-16T09:31:40Z</dcterms:modified>
</cp:coreProperties>
</file>