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b val="1"/>
      <color rgb="005D4037"/>
      <sz val="10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B5E20"/>
      <sz val="10"/>
    </font>
    <font>
      <name val="Arial"/>
      <b val="1"/>
      <color rgb="001565C0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B71C1C"/>
      <sz val="11"/>
    </font>
    <font>
      <name val="Arial"/>
      <color rgb="00444444"/>
      <sz val="8"/>
    </font>
  </fonts>
  <fills count="22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CDD2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3" fontId="22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3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4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4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6" fillId="16" borderId="0" applyAlignment="1" pivotButton="0" quotePrefix="0" xfId="0">
      <alignment horizontal="left" vertical="center" wrapText="1" indent="1"/>
    </xf>
    <xf numFmtId="0" fontId="27" fillId="7" borderId="1" applyAlignment="1" pivotButton="0" quotePrefix="0" xfId="0">
      <alignment horizontal="left" vertical="center" indent="1"/>
    </xf>
    <xf numFmtId="0" fontId="27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8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8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33" fillId="1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left" vertical="center" indent="1"/>
    </xf>
    <xf numFmtId="0" fontId="34" fillId="21" borderId="1" applyAlignment="1" pivotButton="0" quotePrefix="0" xfId="0">
      <alignment horizontal="left" vertical="center" indent="1"/>
    </xf>
    <xf numFmtId="0" fontId="0" fillId="21" borderId="1" pivotButton="0" quotePrefix="0" xfId="0"/>
    <xf numFmtId="2" fontId="34" fillId="21" borderId="1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PEP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93925</v>
      </c>
    </row>
    <row r="8">
      <c r="A8" s="3" t="inlineStr">
        <is>
          <t>Gross Profit ($mm)</t>
        </is>
      </c>
      <c r="B8" s="7" t="n">
        <v>50859</v>
      </c>
    </row>
    <row r="9">
      <c r="A9" s="3" t="inlineStr">
        <is>
          <t>EBITDA ($mm)</t>
        </is>
      </c>
      <c r="B9" s="7" t="n">
        <v>15543</v>
      </c>
    </row>
    <row r="10">
      <c r="A10" s="3" t="inlineStr">
        <is>
          <t>EBIT ($mm)</t>
        </is>
      </c>
      <c r="B10" s="7" t="n">
        <v>13491</v>
      </c>
    </row>
    <row r="11">
      <c r="A11" s="3" t="inlineStr">
        <is>
          <t>Net Income ($mm)</t>
        </is>
      </c>
      <c r="B11" s="7" t="n">
        <v>8240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PEP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79474</v>
      </c>
      <c r="C5" s="16" t="n">
        <v>86392</v>
      </c>
      <c r="D5" s="16" t="n">
        <v>91471</v>
      </c>
      <c r="E5" s="16" t="n">
        <v>91854</v>
      </c>
      <c r="F5" s="16" t="n">
        <v>93925</v>
      </c>
    </row>
    <row r="6">
      <c r="A6" s="17" t="inlineStr">
        <is>
          <t>(2)  Cost of Revenue (COGS)</t>
        </is>
      </c>
      <c r="B6" s="18" t="n">
        <v>37075</v>
      </c>
      <c r="C6" s="18" t="n">
        <v>40576</v>
      </c>
      <c r="D6" s="18" t="n">
        <v>41881</v>
      </c>
      <c r="E6" s="18" t="n">
        <v>41744</v>
      </c>
      <c r="F6" s="18" t="n">
        <v>43066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31237</v>
      </c>
      <c r="C9" s="18" t="n">
        <v>34459</v>
      </c>
      <c r="D9" s="18" t="n">
        <v>36677</v>
      </c>
      <c r="E9" s="18" t="n">
        <v>37190</v>
      </c>
      <c r="F9" s="18" t="n">
        <v>37368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31237</v>
      </c>
      <c r="C11" s="18" t="n">
        <v>34304</v>
      </c>
      <c r="D11" s="18" t="n">
        <v>37604</v>
      </c>
      <c r="E11" s="18" t="n">
        <v>37223</v>
      </c>
      <c r="F11" s="18" t="n">
        <v>37368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3215</v>
      </c>
      <c r="C14" s="18" t="n">
        <v>3280</v>
      </c>
      <c r="D14" s="18" t="n">
        <v>3518</v>
      </c>
      <c r="E14" s="18" t="n">
        <v>3815</v>
      </c>
      <c r="F14" s="18" t="n">
        <v>4178</v>
      </c>
    </row>
    <row r="15">
      <c r="A15" s="19" t="inlineStr">
        <is>
          <t>(8)  EBIT (Operating Income)</t>
        </is>
      </c>
      <c r="B15" s="24" t="n">
        <v>11162</v>
      </c>
      <c r="C15" s="24" t="n">
        <v>11512</v>
      </c>
      <c r="D15" s="24" t="n">
        <v>11986</v>
      </c>
      <c r="E15" s="24" t="n">
        <v>12887</v>
      </c>
      <c r="F15" s="24" t="n">
        <v>13491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1863</v>
      </c>
      <c r="C17" s="18" t="n">
        <v>939</v>
      </c>
      <c r="D17" s="18" t="n">
        <v>819</v>
      </c>
      <c r="E17" s="18" t="n">
        <v>919</v>
      </c>
      <c r="F17" s="18" t="n">
        <v>1121</v>
      </c>
    </row>
    <row r="18">
      <c r="A18" s="21" t="inlineStr">
        <is>
          <t xml:space="preserve">     Interest Income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9821</v>
      </c>
      <c r="C21" s="24" t="n">
        <v>10705</v>
      </c>
      <c r="D21" s="24" t="n">
        <v>11417</v>
      </c>
      <c r="E21" s="24" t="n">
        <v>11946</v>
      </c>
      <c r="F21" s="24" t="n">
        <v>10244</v>
      </c>
    </row>
    <row r="22">
      <c r="A22" s="17" t="inlineStr">
        <is>
          <t>(11) Income Tax Expense</t>
        </is>
      </c>
      <c r="B22" s="18" t="n">
        <v>2142</v>
      </c>
      <c r="C22" s="18" t="n">
        <v>1727</v>
      </c>
      <c r="D22" s="18" t="n">
        <v>2262</v>
      </c>
      <c r="E22" s="18" t="n">
        <v>2320</v>
      </c>
      <c r="F22" s="18" t="n">
        <v>1949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7618</v>
      </c>
      <c r="C24" s="24" t="n">
        <v>8910</v>
      </c>
      <c r="D24" s="24" t="n">
        <v>9074</v>
      </c>
      <c r="E24" s="24" t="n">
        <v>9578</v>
      </c>
      <c r="F24" s="24" t="n">
        <v>8240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79474</v>
      </c>
      <c r="C30" s="16" t="n">
        <v>86392</v>
      </c>
      <c r="D30" s="16" t="n">
        <v>91471</v>
      </c>
      <c r="E30" s="16" t="n">
        <v>91854</v>
      </c>
      <c r="F30" s="16" t="n">
        <v>93925</v>
      </c>
    </row>
    <row r="31">
      <c r="A31" s="17" t="inlineStr">
        <is>
          <t>Cost of Revenue</t>
        </is>
      </c>
      <c r="B31" s="18" t="n">
        <v>37075</v>
      </c>
      <c r="C31" s="18" t="n">
        <v>40576</v>
      </c>
      <c r="D31" s="18" t="n">
        <v>41881</v>
      </c>
      <c r="E31" s="18" t="n">
        <v>41744</v>
      </c>
      <c r="F31" s="18" t="n">
        <v>43066</v>
      </c>
    </row>
    <row r="32">
      <c r="A32" s="26" t="inlineStr">
        <is>
          <t>Gross Profit</t>
        </is>
      </c>
      <c r="B32" s="27" t="n">
        <v>42399</v>
      </c>
      <c r="C32" s="27" t="n">
        <v>45816</v>
      </c>
      <c r="D32" s="27" t="n">
        <v>49590</v>
      </c>
      <c r="E32" s="27" t="n">
        <v>50110</v>
      </c>
      <c r="F32" s="27" t="n">
        <v>50859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31237</v>
      </c>
      <c r="C37" s="18" t="n">
        <v>34459</v>
      </c>
      <c r="D37" s="18" t="n">
        <v>36677</v>
      </c>
      <c r="E37" s="18" t="n">
        <v>37190</v>
      </c>
      <c r="F37" s="18" t="n">
        <v>37368</v>
      </c>
    </row>
    <row r="38">
      <c r="A38" s="17" t="inlineStr">
        <is>
          <t>Other Expenses</t>
        </is>
      </c>
      <c r="B38" s="18" t="n">
        <v>0</v>
      </c>
      <c r="C38" s="18" t="n">
        <v>-155</v>
      </c>
      <c r="D38" s="18" t="n">
        <v>927</v>
      </c>
      <c r="E38" s="18" t="n">
        <v>33</v>
      </c>
      <c r="F38" s="18" t="n">
        <v>0</v>
      </c>
    </row>
    <row r="39">
      <c r="A39" s="26" t="inlineStr">
        <is>
          <t>Total Operating Expenses</t>
        </is>
      </c>
      <c r="B39" s="27" t="n">
        <v>31237</v>
      </c>
      <c r="C39" s="27" t="n">
        <v>34304</v>
      </c>
      <c r="D39" s="27" t="n">
        <v>37604</v>
      </c>
      <c r="E39" s="27" t="n">
        <v>37223</v>
      </c>
      <c r="F39" s="27" t="n">
        <v>37368</v>
      </c>
    </row>
    <row r="40">
      <c r="A40" s="17" t="inlineStr">
        <is>
          <t>Cost &amp; Expenses (COGS + Opex)</t>
        </is>
      </c>
      <c r="B40" s="18" t="n">
        <v>68312</v>
      </c>
      <c r="C40" s="18" t="n">
        <v>74880</v>
      </c>
      <c r="D40" s="18" t="n">
        <v>79485</v>
      </c>
      <c r="E40" s="18" t="n">
        <v>78967</v>
      </c>
      <c r="F40" s="18" t="n">
        <v>80434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11162</v>
      </c>
      <c r="C42" s="16" t="n">
        <v>11512</v>
      </c>
      <c r="D42" s="16" t="n">
        <v>11986</v>
      </c>
      <c r="E42" s="16" t="n">
        <v>12887</v>
      </c>
      <c r="F42" s="16" t="n">
        <v>13491</v>
      </c>
    </row>
    <row r="43">
      <c r="A43" s="17" t="inlineStr">
        <is>
          <t>EBIT (FMP field)</t>
        </is>
      </c>
      <c r="B43" s="18" t="n">
        <v>11684</v>
      </c>
      <c r="C43" s="18" t="n">
        <v>11644</v>
      </c>
      <c r="D43" s="18" t="n">
        <v>12236</v>
      </c>
      <c r="E43" s="18" t="n">
        <v>12865</v>
      </c>
      <c r="F43" s="18" t="n">
        <v>11365</v>
      </c>
    </row>
    <row r="44">
      <c r="A44" s="26" t="inlineStr">
        <is>
          <t>EBITDA</t>
        </is>
      </c>
      <c r="B44" s="27" t="n">
        <v>14899</v>
      </c>
      <c r="C44" s="27" t="n">
        <v>14924</v>
      </c>
      <c r="D44" s="27" t="n">
        <v>15754</v>
      </c>
      <c r="E44" s="27" t="n">
        <v>16680</v>
      </c>
      <c r="F44" s="27" t="n">
        <v>15543</v>
      </c>
    </row>
    <row r="45">
      <c r="A45" s="17" t="inlineStr">
        <is>
          <t>Depreciation &amp; Amortisation</t>
        </is>
      </c>
      <c r="B45" s="18" t="n">
        <v>3215</v>
      </c>
      <c r="C45" s="18" t="n">
        <v>3280</v>
      </c>
      <c r="D45" s="18" t="n">
        <v>3518</v>
      </c>
      <c r="E45" s="18" t="n">
        <v>3815</v>
      </c>
      <c r="F45" s="18" t="n">
        <v>4178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0</v>
      </c>
      <c r="C47" s="18" t="n">
        <v>0</v>
      </c>
      <c r="D47" s="18" t="n">
        <v>0</v>
      </c>
      <c r="E47" s="18" t="n">
        <v>0</v>
      </c>
      <c r="F47" s="18" t="n">
        <v>0</v>
      </c>
    </row>
    <row r="48">
      <c r="A48" s="17" t="inlineStr">
        <is>
          <t>Interest Expense</t>
        </is>
      </c>
      <c r="B48" s="18" t="n">
        <v>1863</v>
      </c>
      <c r="C48" s="18" t="n">
        <v>939</v>
      </c>
      <c r="D48" s="18" t="n">
        <v>819</v>
      </c>
      <c r="E48" s="18" t="n">
        <v>919</v>
      </c>
      <c r="F48" s="18" t="n">
        <v>1121</v>
      </c>
    </row>
    <row r="49">
      <c r="A49" s="17" t="inlineStr">
        <is>
          <t>Net Interest Income</t>
        </is>
      </c>
      <c r="B49" s="18" t="n">
        <v>-1863</v>
      </c>
      <c r="C49" s="18" t="n">
        <v>-939</v>
      </c>
      <c r="D49" s="18" t="n">
        <v>-819</v>
      </c>
      <c r="E49" s="18" t="n">
        <v>-919</v>
      </c>
      <c r="F49" s="18" t="n">
        <v>-1121</v>
      </c>
    </row>
    <row r="50">
      <c r="A50" s="17" t="inlineStr">
        <is>
          <t>Non-Operating Income (ex-interest)</t>
        </is>
      </c>
      <c r="B50" s="18" t="n">
        <v>-522</v>
      </c>
      <c r="C50" s="18" t="n">
        <v>-132</v>
      </c>
      <c r="D50" s="18" t="n">
        <v>-250</v>
      </c>
      <c r="E50" s="18" t="n">
        <v>22</v>
      </c>
      <c r="F50" s="18" t="n">
        <v>2126</v>
      </c>
    </row>
    <row r="51">
      <c r="A51" s="17" t="inlineStr">
        <is>
          <t>Total Other Income / (Expenses)</t>
        </is>
      </c>
      <c r="B51" s="18" t="n">
        <v>-1341</v>
      </c>
      <c r="C51" s="18" t="n">
        <v>-807</v>
      </c>
      <c r="D51" s="18" t="n">
        <v>-569</v>
      </c>
      <c r="E51" s="18" t="n">
        <v>-941</v>
      </c>
      <c r="F51" s="18" t="n">
        <v>-3247</v>
      </c>
    </row>
    <row r="52">
      <c r="A52" s="26" t="inlineStr">
        <is>
          <t>EBT / Income Before Tax</t>
        </is>
      </c>
      <c r="B52" s="27" t="n">
        <v>9821</v>
      </c>
      <c r="C52" s="27" t="n">
        <v>10705</v>
      </c>
      <c r="D52" s="27" t="n">
        <v>11417</v>
      </c>
      <c r="E52" s="27" t="n">
        <v>11946</v>
      </c>
      <c r="F52" s="27" t="n">
        <v>10244</v>
      </c>
    </row>
    <row r="53">
      <c r="A53" s="17" t="inlineStr">
        <is>
          <t>Income Tax Expense</t>
        </is>
      </c>
      <c r="B53" s="18" t="n">
        <v>2142</v>
      </c>
      <c r="C53" s="18" t="n">
        <v>1727</v>
      </c>
      <c r="D53" s="18" t="n">
        <v>2262</v>
      </c>
      <c r="E53" s="18" t="n">
        <v>2320</v>
      </c>
      <c r="F53" s="18" t="n">
        <v>1949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7679</v>
      </c>
      <c r="C55" s="18" t="n">
        <v>8978</v>
      </c>
      <c r="D55" s="18" t="n">
        <v>9155</v>
      </c>
      <c r="E55" s="18" t="n">
        <v>9626</v>
      </c>
      <c r="F55" s="18" t="n">
        <v>8295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7618</v>
      </c>
      <c r="C59" s="27" t="n">
        <v>8910</v>
      </c>
      <c r="D59" s="27" t="n">
        <v>9074</v>
      </c>
      <c r="E59" s="27" t="n">
        <v>9578</v>
      </c>
      <c r="F59" s="27" t="n">
        <v>8240</v>
      </c>
    </row>
    <row r="60">
      <c r="A60" s="15" t="inlineStr">
        <is>
          <t>Bottom Line Net Income</t>
        </is>
      </c>
      <c r="B60" s="16" t="n">
        <v>7618</v>
      </c>
      <c r="C60" s="16" t="n">
        <v>8910</v>
      </c>
      <c r="D60" s="16" t="n">
        <v>9074</v>
      </c>
      <c r="E60" s="16" t="n">
        <v>9578</v>
      </c>
      <c r="F60" s="16" t="n">
        <v>8240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5.51</v>
      </c>
      <c r="C62" s="18" t="n">
        <v>6.46</v>
      </c>
      <c r="D62" s="18" t="n">
        <v>6.59</v>
      </c>
      <c r="E62" s="18" t="n">
        <v>6.98</v>
      </c>
      <c r="F62" s="18" t="n">
        <v>6.03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1382</v>
      </c>
      <c r="C64" s="18" t="n">
        <v>1380</v>
      </c>
      <c r="D64" s="18" t="n">
        <v>1376</v>
      </c>
      <c r="E64" s="18" t="n">
        <v>1373</v>
      </c>
      <c r="F64" s="18" t="n">
        <v>1367.34</v>
      </c>
    </row>
    <row r="65">
      <c r="A65" s="17" t="inlineStr">
        <is>
          <t>Shares Outstanding — Diluted (mm)</t>
        </is>
      </c>
      <c r="B65" s="18" t="n">
        <v>1389</v>
      </c>
      <c r="C65" s="18" t="n">
        <v>1387</v>
      </c>
      <c r="D65" s="18" t="n">
        <v>1383</v>
      </c>
      <c r="E65" s="18" t="n">
        <v>1378</v>
      </c>
      <c r="F65" s="18" t="n">
        <v>1373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PEP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5596</v>
      </c>
      <c r="C5" s="18" t="n">
        <v>4954</v>
      </c>
      <c r="D5" s="18" t="n">
        <v>9711</v>
      </c>
      <c r="E5" s="18" t="n">
        <v>8505</v>
      </c>
      <c r="F5" s="18" t="n">
        <v>9159</v>
      </c>
    </row>
    <row r="6">
      <c r="A6" s="17" t="inlineStr">
        <is>
          <t>(2)  Receivables</t>
        </is>
      </c>
      <c r="B6" s="18" t="n">
        <v>8680</v>
      </c>
      <c r="C6" s="18" t="n">
        <v>10163</v>
      </c>
      <c r="D6" s="18" t="n">
        <v>10815</v>
      </c>
      <c r="E6" s="18" t="n">
        <v>10333</v>
      </c>
      <c r="F6" s="18" t="n">
        <v>11506</v>
      </c>
    </row>
    <row r="7">
      <c r="A7" s="17" t="inlineStr">
        <is>
          <t>(3)  Inventory</t>
        </is>
      </c>
      <c r="B7" s="18" t="n">
        <v>4347</v>
      </c>
      <c r="C7" s="18" t="n">
        <v>5222</v>
      </c>
      <c r="D7" s="18" t="n">
        <v>5334</v>
      </c>
      <c r="E7" s="18" t="n">
        <v>5306</v>
      </c>
      <c r="F7" s="18" t="n">
        <v>5845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21783</v>
      </c>
      <c r="C9" s="24" t="n">
        <v>21539</v>
      </c>
      <c r="D9" s="24" t="n">
        <v>26950</v>
      </c>
      <c r="E9" s="24" t="n">
        <v>25826</v>
      </c>
      <c r="F9" s="24" t="n">
        <v>27949</v>
      </c>
    </row>
    <row r="10">
      <c r="A10" s="17" t="inlineStr">
        <is>
          <t>(6)  PP&amp;E (Net)</t>
        </is>
      </c>
      <c r="B10" s="18" t="n">
        <v>24427</v>
      </c>
      <c r="C10" s="18" t="n">
        <v>26664</v>
      </c>
      <c r="D10" s="18" t="n">
        <v>29944</v>
      </c>
      <c r="E10" s="18" t="n">
        <v>31391</v>
      </c>
      <c r="F10" s="18" t="n">
        <v>33650</v>
      </c>
    </row>
    <row r="11">
      <c r="A11" s="17" t="inlineStr">
        <is>
          <t>(7)  Goodwill</t>
        </is>
      </c>
      <c r="B11" s="18" t="n">
        <v>18381</v>
      </c>
      <c r="C11" s="18" t="n">
        <v>18202</v>
      </c>
      <c r="D11" s="18" t="n">
        <v>17728</v>
      </c>
      <c r="E11" s="18" t="n">
        <v>17534</v>
      </c>
      <c r="F11" s="18" t="n">
        <v>18916</v>
      </c>
    </row>
    <row r="12">
      <c r="A12" s="17" t="inlineStr">
        <is>
          <t>(8)  Deferred Tax Assets</t>
        </is>
      </c>
      <c r="B12" s="18" t="n">
        <v>4310</v>
      </c>
      <c r="C12" s="18" t="n">
        <v>4204</v>
      </c>
      <c r="D12" s="18" t="n">
        <v>4474</v>
      </c>
      <c r="E12" s="18" t="n">
        <v>4362</v>
      </c>
      <c r="F12" s="18" t="n">
        <v>4541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70594</v>
      </c>
      <c r="C14" s="24" t="n">
        <v>70648</v>
      </c>
      <c r="D14" s="24" t="n">
        <v>73545</v>
      </c>
      <c r="E14" s="24" t="n">
        <v>73641</v>
      </c>
      <c r="F14" s="24" t="n">
        <v>79450</v>
      </c>
    </row>
    <row r="15">
      <c r="A15" s="19" t="inlineStr">
        <is>
          <t>(11) Total Assets</t>
        </is>
      </c>
      <c r="B15" s="24" t="n">
        <v>92377</v>
      </c>
      <c r="C15" s="24" t="n">
        <v>92187</v>
      </c>
      <c r="D15" s="24" t="n">
        <v>100495</v>
      </c>
      <c r="E15" s="24" t="n">
        <v>99467</v>
      </c>
      <c r="F15" s="24" t="n">
        <v>107399</v>
      </c>
    </row>
    <row r="16" ht="6" customHeight="1"/>
    <row r="17">
      <c r="A17" s="17" t="inlineStr">
        <is>
          <t>(12) Accounts Payable</t>
        </is>
      </c>
      <c r="B17" s="18" t="n">
        <v>9834</v>
      </c>
      <c r="C17" s="18" t="n">
        <v>10732</v>
      </c>
      <c r="D17" s="18" t="n">
        <v>11635</v>
      </c>
      <c r="E17" s="18" t="n">
        <v>10997</v>
      </c>
      <c r="F17" s="18" t="n">
        <v>11704</v>
      </c>
    </row>
    <row r="18">
      <c r="A18" s="17" t="inlineStr">
        <is>
          <t>(13) Short-Term Borrowings</t>
        </is>
      </c>
      <c r="B18" s="18" t="n">
        <v>4308</v>
      </c>
      <c r="C18" s="18" t="n">
        <v>3414</v>
      </c>
      <c r="D18" s="18" t="n">
        <v>6510</v>
      </c>
      <c r="E18" s="18" t="n">
        <v>7082</v>
      </c>
      <c r="F18" s="18" t="n">
        <v>6861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26220</v>
      </c>
      <c r="C21" s="24" t="n">
        <v>26785</v>
      </c>
      <c r="D21" s="24" t="n">
        <v>31647</v>
      </c>
      <c r="E21" s="24" t="n">
        <v>31536</v>
      </c>
      <c r="F21" s="24" t="n">
        <v>32764</v>
      </c>
    </row>
    <row r="22">
      <c r="A22" s="17" t="inlineStr">
        <is>
          <t>(17) Long-Term Debt</t>
        </is>
      </c>
      <c r="B22" s="18" t="n">
        <v>36026</v>
      </c>
      <c r="C22" s="18" t="n">
        <v>35657</v>
      </c>
      <c r="D22" s="18" t="n">
        <v>37595</v>
      </c>
      <c r="E22" s="18" t="n">
        <v>37224</v>
      </c>
      <c r="F22" s="18" t="n">
        <v>42321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76226</v>
      </c>
      <c r="C25" s="24" t="n">
        <v>74914</v>
      </c>
      <c r="D25" s="24" t="n">
        <v>81858</v>
      </c>
      <c r="E25" s="24" t="n">
        <v>81296</v>
      </c>
      <c r="F25" s="24" t="n">
        <v>86852</v>
      </c>
    </row>
    <row r="26" ht="6" customHeight="1"/>
    <row r="27">
      <c r="A27" s="17" t="inlineStr">
        <is>
          <t>(21) Common Stock &amp; APIC</t>
        </is>
      </c>
      <c r="B27" s="18" t="n">
        <v>23</v>
      </c>
      <c r="C27" s="18" t="n">
        <v>23</v>
      </c>
      <c r="D27" s="18" t="n">
        <v>23</v>
      </c>
      <c r="E27" s="18" t="n">
        <v>23</v>
      </c>
      <c r="F27" s="18" t="n">
        <v>23</v>
      </c>
    </row>
    <row r="28">
      <c r="A28" s="17" t="inlineStr">
        <is>
          <t>(22) Retained Earnings</t>
        </is>
      </c>
      <c r="B28" s="18" t="n">
        <v>65165</v>
      </c>
      <c r="C28" s="18" t="n">
        <v>67800</v>
      </c>
      <c r="D28" s="18" t="n">
        <v>70035</v>
      </c>
      <c r="E28" s="18" t="n">
        <v>72266</v>
      </c>
      <c r="F28" s="18" t="n">
        <v>72788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16043</v>
      </c>
      <c r="C30" s="24" t="n">
        <v>17149</v>
      </c>
      <c r="D30" s="24" t="n">
        <v>18503</v>
      </c>
      <c r="E30" s="24" t="n">
        <v>18041</v>
      </c>
      <c r="F30" s="24" t="n">
        <v>20406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5596</v>
      </c>
      <c r="C36" s="18" t="n">
        <v>4954</v>
      </c>
      <c r="D36" s="18" t="n">
        <v>9711</v>
      </c>
      <c r="E36" s="18" t="n">
        <v>8505</v>
      </c>
      <c r="F36" s="18" t="n">
        <v>9159</v>
      </c>
    </row>
    <row r="37">
      <c r="A37" s="17" t="inlineStr">
        <is>
          <t>Short-Term Investments</t>
        </is>
      </c>
      <c r="B37" s="18" t="n">
        <v>392</v>
      </c>
      <c r="C37" s="18" t="n">
        <v>394</v>
      </c>
      <c r="D37" s="18" t="n">
        <v>292</v>
      </c>
      <c r="E37" s="18" t="n">
        <v>761</v>
      </c>
      <c r="F37" s="18" t="n">
        <v>371</v>
      </c>
    </row>
    <row r="38">
      <c r="A38" s="28" t="inlineStr">
        <is>
          <t>Cash &amp; Short-Term Investments</t>
        </is>
      </c>
      <c r="B38" s="29" t="n">
        <v>5988</v>
      </c>
      <c r="C38" s="29" t="n">
        <v>5348</v>
      </c>
      <c r="D38" s="29" t="n">
        <v>10003</v>
      </c>
      <c r="E38" s="29" t="n">
        <v>9266</v>
      </c>
      <c r="F38" s="29" t="n">
        <v>9530</v>
      </c>
    </row>
    <row r="39">
      <c r="A39" s="17" t="inlineStr">
        <is>
          <t>Accounts Receivable (Trade)</t>
        </is>
      </c>
      <c r="B39" s="18" t="n">
        <v>7025</v>
      </c>
      <c r="C39" s="18" t="n">
        <v>8042</v>
      </c>
      <c r="D39" s="18" t="n">
        <v>8500</v>
      </c>
      <c r="E39" s="18" t="n">
        <v>8131</v>
      </c>
      <c r="F39" s="18" t="n">
        <v>9035</v>
      </c>
    </row>
    <row r="40">
      <c r="A40" s="17" t="inlineStr">
        <is>
          <t>Other Receivables</t>
        </is>
      </c>
      <c r="B40" s="18" t="n">
        <v>1655</v>
      </c>
      <c r="C40" s="18" t="n">
        <v>2121</v>
      </c>
      <c r="D40" s="18" t="n">
        <v>2315</v>
      </c>
      <c r="E40" s="18" t="n">
        <v>2202</v>
      </c>
      <c r="F40" s="18" t="n">
        <v>2471</v>
      </c>
    </row>
    <row r="41">
      <c r="A41" s="28" t="inlineStr">
        <is>
          <t>Net Receivables (Total)</t>
        </is>
      </c>
      <c r="B41" s="29" t="n">
        <v>8680</v>
      </c>
      <c r="C41" s="29" t="n">
        <v>10163</v>
      </c>
      <c r="D41" s="29" t="n">
        <v>10815</v>
      </c>
      <c r="E41" s="29" t="n">
        <v>10333</v>
      </c>
      <c r="F41" s="29" t="n">
        <v>11506</v>
      </c>
    </row>
    <row r="42">
      <c r="A42" s="17" t="inlineStr">
        <is>
          <t>Inventory</t>
        </is>
      </c>
      <c r="B42" s="18" t="n">
        <v>4347</v>
      </c>
      <c r="C42" s="18" t="n">
        <v>5222</v>
      </c>
      <c r="D42" s="18" t="n">
        <v>5334</v>
      </c>
      <c r="E42" s="18" t="n">
        <v>5306</v>
      </c>
      <c r="F42" s="18" t="n">
        <v>5845</v>
      </c>
    </row>
    <row r="43">
      <c r="A43" s="17" t="inlineStr">
        <is>
          <t>Prepaids</t>
        </is>
      </c>
      <c r="B43" s="18" t="n">
        <v>980</v>
      </c>
      <c r="C43" s="18" t="n">
        <v>806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1788</v>
      </c>
      <c r="C44" s="18" t="n">
        <v>0</v>
      </c>
      <c r="D44" s="18" t="n">
        <v>798</v>
      </c>
      <c r="E44" s="18" t="n">
        <v>921</v>
      </c>
      <c r="F44" s="18" t="n">
        <v>1068</v>
      </c>
    </row>
    <row r="45">
      <c r="A45" s="26" t="inlineStr">
        <is>
          <t>Total Current Assets</t>
        </is>
      </c>
      <c r="B45" s="27" t="n">
        <v>21783</v>
      </c>
      <c r="C45" s="27" t="n">
        <v>21539</v>
      </c>
      <c r="D45" s="27" t="n">
        <v>26950</v>
      </c>
      <c r="E45" s="27" t="n">
        <v>25826</v>
      </c>
      <c r="F45" s="27" t="n">
        <v>27949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24427</v>
      </c>
      <c r="C47" s="18" t="n">
        <v>26664</v>
      </c>
      <c r="D47" s="18" t="n">
        <v>29944</v>
      </c>
      <c r="E47" s="18" t="n">
        <v>31391</v>
      </c>
      <c r="F47" s="18" t="n">
        <v>33650</v>
      </c>
    </row>
    <row r="48">
      <c r="A48" s="17" t="inlineStr">
        <is>
          <t>Goodwill</t>
        </is>
      </c>
      <c r="B48" s="18" t="n">
        <v>18381</v>
      </c>
      <c r="C48" s="18" t="n">
        <v>18202</v>
      </c>
      <c r="D48" s="18" t="n">
        <v>17728</v>
      </c>
      <c r="E48" s="18" t="n">
        <v>17534</v>
      </c>
      <c r="F48" s="18" t="n">
        <v>18916</v>
      </c>
    </row>
    <row r="49">
      <c r="A49" s="17" t="inlineStr">
        <is>
          <t>Intangible Assets</t>
        </is>
      </c>
      <c r="B49" s="18" t="n">
        <v>18665</v>
      </c>
      <c r="C49" s="18" t="n">
        <v>15586</v>
      </c>
      <c r="D49" s="18" t="n">
        <v>14929</v>
      </c>
      <c r="E49" s="18" t="n">
        <v>14801</v>
      </c>
      <c r="F49" s="18" t="n">
        <v>15066</v>
      </c>
    </row>
    <row r="50">
      <c r="A50" s="17" t="inlineStr">
        <is>
          <t>Long-Term Investments</t>
        </is>
      </c>
      <c r="B50" s="18" t="n">
        <v>2627</v>
      </c>
      <c r="C50" s="18" t="n">
        <v>3886</v>
      </c>
      <c r="D50" s="18" t="n">
        <v>4330</v>
      </c>
      <c r="E50" s="18" t="n">
        <v>3331</v>
      </c>
      <c r="F50" s="18" t="n">
        <v>4564</v>
      </c>
    </row>
    <row r="51">
      <c r="A51" s="17" t="inlineStr">
        <is>
          <t>Tax Assets (Deferred)</t>
        </is>
      </c>
      <c r="B51" s="18" t="n">
        <v>4310</v>
      </c>
      <c r="C51" s="18" t="n">
        <v>4204</v>
      </c>
      <c r="D51" s="18" t="n">
        <v>4474</v>
      </c>
      <c r="E51" s="18" t="n">
        <v>4362</v>
      </c>
      <c r="F51" s="18" t="n">
        <v>4541</v>
      </c>
    </row>
    <row r="52">
      <c r="A52" s="17" t="inlineStr">
        <is>
          <t>Total Investments</t>
        </is>
      </c>
      <c r="B52" s="18" t="n">
        <v>3019</v>
      </c>
      <c r="C52" s="18" t="n">
        <v>4280</v>
      </c>
      <c r="D52" s="18" t="n">
        <v>4622</v>
      </c>
      <c r="E52" s="18" t="n">
        <v>4092</v>
      </c>
      <c r="F52" s="18" t="n">
        <v>4935</v>
      </c>
    </row>
    <row r="53">
      <c r="A53" s="17" t="inlineStr">
        <is>
          <t>Other Non-Current Assets</t>
        </is>
      </c>
      <c r="B53" s="18" t="n">
        <v>2184</v>
      </c>
      <c r="C53" s="18" t="n">
        <v>2106</v>
      </c>
      <c r="D53" s="18" t="n">
        <v>2140</v>
      </c>
      <c r="E53" s="18" t="n">
        <v>2222</v>
      </c>
      <c r="F53" s="18" t="n">
        <v>2713</v>
      </c>
    </row>
    <row r="54">
      <c r="A54" s="26" t="inlineStr">
        <is>
          <t>Total Non-Current Assets</t>
        </is>
      </c>
      <c r="B54" s="27" t="n">
        <v>70594</v>
      </c>
      <c r="C54" s="27" t="n">
        <v>70648</v>
      </c>
      <c r="D54" s="27" t="n">
        <v>73545</v>
      </c>
      <c r="E54" s="27" t="n">
        <v>73641</v>
      </c>
      <c r="F54" s="27" t="n">
        <v>79450</v>
      </c>
    </row>
    <row r="55">
      <c r="A55" s="13" t="inlineStr">
        <is>
          <t>TOTAL ASSETS</t>
        </is>
      </c>
      <c r="B55" s="30" t="n">
        <v>92377</v>
      </c>
      <c r="C55" s="30" t="n">
        <v>92187</v>
      </c>
      <c r="D55" s="30" t="n">
        <v>100495</v>
      </c>
      <c r="E55" s="30" t="n">
        <v>99467</v>
      </c>
      <c r="F55" s="30" t="n">
        <v>107399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9834</v>
      </c>
      <c r="C57" s="18" t="n">
        <v>10732</v>
      </c>
      <c r="D57" s="18" t="n">
        <v>11635</v>
      </c>
      <c r="E57" s="18" t="n">
        <v>10997</v>
      </c>
      <c r="F57" s="18" t="n">
        <v>11704</v>
      </c>
    </row>
    <row r="58">
      <c r="A58" s="17" t="inlineStr">
        <is>
          <t>Short-Term Debt</t>
        </is>
      </c>
      <c r="B58" s="18" t="n">
        <v>4308</v>
      </c>
      <c r="C58" s="18" t="n">
        <v>3414</v>
      </c>
      <c r="D58" s="18" t="n">
        <v>6510</v>
      </c>
      <c r="E58" s="18" t="n">
        <v>7082</v>
      </c>
      <c r="F58" s="18" t="n">
        <v>6861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7037</v>
      </c>
      <c r="C61" s="18" t="n">
        <v>6909</v>
      </c>
      <c r="D61" s="18" t="n">
        <v>7656</v>
      </c>
      <c r="E61" s="18" t="n">
        <v>7472</v>
      </c>
      <c r="F61" s="18" t="n">
        <v>8001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26220</v>
      </c>
      <c r="C63" s="27" t="n">
        <v>26785</v>
      </c>
      <c r="D63" s="27" t="n">
        <v>31647</v>
      </c>
      <c r="E63" s="27" t="n">
        <v>31536</v>
      </c>
      <c r="F63" s="27" t="n">
        <v>32764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36026</v>
      </c>
      <c r="C65" s="18" t="n">
        <v>35657</v>
      </c>
      <c r="D65" s="18" t="n">
        <v>37595</v>
      </c>
      <c r="E65" s="18" t="n">
        <v>37224</v>
      </c>
      <c r="F65" s="18" t="n">
        <v>42321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4826</v>
      </c>
      <c r="C68" s="18" t="n">
        <v>4133</v>
      </c>
      <c r="D68" s="18" t="n">
        <v>3895</v>
      </c>
      <c r="E68" s="18" t="n">
        <v>3484</v>
      </c>
      <c r="F68" s="18" t="n">
        <v>3802</v>
      </c>
    </row>
    <row r="69">
      <c r="A69" s="17" t="inlineStr">
        <is>
          <t>Other Non-Current Liabilities</t>
        </is>
      </c>
      <c r="B69" s="18" t="n">
        <v>9154</v>
      </c>
      <c r="C69" s="18" t="n">
        <v>8339</v>
      </c>
      <c r="D69" s="18" t="n">
        <v>8721</v>
      </c>
      <c r="E69" s="18" t="n">
        <v>9052</v>
      </c>
      <c r="F69" s="18" t="n">
        <v>7965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76226</v>
      </c>
      <c r="C71" s="30" t="n">
        <v>74914</v>
      </c>
      <c r="D71" s="30" t="n">
        <v>81858</v>
      </c>
      <c r="E71" s="30" t="n">
        <v>81296</v>
      </c>
      <c r="F71" s="30" t="n">
        <v>86852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23</v>
      </c>
      <c r="C73" s="18" t="n">
        <v>23</v>
      </c>
      <c r="D73" s="18" t="n">
        <v>23</v>
      </c>
      <c r="E73" s="18" t="n">
        <v>23</v>
      </c>
      <c r="F73" s="18" t="n">
        <v>23</v>
      </c>
    </row>
    <row r="74">
      <c r="A74" s="17" t="inlineStr">
        <is>
          <t>Retained Earnings</t>
        </is>
      </c>
      <c r="B74" s="18" t="n">
        <v>65165</v>
      </c>
      <c r="C74" s="18" t="n">
        <v>67800</v>
      </c>
      <c r="D74" s="18" t="n">
        <v>70035</v>
      </c>
      <c r="E74" s="18" t="n">
        <v>72266</v>
      </c>
      <c r="F74" s="18" t="n">
        <v>72788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108</v>
      </c>
      <c r="C77" s="18" t="n">
        <v>124</v>
      </c>
      <c r="D77" s="18" t="n">
        <v>134</v>
      </c>
      <c r="E77" s="18" t="n">
        <v>130</v>
      </c>
      <c r="F77" s="18" t="n">
        <v>141</v>
      </c>
    </row>
    <row r="78">
      <c r="A78" s="26" t="inlineStr">
        <is>
          <t>Total Equity (inc. Minority)</t>
        </is>
      </c>
      <c r="B78" s="27" t="n">
        <v>16151</v>
      </c>
      <c r="C78" s="27" t="n">
        <v>17273</v>
      </c>
      <c r="D78" s="27" t="n">
        <v>18637</v>
      </c>
      <c r="E78" s="27" t="n">
        <v>18171</v>
      </c>
      <c r="F78" s="27" t="n">
        <v>20547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PEP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11616</v>
      </c>
      <c r="C5" s="24" t="n">
        <v>10811</v>
      </c>
      <c r="D5" s="24" t="n">
        <v>13442</v>
      </c>
      <c r="E5" s="24" t="n">
        <v>12507</v>
      </c>
      <c r="F5" s="24" t="n">
        <v>12087</v>
      </c>
    </row>
    <row r="6">
      <c r="A6" s="17" t="inlineStr">
        <is>
          <t>(2)  Capital Expenditures</t>
        </is>
      </c>
      <c r="B6" s="18" t="n">
        <v>-4625</v>
      </c>
      <c r="C6" s="18" t="n">
        <v>-5207</v>
      </c>
      <c r="D6" s="18" t="n">
        <v>-5518</v>
      </c>
      <c r="E6" s="18" t="n">
        <v>-5318</v>
      </c>
      <c r="F6" s="18" t="n">
        <v>-4415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-4132</v>
      </c>
      <c r="C9" s="18" t="n">
        <v>-810</v>
      </c>
      <c r="D9" s="18" t="n">
        <v>4770</v>
      </c>
      <c r="E9" s="18" t="n">
        <v>695</v>
      </c>
      <c r="F9" s="18" t="n">
        <v>3748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97</v>
      </c>
    </row>
    <row r="12">
      <c r="A12" s="17" t="inlineStr">
        <is>
          <t>(7)  Dividends Paid</t>
        </is>
      </c>
      <c r="B12" s="18" t="n">
        <v>-5815</v>
      </c>
      <c r="C12" s="18" t="n">
        <v>-6172</v>
      </c>
      <c r="D12" s="18" t="n">
        <v>-6682</v>
      </c>
      <c r="E12" s="18" t="n">
        <v>-7229</v>
      </c>
      <c r="F12" s="18" t="n">
        <v>-7638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6991</v>
      </c>
      <c r="C15" s="24" t="n">
        <v>5604</v>
      </c>
      <c r="D15" s="24" t="n">
        <v>7924</v>
      </c>
      <c r="E15" s="24" t="n">
        <v>7189</v>
      </c>
      <c r="F15" s="24" t="n">
        <v>7672</v>
      </c>
    </row>
    <row r="16">
      <c r="A16" s="15" t="inlineStr">
        <is>
          <t xml:space="preserve">     Net Change in Cash</t>
        </is>
      </c>
      <c r="B16" s="16" t="n">
        <v>-2547</v>
      </c>
      <c r="C16" s="16" t="n">
        <v>-607</v>
      </c>
      <c r="D16" s="16" t="n">
        <v>4661</v>
      </c>
      <c r="E16" s="16" t="n">
        <v>-1208</v>
      </c>
      <c r="F16" s="16" t="n">
        <v>651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7679</v>
      </c>
      <c r="C21" s="18" t="n">
        <v>8978</v>
      </c>
      <c r="D21" s="18" t="n">
        <v>9155</v>
      </c>
      <c r="E21" s="18" t="n">
        <v>9626</v>
      </c>
      <c r="F21" s="18" t="n">
        <v>8295</v>
      </c>
    </row>
    <row r="22">
      <c r="A22" s="17" t="inlineStr">
        <is>
          <t>Depreciation &amp; Amortisation</t>
        </is>
      </c>
      <c r="B22" s="18" t="n">
        <v>3215</v>
      </c>
      <c r="C22" s="18" t="n">
        <v>3280</v>
      </c>
      <c r="D22" s="18" t="n">
        <v>3518</v>
      </c>
      <c r="E22" s="18" t="n">
        <v>3815</v>
      </c>
      <c r="F22" s="18" t="n">
        <v>4178</v>
      </c>
    </row>
    <row r="23">
      <c r="A23" s="17" t="inlineStr">
        <is>
          <t>Deferred Income Tax</t>
        </is>
      </c>
      <c r="B23" s="18" t="n">
        <v>488</v>
      </c>
      <c r="C23" s="18" t="n">
        <v>-787</v>
      </c>
      <c r="D23" s="18" t="n">
        <v>-271</v>
      </c>
      <c r="E23" s="18" t="n">
        <v>176</v>
      </c>
      <c r="F23" s="18" t="n">
        <v>71</v>
      </c>
    </row>
    <row r="24">
      <c r="A24" s="17" t="inlineStr">
        <is>
          <t>Stock-Based Compensation</t>
        </is>
      </c>
      <c r="B24" s="18" t="n">
        <v>301</v>
      </c>
      <c r="C24" s="18" t="n">
        <v>343</v>
      </c>
      <c r="D24" s="18" t="n">
        <v>380</v>
      </c>
      <c r="E24" s="18" t="n">
        <v>362</v>
      </c>
      <c r="F24" s="18" t="n">
        <v>288</v>
      </c>
    </row>
    <row r="25">
      <c r="A25" s="17" t="inlineStr">
        <is>
          <t>Change in Working Capital</t>
        </is>
      </c>
      <c r="B25" s="18" t="n">
        <v>718</v>
      </c>
      <c r="C25" s="18" t="n">
        <v>-888</v>
      </c>
      <c r="D25" s="18" t="n">
        <v>-337</v>
      </c>
      <c r="E25" s="18" t="n">
        <v>-1696</v>
      </c>
      <c r="F25" s="18" t="n">
        <v>-1645</v>
      </c>
    </row>
    <row r="26">
      <c r="A26" s="21" t="inlineStr">
        <is>
          <t xml:space="preserve">  — Accounts Receivable</t>
        </is>
      </c>
      <c r="B26" s="18" t="n">
        <v>-651</v>
      </c>
      <c r="C26" s="18" t="n">
        <v>-1763</v>
      </c>
      <c r="D26" s="18" t="n">
        <v>-793</v>
      </c>
      <c r="E26" s="18" t="n">
        <v>-138</v>
      </c>
      <c r="F26" s="18" t="n">
        <v>-580</v>
      </c>
    </row>
    <row r="27">
      <c r="A27" s="21" t="inlineStr">
        <is>
          <t xml:space="preserve">  — Inventory</t>
        </is>
      </c>
      <c r="B27" s="18" t="n">
        <v>-582</v>
      </c>
      <c r="C27" s="18" t="n">
        <v>-1142</v>
      </c>
      <c r="D27" s="18" t="n">
        <v>-261</v>
      </c>
      <c r="E27" s="18" t="n">
        <v>-314</v>
      </c>
      <c r="F27" s="18" t="n">
        <v>-150</v>
      </c>
    </row>
    <row r="28">
      <c r="A28" s="21" t="inlineStr">
        <is>
          <t xml:space="preserve">  — Accounts Payable</t>
        </is>
      </c>
      <c r="B28" s="18" t="n">
        <v>1762</v>
      </c>
      <c r="C28" s="18" t="n">
        <v>1842</v>
      </c>
      <c r="D28" s="18" t="n">
        <v>420</v>
      </c>
      <c r="E28" s="18" t="n">
        <v>-1161</v>
      </c>
      <c r="F28" s="18" t="n">
        <v>-677</v>
      </c>
    </row>
    <row r="29">
      <c r="A29" s="21" t="inlineStr">
        <is>
          <t xml:space="preserve">  — Other Working Capital</t>
        </is>
      </c>
      <c r="B29" s="18" t="n">
        <v>189</v>
      </c>
      <c r="C29" s="18" t="n">
        <v>175</v>
      </c>
      <c r="D29" s="18" t="n">
        <v>297</v>
      </c>
      <c r="E29" s="18" t="n">
        <v>-83</v>
      </c>
      <c r="F29" s="18" t="n">
        <v>-238</v>
      </c>
    </row>
    <row r="30">
      <c r="A30" s="17" t="inlineStr">
        <is>
          <t>Other Non-Cash Items</t>
        </is>
      </c>
      <c r="B30" s="18" t="n">
        <v>-785</v>
      </c>
      <c r="C30" s="18" t="n">
        <v>-115</v>
      </c>
      <c r="D30" s="18" t="n">
        <v>997</v>
      </c>
      <c r="E30" s="18" t="n">
        <v>224</v>
      </c>
      <c r="F30" s="18" t="n">
        <v>900</v>
      </c>
    </row>
    <row r="31">
      <c r="A31" s="26" t="inlineStr">
        <is>
          <t>Net Cash from Operations (CFO)</t>
        </is>
      </c>
      <c r="B31" s="27" t="n">
        <v>11616</v>
      </c>
      <c r="C31" s="27" t="n">
        <v>10811</v>
      </c>
      <c r="D31" s="27" t="n">
        <v>13442</v>
      </c>
      <c r="E31" s="27" t="n">
        <v>12507</v>
      </c>
      <c r="F31" s="27" t="n">
        <v>12087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-4625</v>
      </c>
      <c r="C33" s="18" t="n">
        <v>-5207</v>
      </c>
      <c r="D33" s="18" t="n">
        <v>-5518</v>
      </c>
      <c r="E33" s="18" t="n">
        <v>-5318</v>
      </c>
      <c r="F33" s="18" t="n">
        <v>-4415</v>
      </c>
    </row>
    <row r="34">
      <c r="A34" s="21" t="inlineStr">
        <is>
          <t xml:space="preserve">  (Alt: Invest. in PP&amp;E)</t>
        </is>
      </c>
      <c r="B34" s="18" t="n">
        <v>-4625</v>
      </c>
      <c r="C34" s="18" t="n">
        <v>-5207</v>
      </c>
      <c r="D34" s="18" t="n">
        <v>-5518</v>
      </c>
      <c r="E34" s="18" t="n">
        <v>-5318</v>
      </c>
      <c r="F34" s="18" t="n">
        <v>-4415</v>
      </c>
    </row>
    <row r="35">
      <c r="A35" s="17" t="inlineStr">
        <is>
          <t>Acquisitions (Net)</t>
        </is>
      </c>
      <c r="B35" s="18" t="n">
        <v>108</v>
      </c>
      <c r="C35" s="18" t="n">
        <v>2632</v>
      </c>
      <c r="D35" s="18" t="n">
        <v>-239</v>
      </c>
      <c r="E35" s="18" t="n">
        <v>-90</v>
      </c>
      <c r="F35" s="18" t="n">
        <v>-3391</v>
      </c>
    </row>
    <row r="36">
      <c r="A36" s="17" t="inlineStr">
        <is>
          <t>Purchases of Investments</t>
        </is>
      </c>
      <c r="B36" s="18" t="n">
        <v>-58</v>
      </c>
      <c r="C36" s="18" t="n">
        <v>-291</v>
      </c>
      <c r="D36" s="18" t="n">
        <v>-555</v>
      </c>
      <c r="E36" s="18" t="n">
        <v>-425</v>
      </c>
      <c r="F36" s="18" t="n">
        <v>-190</v>
      </c>
    </row>
    <row r="37">
      <c r="A37" s="17" t="inlineStr">
        <is>
          <t>Sales / Maturities of Investments</t>
        </is>
      </c>
      <c r="B37" s="18" t="n">
        <v>1135</v>
      </c>
      <c r="C37" s="18" t="n">
        <v>174</v>
      </c>
      <c r="D37" s="18" t="n">
        <v>571</v>
      </c>
      <c r="E37" s="18" t="n">
        <v>5</v>
      </c>
      <c r="F37" s="18" t="n">
        <v>689</v>
      </c>
    </row>
    <row r="38">
      <c r="A38" s="17" t="inlineStr">
        <is>
          <t>Other Investing Activities</t>
        </is>
      </c>
      <c r="B38" s="18" t="n">
        <v>171</v>
      </c>
      <c r="C38" s="18" t="n">
        <v>262</v>
      </c>
      <c r="D38" s="18" t="n">
        <v>246</v>
      </c>
      <c r="E38" s="18" t="n">
        <v>356</v>
      </c>
      <c r="F38" s="18" t="n">
        <v>428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-4132</v>
      </c>
      <c r="C41" s="18" t="n">
        <v>-810</v>
      </c>
      <c r="D41" s="18" t="n">
        <v>4770</v>
      </c>
      <c r="E41" s="18" t="n">
        <v>695</v>
      </c>
      <c r="F41" s="18" t="n">
        <v>3748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97</v>
      </c>
    </row>
    <row r="44">
      <c r="A44" s="17" t="inlineStr">
        <is>
          <t>Common Stock Repurchased (Buybacks)</t>
        </is>
      </c>
      <c r="B44" s="18" t="n">
        <v>-106</v>
      </c>
      <c r="C44" s="18" t="n">
        <v>-1500</v>
      </c>
      <c r="D44" s="18" t="n">
        <v>-1000</v>
      </c>
      <c r="E44" s="18" t="n">
        <v>-1000</v>
      </c>
      <c r="F44" s="18" t="n">
        <v>-1000</v>
      </c>
    </row>
    <row r="45">
      <c r="A45" s="17" t="inlineStr">
        <is>
          <t>Dividends Paid</t>
        </is>
      </c>
      <c r="B45" s="18" t="n">
        <v>-5815</v>
      </c>
      <c r="C45" s="18" t="n">
        <v>-6172</v>
      </c>
      <c r="D45" s="18" t="n">
        <v>-6682</v>
      </c>
      <c r="E45" s="18" t="n">
        <v>-7229</v>
      </c>
      <c r="F45" s="18" t="n">
        <v>-7638</v>
      </c>
    </row>
    <row r="46">
      <c r="A46" s="17" t="inlineStr">
        <is>
          <t>Other Financing Activities</t>
        </is>
      </c>
      <c r="B46" s="18" t="n">
        <v>-912</v>
      </c>
      <c r="C46" s="18" t="n">
        <v>66</v>
      </c>
      <c r="D46" s="18" t="n">
        <v>43</v>
      </c>
      <c r="E46" s="18" t="n">
        <v>-22</v>
      </c>
      <c r="F46" s="18" t="n">
        <v>-186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-114</v>
      </c>
      <c r="C49" s="18" t="n">
        <v>-465</v>
      </c>
      <c r="D49" s="18" t="n">
        <v>-277</v>
      </c>
      <c r="E49" s="18" t="n">
        <v>-687</v>
      </c>
      <c r="F49" s="18" t="n">
        <v>422</v>
      </c>
    </row>
    <row r="50">
      <c r="A50" s="15" t="inlineStr">
        <is>
          <t>Net Change in Cash</t>
        </is>
      </c>
      <c r="B50" s="16" t="n">
        <v>-2547</v>
      </c>
      <c r="C50" s="16" t="n">
        <v>-607</v>
      </c>
      <c r="D50" s="16" t="n">
        <v>4661</v>
      </c>
      <c r="E50" s="16" t="n">
        <v>-1208</v>
      </c>
      <c r="F50" s="16" t="n">
        <v>651</v>
      </c>
    </row>
    <row r="51">
      <c r="A51" s="17" t="inlineStr">
        <is>
          <t>Cash at Beginning of Period</t>
        </is>
      </c>
      <c r="B51" s="18" t="n">
        <v>8254</v>
      </c>
      <c r="C51" s="18" t="n">
        <v>5707</v>
      </c>
      <c r="D51" s="18" t="n">
        <v>5100</v>
      </c>
      <c r="E51" s="18" t="n">
        <v>9761</v>
      </c>
      <c r="F51" s="18" t="n">
        <v>8553</v>
      </c>
    </row>
    <row r="52">
      <c r="A52" s="26" t="inlineStr">
        <is>
          <t>Cash at End of Period</t>
        </is>
      </c>
      <c r="B52" s="27" t="n">
        <v>5707</v>
      </c>
      <c r="C52" s="27" t="n">
        <v>5100</v>
      </c>
      <c r="D52" s="27" t="n">
        <v>9761</v>
      </c>
      <c r="E52" s="27" t="n">
        <v>8553</v>
      </c>
      <c r="F52" s="27" t="n">
        <v>9204</v>
      </c>
    </row>
    <row r="53">
      <c r="A53" s="26" t="inlineStr">
        <is>
          <t>Free Cash Flow</t>
        </is>
      </c>
      <c r="B53" s="27" t="n">
        <v>6991</v>
      </c>
      <c r="C53" s="27" t="n">
        <v>5604</v>
      </c>
      <c r="D53" s="27" t="n">
        <v>7924</v>
      </c>
      <c r="E53" s="27" t="n">
        <v>7189</v>
      </c>
      <c r="F53" s="27" t="n">
        <v>7672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PEP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1389</v>
      </c>
      <c r="C61" s="18" t="n">
        <v>1387</v>
      </c>
      <c r="D61" s="18" t="n">
        <v>1383</v>
      </c>
      <c r="E61" s="18" t="n">
        <v>1378</v>
      </c>
      <c r="F61" s="18" t="n">
        <v>1373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PEP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4629</v>
      </c>
      <c r="C5" s="18" t="n">
        <v>6217</v>
      </c>
      <c r="D5" s="18" t="n">
        <v>6139</v>
      </c>
      <c r="E5" s="18" t="n">
        <v>6438</v>
      </c>
      <c r="F5" s="18" t="n">
        <v>6078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PEP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205820.313597</v>
      </c>
      <c r="C5" s="44" t="inlineStr">
        <is>
          <t>FMP marketCap  |  price $150.57</t>
        </is>
      </c>
    </row>
    <row r="6">
      <c r="A6" s="17" t="inlineStr">
        <is>
          <t>Debt  (gross book value, $mm)</t>
        </is>
      </c>
      <c r="B6" s="43" t="n">
        <v>49182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0.04559999999999999</v>
      </c>
      <c r="C12" s="44" t="inlineStr">
        <is>
          <t>FRED series DGS10  |  latest: 2026-05-22</t>
        </is>
      </c>
    </row>
    <row r="13">
      <c r="A13" s="47" t="inlineStr">
        <is>
          <t>► Selected Rf  (override if needed)</t>
        </is>
      </c>
      <c r="B13" s="48" t="n">
        <v>0.0456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0.394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0.594</v>
      </c>
      <c r="C17" s="44" t="inlineStr">
        <is>
          <t>Mean-reversion toward market beta of 1.0</t>
        </is>
      </c>
    </row>
    <row r="18">
      <c r="A18" s="17" t="inlineStr">
        <is>
          <t>Damodaran industry unlevered  (Beverages - Non-Alcoholic)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0.24x,  t = 19.0%)</t>
        </is>
      </c>
      <c r="B19" s="50" t="n">
        <v>1.193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0.727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A+</t>
        </is>
      </c>
      <c r="C31" s="44" t="inlineStr">
        <is>
          <t>User input</t>
        </is>
      </c>
    </row>
    <row r="32">
      <c r="A32" s="17" t="inlineStr">
        <is>
          <t>FRED matched yield  (rating-tier index)</t>
        </is>
      </c>
      <c r="B32" s="46" t="n">
        <v>0.0507</v>
      </c>
      <c r="C32" s="44" t="inlineStr">
        <is>
          <t>FRED BAMLC0A3CAEY — A</t>
        </is>
      </c>
    </row>
    <row r="33">
      <c r="A33" s="17" t="inlineStr">
        <is>
          <t>Interest Coverage Ratio  (EBIT / Gross Int Exp)</t>
        </is>
      </c>
      <c r="B33" s="50" t="n">
        <v>12</v>
      </c>
      <c r="C33" s="44" t="inlineStr">
        <is>
          <t>EBIT $13491mm  /  Int Exp $1121mm</t>
        </is>
      </c>
    </row>
    <row r="34">
      <c r="A34" s="17" t="inlineStr">
        <is>
          <t>Synthetic rating  (Damodaran ICR table)</t>
        </is>
      </c>
      <c r="B34" s="53" t="inlineStr">
        <is>
          <t>AA</t>
        </is>
      </c>
      <c r="C34" s="44" t="inlineStr">
        <is>
          <t>ICR 12.0x  →  AA</t>
        </is>
      </c>
    </row>
    <row r="35">
      <c r="A35" s="17" t="inlineStr">
        <is>
          <t>Synthetic Rd  (Rf + Damodaran default spread)</t>
        </is>
      </c>
      <c r="B35" s="46" t="n">
        <v>0.05279999999999999</v>
      </c>
      <c r="C35" s="44" t="inlineStr">
        <is>
          <t>Rf 4.56% + spread 0.72%</t>
        </is>
      </c>
    </row>
    <row r="36">
      <c r="A36" s="17" t="inlineStr">
        <is>
          <t>Accounting Rd  (Gross int exp / Avg gross debt)</t>
        </is>
      </c>
      <c r="B36" s="46" t="n">
        <v>0.02398168748930344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0.0425</v>
      </c>
      <c r="C37" s="49" t="inlineStr">
        <is>
          <t>Default = average of 3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0.1903</v>
      </c>
      <c r="C40" s="44" t="inlineStr">
        <is>
          <t>FMP: $1949mm  /  $10244mm</t>
        </is>
      </c>
    </row>
    <row r="41">
      <c r="A41" s="47" t="inlineStr">
        <is>
          <t>► Selected tax rate  (user override)</t>
        </is>
      </c>
      <c r="B41" s="48" t="n">
        <v>0.1903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MAX(8.5%, (E/V × Re) + (D/V × Rd × (1 − t)))</t>
        </is>
      </c>
      <c r="B44" s="55">
        <f>MAX(0.085, B8*B28+B9*B37*(1-B41))</f>
        <v/>
      </c>
      <c r="C44" s="56" t="inlineStr">
        <is>
          <t>Floored 8.5% (D-001); raw formula below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PEP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0.0555</v>
      </c>
      <c r="H7" s="71" t="n">
        <v>0.0314</v>
      </c>
      <c r="I7" s="71" t="n">
        <v>0.0348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0.1759</v>
      </c>
      <c r="H8" s="71" t="n">
        <v>0.1759</v>
      </c>
      <c r="I8" s="71" t="n">
        <v>0.1759</v>
      </c>
      <c r="J8" s="72">
        <f>I8</f>
        <v/>
      </c>
      <c r="K8" s="72">
        <f>I8</f>
        <v/>
      </c>
      <c r="L8" s="73" t="n">
        <v>0.1655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99134.5</v>
      </c>
      <c r="H15" s="77" t="n">
        <v>102244.8</v>
      </c>
      <c r="I15" s="77" t="n">
        <v>105807.2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98,140 — 99,998</t>
        </is>
      </c>
      <c r="H16" s="82" t="inlineStr">
        <is>
          <t>101,110 — 102,797</t>
        </is>
      </c>
      <c r="I16" s="82" t="inlineStr">
        <is>
          <t>105,733 — 105,881</t>
        </is>
      </c>
      <c r="J16" s="82" t="inlineStr">
        <is>
          <t>106,628 — 109,229</t>
        </is>
      </c>
      <c r="K16" s="82" t="inlineStr">
        <is>
          <t>111,472 — 114,192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16</v>
      </c>
      <c r="H17" s="84" t="n">
        <v>16</v>
      </c>
      <c r="I17" s="84" t="n">
        <v>13</v>
      </c>
      <c r="J17" s="85" t="n">
        <v>8</v>
      </c>
      <c r="K17" s="84" t="n">
        <v>11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6" t="inlineStr">
        <is>
          <t>—</t>
        </is>
      </c>
      <c r="C18" s="87">
        <f>IFERROR(C15/B15-1,"")</f>
        <v/>
      </c>
      <c r="D18" s="87">
        <f>IFERROR(D15/C15-1,"")</f>
        <v/>
      </c>
      <c r="E18" s="87">
        <f>IFERROR(E15/D15-1,"")</f>
        <v/>
      </c>
      <c r="F18" s="87">
        <f>IFERROR(F15/E15-1,"")</f>
        <v/>
      </c>
      <c r="G18" s="88">
        <f>IFERROR(G15/F15-1,"")</f>
        <v/>
      </c>
      <c r="H18" s="88">
        <f>IFERROR(H15/G15-1,"")</f>
        <v/>
      </c>
      <c r="I18" s="88">
        <f>IFERROR(I15/H15-1,"")</f>
        <v/>
      </c>
      <c r="J18" s="88">
        <f>IFERROR(J15/I15-1,"")</f>
        <v/>
      </c>
      <c r="K18" s="88">
        <f>IFERROR(K15/J15-1,"")</f>
        <v/>
      </c>
      <c r="L18" s="89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17438.2</v>
      </c>
      <c r="H20" s="77" t="n">
        <v>17985.3</v>
      </c>
      <c r="I20" s="77" t="n">
        <v>18612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17,263 — 17,590</t>
        </is>
      </c>
      <c r="H21" s="82" t="inlineStr">
        <is>
          <t>17,786 — 18,082</t>
        </is>
      </c>
      <c r="I21" s="82" t="inlineStr">
        <is>
          <t>18,599 — 18,625</t>
        </is>
      </c>
      <c r="J21" s="82" t="inlineStr">
        <is>
          <t>18,756 — 19,214</t>
        </is>
      </c>
      <c r="K21" s="82" t="inlineStr">
        <is>
          <t>19,609 — 20,087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7">
        <f>IFERROR(B20/B15,"")</f>
        <v/>
      </c>
      <c r="C22" s="87">
        <f>IFERROR(C20/C15,"")</f>
        <v/>
      </c>
      <c r="D22" s="87">
        <f>IFERROR(D20/D15,"")</f>
        <v/>
      </c>
      <c r="E22" s="87">
        <f>IFERROR(E20/E15,"")</f>
        <v/>
      </c>
      <c r="F22" s="87">
        <f>IFERROR(F20/F15,"")</f>
        <v/>
      </c>
      <c r="G22" s="88">
        <f>IFERROR(G20/G15,"")</f>
        <v/>
      </c>
      <c r="H22" s="88">
        <f>IFERROR(H20/H15,"")</f>
        <v/>
      </c>
      <c r="I22" s="88">
        <f>IFERROR(I20/I15,"")</f>
        <v/>
      </c>
      <c r="J22" s="88">
        <f>IFERROR(J20/J15,"")</f>
        <v/>
      </c>
      <c r="K22" s="88">
        <f>IFERROR(K20/K15,"")</f>
        <v/>
      </c>
      <c r="L22" s="89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0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1">
        <f>-G15*G9</f>
        <v/>
      </c>
      <c r="H25" s="91">
        <f>-H15*H9</f>
        <v/>
      </c>
      <c r="I25" s="91">
        <f>-I15*I9</f>
        <v/>
      </c>
      <c r="J25" s="91">
        <f>-J15*J9</f>
        <v/>
      </c>
      <c r="K25" s="91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2">
        <f>B20+B25</f>
        <v/>
      </c>
      <c r="C26" s="92">
        <f>C20+C25</f>
        <v/>
      </c>
      <c r="D26" s="92">
        <f>D20+D25</f>
        <v/>
      </c>
      <c r="E26" s="92">
        <f>E20+E25</f>
        <v/>
      </c>
      <c r="F26" s="92">
        <f>F20+F25</f>
        <v/>
      </c>
      <c r="G26" s="93">
        <f>G20+G25</f>
        <v/>
      </c>
      <c r="H26" s="93">
        <f>H20+H25</f>
        <v/>
      </c>
      <c r="I26" s="93">
        <f>I20+I25</f>
        <v/>
      </c>
      <c r="J26" s="93">
        <f>J20+J25</f>
        <v/>
      </c>
      <c r="K26" s="93">
        <f>K20+K25</f>
        <v/>
      </c>
      <c r="L26" s="93">
        <f>L20+L25</f>
        <v/>
      </c>
      <c r="M26" s="80">
        <f> EBITDA + D&amp;A  (GAAP operating income, EBIT)</f>
        <v/>
      </c>
    </row>
    <row r="27" ht="20" customHeight="1">
      <c r="A27" s="90" t="inlineStr">
        <is>
          <t xml:space="preserve">  Less: Tax on EBIT  (unlevered)</t>
        </is>
      </c>
      <c r="B27" s="94">
        <f>-B26*B12</f>
        <v/>
      </c>
      <c r="C27" s="94">
        <f>-C26*C12</f>
        <v/>
      </c>
      <c r="D27" s="94">
        <f>-D26*D12</f>
        <v/>
      </c>
      <c r="E27" s="94">
        <f>-E26*E12</f>
        <v/>
      </c>
      <c r="F27" s="94">
        <f>-F26*F12</f>
        <v/>
      </c>
      <c r="G27" s="95">
        <f>-G26*G12</f>
        <v/>
      </c>
      <c r="H27" s="95">
        <f>-H26*H12</f>
        <v/>
      </c>
      <c r="I27" s="95">
        <f>-I26*I12</f>
        <v/>
      </c>
      <c r="J27" s="95">
        <f>-J26*J12</f>
        <v/>
      </c>
      <c r="K27" s="95">
        <f>-K26*K12</f>
        <v/>
      </c>
      <c r="L27" s="95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2">
        <f>B26+B27</f>
        <v/>
      </c>
      <c r="C28" s="92">
        <f>C26+C27</f>
        <v/>
      </c>
      <c r="D28" s="92">
        <f>D26+D27</f>
        <v/>
      </c>
      <c r="E28" s="92">
        <f>E26+E27</f>
        <v/>
      </c>
      <c r="F28" s="92">
        <f>F26+F27</f>
        <v/>
      </c>
      <c r="G28" s="96">
        <f>G26+G27</f>
        <v/>
      </c>
      <c r="H28" s="96">
        <f>H26+H27</f>
        <v/>
      </c>
      <c r="I28" s="96">
        <f>I26+I27</f>
        <v/>
      </c>
      <c r="J28" s="96">
        <f>J26+J27</f>
        <v/>
      </c>
      <c r="K28" s="96">
        <f>K26+K27</f>
        <v/>
      </c>
      <c r="L28" s="96">
        <f>L26+L27</f>
        <v/>
      </c>
      <c r="M28" s="80">
        <f> EBIT × (1 − tax rate)</f>
        <v/>
      </c>
    </row>
    <row r="29" ht="20" customHeight="1">
      <c r="A29" s="90" t="inlineStr">
        <is>
          <t xml:space="preserve">  (+) D&amp;A add-back  (non-cash)</t>
        </is>
      </c>
      <c r="B29" s="94">
        <f>-B25</f>
        <v/>
      </c>
      <c r="C29" s="94">
        <f>-C25</f>
        <v/>
      </c>
      <c r="D29" s="94">
        <f>-D25</f>
        <v/>
      </c>
      <c r="E29" s="94">
        <f>-E25</f>
        <v/>
      </c>
      <c r="F29" s="94">
        <f>-F25</f>
        <v/>
      </c>
      <c r="G29" s="95">
        <f>-G25</f>
        <v/>
      </c>
      <c r="H29" s="95">
        <f>-H25</f>
        <v/>
      </c>
      <c r="I29" s="95">
        <f>-I25</f>
        <v/>
      </c>
      <c r="J29" s="95">
        <f>-J25</f>
        <v/>
      </c>
      <c r="K29" s="95">
        <f>-K25</f>
        <v/>
      </c>
      <c r="L29" s="95">
        <f>-L25</f>
        <v/>
      </c>
      <c r="M29" s="80">
        <f> D&amp;A added back (non-cash charge — converts NOPAT to cash basis)</f>
        <v/>
      </c>
    </row>
    <row r="30" ht="20" customHeight="1">
      <c r="A30" s="90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5">
        <f>-G15*G10</f>
        <v/>
      </c>
      <c r="H30" s="95">
        <f>-H15*H10</f>
        <v/>
      </c>
      <c r="I30" s="95">
        <f>-I15*I10</f>
        <v/>
      </c>
      <c r="J30" s="95">
        <f>-J15*J10</f>
        <v/>
      </c>
      <c r="K30" s="95">
        <f>-K15*K10</f>
        <v/>
      </c>
      <c r="L30" s="95">
        <f>-L15*L10</f>
        <v/>
      </c>
      <c r="M30" s="80">
        <f> Revenue × CapEx % assumption  (negative = cash outflow)</f>
        <v/>
      </c>
    </row>
    <row r="31" ht="20" customHeight="1">
      <c r="A31" s="90" t="inlineStr">
        <is>
          <t xml:space="preserve">  (−) Increase in Net Working Capital</t>
        </is>
      </c>
      <c r="B31" s="94" t="n"/>
      <c r="C31" s="94">
        <f>-(('Balance Sheet'!C9-'Balance Sheet'!C21)-('Balance Sheet'!B9-'Balance Sheet'!B21))</f>
        <v/>
      </c>
      <c r="D31" s="94">
        <f>-(('Balance Sheet'!D9-'Balance Sheet'!D21)-('Balance Sheet'!C9-'Balance Sheet'!C21))</f>
        <v/>
      </c>
      <c r="E31" s="94">
        <f>-(('Balance Sheet'!E9-'Balance Sheet'!E21)-('Balance Sheet'!D9-'Balance Sheet'!D21))</f>
        <v/>
      </c>
      <c r="F31" s="94">
        <f>-(('Balance Sheet'!F9-'Balance Sheet'!F21)-('Balance Sheet'!E9-'Balance Sheet'!E21))</f>
        <v/>
      </c>
      <c r="G31" s="95">
        <f>-G15*G11</f>
        <v/>
      </c>
      <c r="H31" s="95">
        <f>-H15*H11</f>
        <v/>
      </c>
      <c r="I31" s="95">
        <f>-I15*I11</f>
        <v/>
      </c>
      <c r="J31" s="95">
        <f>-J15*J11</f>
        <v/>
      </c>
      <c r="K31" s="95">
        <f>-K15*K11</f>
        <v/>
      </c>
      <c r="L31" s="95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2">
        <f>B28+B29+B30+B31</f>
        <v/>
      </c>
      <c r="C32" s="92">
        <f>C28+C29+C30+C31</f>
        <v/>
      </c>
      <c r="D32" s="92">
        <f>D28+D29+D30+D31</f>
        <v/>
      </c>
      <c r="E32" s="92">
        <f>E28+E29+E30+E31</f>
        <v/>
      </c>
      <c r="F32" s="92">
        <f>F28+F29+F30+F31</f>
        <v/>
      </c>
      <c r="G32" s="96">
        <f>G28+G29+G30+G31</f>
        <v/>
      </c>
      <c r="H32" s="96">
        <f>H28+H29+H30+H31</f>
        <v/>
      </c>
      <c r="I32" s="96">
        <f>I28+I29+I30+I31</f>
        <v/>
      </c>
      <c r="J32" s="96">
        <f>J28+J29+J30+J31</f>
        <v/>
      </c>
      <c r="K32" s="96">
        <f>K28+K29+K30+K31</f>
        <v/>
      </c>
      <c r="L32" s="96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7">
        <f>B32/B15</f>
        <v/>
      </c>
      <c r="C33" s="87">
        <f>C32/C15</f>
        <v/>
      </c>
      <c r="D33" s="87">
        <f>D32/D15</f>
        <v/>
      </c>
      <c r="E33" s="87">
        <f>E32/E15</f>
        <v/>
      </c>
      <c r="F33" s="87">
        <f>F32/F15</f>
        <v/>
      </c>
      <c r="G33" s="97">
        <f>IFERROR(G32/G15,"")</f>
        <v/>
      </c>
      <c r="H33" s="97">
        <f>IFERROR(H32/H15,"")</f>
        <v/>
      </c>
      <c r="I33" s="97">
        <f>IFERROR(I32/I15,"")</f>
        <v/>
      </c>
      <c r="J33" s="97">
        <f>IFERROR(J32/J15,"")</f>
        <v/>
      </c>
      <c r="K33" s="97">
        <f>IFERROR(K32/K15,"")</f>
        <v/>
      </c>
      <c r="L33" s="97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8">
        <f>WACC!B44</f>
        <v/>
      </c>
      <c r="C36" s="99" t="n"/>
      <c r="D36" s="99" t="n"/>
      <c r="E36" s="99" t="n"/>
      <c r="F36" s="99" t="n"/>
      <c r="G36" s="99" t="n"/>
      <c r="H36" s="99" t="n"/>
      <c r="I36" s="99" t="n"/>
      <c r="J36" s="99" t="n"/>
      <c r="K36" s="99" t="n"/>
      <c r="L36" s="99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100" t="n">
        <v>0.025</v>
      </c>
      <c r="C37" s="99" t="n"/>
      <c r="D37" s="99" t="n"/>
      <c r="E37" s="99" t="n"/>
      <c r="F37" s="99" t="n"/>
      <c r="G37" s="99" t="n"/>
      <c r="H37" s="99" t="n"/>
      <c r="I37" s="99" t="n"/>
      <c r="J37" s="99" t="n"/>
      <c r="K37" s="99" t="n"/>
      <c r="L37" s="99" t="n"/>
      <c r="M37" s="74" t="inlineStr">
        <is>
          <t>Growth tier: LOW (2.9% 3yr avg rev growth).  Bear 2.00% / Base 2.5% / Bull 3.00%.  Keep below WACC.</t>
        </is>
      </c>
    </row>
    <row r="38" ht="20" customHeight="1">
      <c r="A38" s="68" t="inlineStr">
        <is>
          <t>Terminal EV/EBITDA Multiple  (exit multiple method)</t>
        </is>
      </c>
      <c r="B38" s="101" t="n">
        <v>13.5</v>
      </c>
      <c r="C38" s="99" t="n"/>
      <c r="D38" s="99" t="n"/>
      <c r="E38" s="99" t="n"/>
      <c r="F38" s="99" t="n"/>
      <c r="G38" s="99" t="n"/>
      <c r="H38" s="99" t="n"/>
      <c r="I38" s="99" t="n"/>
      <c r="J38" s="99" t="n"/>
      <c r="K38" s="99" t="n"/>
      <c r="L38" s="99" t="n"/>
      <c r="M38" s="74" t="inlineStr">
        <is>
          <t>Growth tier: LOW (2.9% 3yr avg rev growth).  Bear 11x / Base 14x / Bull 16x.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2" t="inlineStr">
        <is>
          <t>Terminal Year UFCF  (grown by g)</t>
        </is>
      </c>
      <c r="B40" s="103">
        <f>L32</f>
        <v/>
      </c>
      <c r="C40" s="104" t="n"/>
      <c r="D40" s="104" t="n"/>
      <c r="E40" s="104" t="n"/>
      <c r="F40" s="104" t="n"/>
      <c r="G40" s="104" t="n"/>
      <c r="H40" s="104" t="n"/>
      <c r="I40" s="104" t="n"/>
      <c r="J40" s="104" t="n"/>
      <c r="K40" s="104" t="n"/>
      <c r="L40" s="104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6">
        <f>B40/(B36-B37)</f>
        <v/>
      </c>
      <c r="C41" s="105" t="n"/>
      <c r="D41" s="105" t="n"/>
      <c r="E41" s="105" t="n"/>
      <c r="F41" s="105" t="n"/>
      <c r="G41" s="105" t="n"/>
      <c r="H41" s="105" t="n"/>
      <c r="I41" s="105" t="n"/>
      <c r="J41" s="105" t="n"/>
      <c r="K41" s="105" t="n"/>
      <c r="L41" s="105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6">
        <f>L20*B38</f>
        <v/>
      </c>
      <c r="C42" s="105" t="n"/>
      <c r="D42" s="105" t="n"/>
      <c r="E42" s="105" t="n"/>
      <c r="F42" s="105" t="n"/>
      <c r="G42" s="105" t="n"/>
      <c r="H42" s="105" t="n"/>
      <c r="I42" s="105" t="n"/>
      <c r="J42" s="105" t="n"/>
      <c r="K42" s="105" t="n"/>
      <c r="L42" s="105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2" t="inlineStr">
        <is>
          <t>Discount Period  (mid-year convention)</t>
        </is>
      </c>
      <c r="G45" s="106" t="n">
        <v>0.5</v>
      </c>
      <c r="H45" s="106" t="n">
        <v>1.5</v>
      </c>
      <c r="I45" s="106" t="n">
        <v>2.5</v>
      </c>
      <c r="J45" s="106" t="n">
        <v>3.5</v>
      </c>
      <c r="K45" s="106" t="n">
        <v>4.5</v>
      </c>
      <c r="L45" s="107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2" t="inlineStr">
        <is>
          <t>Discount Factor  =  1 / (1 + WACC) ^ period</t>
        </is>
      </c>
      <c r="G46" s="108">
        <f>1/(1+B36)^G45</f>
        <v/>
      </c>
      <c r="H46" s="108">
        <f>1/(1+B36)^H45</f>
        <v/>
      </c>
      <c r="I46" s="108">
        <f>1/(1+B36)^I45</f>
        <v/>
      </c>
      <c r="J46" s="108">
        <f>1/(1+B36)^J45</f>
        <v/>
      </c>
      <c r="K46" s="108">
        <f>1/(1+B36)^K45</f>
        <v/>
      </c>
      <c r="L46" s="109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6">
        <f>G32*G46</f>
        <v/>
      </c>
      <c r="H47" s="96">
        <f>H32*H46</f>
        <v/>
      </c>
      <c r="I47" s="96">
        <f>I32*I46</f>
        <v/>
      </c>
      <c r="J47" s="96">
        <f>J32*J46</f>
        <v/>
      </c>
      <c r="K47" s="96">
        <f>K32*K46</f>
        <v/>
      </c>
      <c r="L47" s="105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3">
        <f>G47+H47+I47+J47+K47</f>
        <v/>
      </c>
      <c r="C48" s="110" t="n"/>
      <c r="D48" s="110" t="n"/>
      <c r="E48" s="110" t="n"/>
      <c r="F48" s="110" t="n"/>
      <c r="G48" s="110" t="n"/>
      <c r="H48" s="110" t="n"/>
      <c r="I48" s="110" t="n"/>
      <c r="J48" s="110" t="n"/>
      <c r="K48" s="110" t="n"/>
      <c r="L48" s="110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3">
        <f>B41*L46</f>
        <v/>
      </c>
      <c r="C49" s="110" t="n"/>
      <c r="D49" s="110" t="n"/>
      <c r="E49" s="110" t="n"/>
      <c r="F49" s="110" t="n"/>
      <c r="G49" s="110" t="n"/>
      <c r="H49" s="110" t="n"/>
      <c r="I49" s="110" t="n"/>
      <c r="J49" s="110" t="n"/>
      <c r="K49" s="110" t="n"/>
      <c r="L49" s="110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3">
        <f>B42*L46</f>
        <v/>
      </c>
      <c r="C50" s="110" t="n"/>
      <c r="D50" s="110" t="n"/>
      <c r="E50" s="110" t="n"/>
      <c r="F50" s="110" t="n"/>
      <c r="G50" s="110" t="n"/>
      <c r="H50" s="110" t="n"/>
      <c r="I50" s="110" t="n"/>
      <c r="J50" s="110" t="n"/>
      <c r="K50" s="110" t="n"/>
      <c r="L50" s="110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6">
        <f>B48+B49</f>
        <v/>
      </c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</row>
    <row r="54">
      <c r="A54" s="75" t="inlineStr">
        <is>
          <t>Enterprise Value  [Exit Multiple]</t>
        </is>
      </c>
      <c r="B54" s="96">
        <f>B48+B50</f>
        <v/>
      </c>
      <c r="C54" s="105" t="n"/>
      <c r="D54" s="105" t="n"/>
      <c r="E54" s="105" t="n"/>
      <c r="F54" s="105" t="n"/>
      <c r="G54" s="105" t="n"/>
      <c r="H54" s="105" t="n"/>
      <c r="I54" s="105" t="n"/>
      <c r="J54" s="105" t="n"/>
      <c r="K54" s="105" t="n"/>
      <c r="L54" s="105" t="n"/>
      <c r="M54" s="105" t="n"/>
    </row>
    <row r="55" ht="20" customHeight="1">
      <c r="A55" s="90" t="inlineStr">
        <is>
          <t xml:space="preserve">  Less: Net Debt  (Debt − Cash)</t>
        </is>
      </c>
      <c r="B55" s="103">
        <f>'Balance Sheet'!F81</f>
        <v/>
      </c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104" t="n"/>
      <c r="M55" s="80" t="inlineStr">
        <is>
          <t>Linked from Balance Sheet: Total Debt (ST+LT) − Cash &amp; Equivalents  (negative = net cash)</t>
        </is>
      </c>
    </row>
    <row r="56" ht="20" customHeight="1">
      <c r="A56" s="90" t="inlineStr">
        <is>
          <t xml:space="preserve">  Less: Minority Interest</t>
        </is>
      </c>
      <c r="B56" s="103" t="n">
        <v>141</v>
      </c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104" t="n"/>
      <c r="M56" s="80" t="inlineStr">
        <is>
          <t>Auto-linked from Balance Sheet: minorityInterest</t>
        </is>
      </c>
    </row>
    <row r="57" ht="20" customHeight="1">
      <c r="A57" s="90" t="inlineStr">
        <is>
          <t xml:space="preserve">  Shares Outstanding — Diluted  (mm)</t>
        </is>
      </c>
      <c r="B57" s="103" t="n">
        <v>1373</v>
      </c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104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1">
        <f>IFERROR((B53-B55-B56)/B57,"")</f>
        <v/>
      </c>
      <c r="C59" s="105" t="n"/>
      <c r="D59" s="105" t="n"/>
      <c r="E59" s="105" t="n"/>
      <c r="F59" s="105" t="n"/>
      <c r="G59" s="105" t="n"/>
      <c r="H59" s="105" t="n"/>
      <c r="I59" s="105" t="n"/>
      <c r="J59" s="105" t="n"/>
      <c r="K59" s="105" t="n"/>
      <c r="L59" s="105" t="n"/>
      <c r="M59" s="105" t="n"/>
    </row>
    <row r="60">
      <c r="A60" s="75" t="inlineStr">
        <is>
          <t>Implied Share Price  [Exit Multiple]  ($)</t>
        </is>
      </c>
      <c r="B60" s="111">
        <f>IFERROR((B54-B55-B56)/B57,"")</f>
        <v/>
      </c>
      <c r="C60" s="105" t="n"/>
      <c r="D60" s="105" t="n"/>
      <c r="E60" s="105" t="n"/>
      <c r="F60" s="105" t="n"/>
      <c r="G60" s="105" t="n"/>
      <c r="H60" s="105" t="n"/>
      <c r="I60" s="105" t="n"/>
      <c r="J60" s="105" t="n"/>
      <c r="K60" s="105" t="n"/>
      <c r="L60" s="105" t="n"/>
      <c r="M60" s="105" t="n"/>
    </row>
    <row r="61" ht="20" customHeight="1">
      <c r="A61" s="102" t="inlineStr">
        <is>
          <t>Current Market Price  ($)</t>
        </is>
      </c>
      <c r="B61" s="112" t="n">
        <v>150.57</v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3">
        <f>IFERROR(B59/B61-1,"")</f>
        <v/>
      </c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10" t="n"/>
      <c r="L62" s="110" t="n"/>
      <c r="M62" s="110" t="n"/>
    </row>
    <row r="63">
      <c r="A63" s="63" t="inlineStr">
        <is>
          <t>Upside / (Downside)  [Exit Multiple]</t>
        </is>
      </c>
      <c r="B63" s="113">
        <f>IFERROR(B60/B61-1,"")</f>
        <v/>
      </c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10" t="n"/>
      <c r="L63" s="110" t="n"/>
      <c r="M63" s="110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4" t="inlineStr">
        <is>
          <t>JS SCORECARD — PEP  |  Master Prompt v2  |  27 May 2026  |  Sector bucket: Stable Compounder</t>
        </is>
      </c>
    </row>
    <row r="2" ht="18" customHeight="1">
      <c r="A2" s="115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6" t="inlineStr">
        <is>
          <t>•  SOFT FLOOR CAP 99/100 applied — D/EBITDA 3.2x → −0.8 pts  (kicks in at D/EBITDA &gt; 3.0x or EBIT/Int &lt; 3.0x; smooth, no cliffs)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7" t="inlineStr">
        <is>
          <t>CRITERION</t>
        </is>
      </c>
      <c r="B6" s="118" t="inlineStr">
        <is>
          <t>PART</t>
        </is>
      </c>
      <c r="C6" s="118" t="inlineStr">
        <is>
          <t>WEIGHT %</t>
        </is>
      </c>
      <c r="D6" s="118" t="inlineStr">
        <is>
          <t>CALCULATED VALUE</t>
        </is>
      </c>
      <c r="E6" s="118" t="inlineStr">
        <is>
          <t>TIER  ▼</t>
        </is>
      </c>
      <c r="F6" s="118" t="inlineStr">
        <is>
          <t>SCORE</t>
        </is>
      </c>
      <c r="G6" s="118" t="inlineStr">
        <is>
          <t>WTD SCORE</t>
        </is>
      </c>
      <c r="H6" s="117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9" t="inlineStr">
        <is>
          <t xml:space="preserve">  Business Clarity</t>
        </is>
      </c>
      <c r="B8" s="120" t="inlineStr">
        <is>
          <t>P1</t>
        </is>
      </c>
      <c r="C8" s="121" t="n">
        <v>0.025</v>
      </c>
      <c r="D8" s="122" t="inlineStr">
        <is>
          <t>— user input required</t>
        </is>
      </c>
      <c r="E8" s="123" t="n"/>
      <c r="F8" s="124">
        <f>IF(E8="HIGH",10,IF(E8="MOD-HIGH",7,IF(E8="MOD-LOW",3,IF(E8="LOW",0,""))))</f>
        <v/>
      </c>
      <c r="G8" s="125">
        <f>IF(F8="",0,C8*F8*10)</f>
        <v/>
      </c>
      <c r="H8" s="126" t="inlineStr"/>
    </row>
    <row r="9" ht="18" customHeight="1">
      <c r="A9" s="127" t="inlineStr">
        <is>
          <t xml:space="preserve">  Moat Profile</t>
        </is>
      </c>
      <c r="B9" s="128" t="inlineStr">
        <is>
          <t>P1</t>
        </is>
      </c>
      <c r="C9" s="129" t="n">
        <v>0.1</v>
      </c>
      <c r="D9" s="130" t="inlineStr">
        <is>
          <t>GM 54.1% ✓ (&gt;40%)  |  GM trend +1.1% ✓ (&gt;+1pp)  |  ROIC-WACC +12.8% ✓ (&gt;+5pp)  |  Rev consistency σ=3.2% ✓ (&lt;8%)  [4/4 indicators positive — proxy score]</t>
        </is>
      </c>
      <c r="E9" s="131" t="inlineStr">
        <is>
          <t>HIGH</t>
        </is>
      </c>
      <c r="F9" s="132" t="n">
        <v>10</v>
      </c>
      <c r="G9" s="133">
        <f>IF(F9="",0,C9*F9*10)</f>
        <v/>
      </c>
      <c r="H9" s="134" t="inlineStr">
        <is>
          <t>GM 54.1% ✓ (&gt;40%)  |  GM trend +1.1% ✓ (&gt;+1pp)  |  ROIC-WACC +12.8% ✓ (&gt;+5pp)  |  Rev consistency σ=3.2% ✓ (&lt;8%)  [4/4 indicators positive — proxy score]</t>
        </is>
      </c>
    </row>
    <row r="10" ht="18" customHeight="1">
      <c r="A10" s="119" t="inlineStr">
        <is>
          <t xml:space="preserve">  Long-Term Potential</t>
        </is>
      </c>
      <c r="B10" s="120" t="inlineStr">
        <is>
          <t>P1</t>
        </is>
      </c>
      <c r="C10" s="121" t="n">
        <v>0.1</v>
      </c>
      <c r="D10" s="122" t="inlineStr">
        <is>
          <t>— user input required</t>
        </is>
      </c>
      <c r="E10" s="123" t="n"/>
      <c r="F10" s="124">
        <f>IF(E10="HIGH",10,IF(E10="MOD-HIGH",7,IF(E10="MOD-LOW",3,IF(E10="LOW",0,""))))</f>
        <v/>
      </c>
      <c r="G10" s="125">
        <f>IF(F10="",0,C10*F10*10)</f>
        <v/>
      </c>
      <c r="H10" s="126" t="inlineStr"/>
    </row>
    <row r="11" ht="18" customHeight="1">
      <c r="A11" s="127" t="inlineStr">
        <is>
          <t xml:space="preserve">  Management</t>
        </is>
      </c>
      <c r="B11" s="128" t="inlineStr">
        <is>
          <t>P1</t>
        </is>
      </c>
      <c r="C11" s="129" t="n">
        <v>0.075</v>
      </c>
      <c r="D11" s="130" t="inlineStr">
        <is>
          <t>ROIC trend -0.8% ✓ (&gt;=-2pp)  |  GM maintained +1.1% ✓  |  Op margin +1.0% ✓ (≥-2pp)  |  Capital returns MOD-LOW ✗  |  Share count -0.3%/yr ✓ (net buyback)  |  Goodwill/Equity 93% ✗ (&lt;40%)  [4/6 indicators positive — proxy score]</t>
        </is>
      </c>
      <c r="E11" s="135" t="inlineStr">
        <is>
          <t>MOD-HIGH</t>
        </is>
      </c>
      <c r="F11" s="132" t="n">
        <v>6.67</v>
      </c>
      <c r="G11" s="133">
        <f>IF(F11="",0,C11*F11*10)</f>
        <v/>
      </c>
      <c r="H11" s="134" t="inlineStr">
        <is>
          <t>ROIC trend -0.8% ✓ (&gt;=-2pp)  |  GM maintained +1.1% ✓  |  Op margin +1.0% ✓ (≥-2pp)  |  Capital returns MOD-LOW ✗  |  Share count -0.3%/yr ✓ (net buyback)  |  Goodwill/Equity 93% ✗ (&lt;40%)  [4/6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7" t="inlineStr">
        <is>
          <t xml:space="preserve">  Revenue 3yr CAGR</t>
        </is>
      </c>
      <c r="B13" s="128" t="inlineStr">
        <is>
          <t>P2</t>
        </is>
      </c>
      <c r="C13" s="129" t="n">
        <v>0.1</v>
      </c>
      <c r="D13" s="130" t="inlineStr">
        <is>
          <t>2.8%</t>
        </is>
      </c>
      <c r="E13" s="136" t="inlineStr">
        <is>
          <t>LOW</t>
        </is>
      </c>
      <c r="F13" s="132" t="n">
        <v>2.83</v>
      </c>
      <c r="G13" s="133">
        <f>IF(F13="",0,C13*F13*10)</f>
        <v/>
      </c>
      <c r="H13" s="134" t="inlineStr">
        <is>
          <t>2.8%</t>
        </is>
      </c>
    </row>
    <row r="14" ht="18" customHeight="1">
      <c r="A14" s="127" t="inlineStr">
        <is>
          <t xml:space="preserve">  Cash Quality  (FCF / Net Income)</t>
        </is>
      </c>
      <c r="B14" s="128" t="inlineStr">
        <is>
          <t>P2</t>
        </is>
      </c>
      <c r="C14" s="129" t="n">
        <v>0.1</v>
      </c>
      <c r="D14" s="130" t="inlineStr">
        <is>
          <t>91%  [through-cycle: 70/30 latest+5yr median, latest 93.1% → smoothed 91.4%]</t>
        </is>
      </c>
      <c r="E14" s="131" t="inlineStr">
        <is>
          <t>HIGH</t>
        </is>
      </c>
      <c r="F14" s="132" t="n">
        <v>10</v>
      </c>
      <c r="G14" s="133">
        <f>IF(F14="",0,C14*F14*10)</f>
        <v/>
      </c>
      <c r="H14" s="134" t="inlineStr">
        <is>
          <t>91%  [through-cycle: 70/30 latest+5yr median, latest 93.1% → smoothed 91.4%]</t>
        </is>
      </c>
    </row>
    <row r="15" ht="18" customHeight="1">
      <c r="A15" s="127" t="inlineStr">
        <is>
          <t xml:space="preserve">  Capital Returns</t>
        </is>
      </c>
      <c r="B15" s="128" t="inlineStr">
        <is>
          <t>P2</t>
        </is>
      </c>
      <c r="C15" s="129" t="n">
        <v>0.05</v>
      </c>
      <c r="D15" s="130" t="inlineStr">
        <is>
          <t>$1,000mm latest FY — debt-funded  [payout 13% of FCF — low, building cash]</t>
        </is>
      </c>
      <c r="E15" s="137" t="inlineStr">
        <is>
          <t>MOD-LOW</t>
        </is>
      </c>
      <c r="F15" s="132" t="n">
        <v>3</v>
      </c>
      <c r="G15" s="133">
        <f>IF(F15="",0,C15*F15*10)</f>
        <v/>
      </c>
      <c r="H15" s="134" t="inlineStr">
        <is>
          <t>$1,000mm latest FY — debt-funded  [payout 13% of FCF — low, building cash]</t>
        </is>
      </c>
    </row>
    <row r="16" ht="18" customHeight="1">
      <c r="A16" s="127" t="inlineStr">
        <is>
          <t xml:space="preserve">  ROIC</t>
        </is>
      </c>
      <c r="B16" s="128" t="inlineStr">
        <is>
          <t>P2</t>
        </is>
      </c>
      <c r="C16" s="129" t="n">
        <v>0.075</v>
      </c>
      <c r="D16" s="130" t="inlineStr">
        <is>
          <t>18.1%</t>
        </is>
      </c>
      <c r="E16" s="135" t="inlineStr">
        <is>
          <t>MOD-HIGH</t>
        </is>
      </c>
      <c r="F16" s="132" t="n">
        <v>9.289999999999999</v>
      </c>
      <c r="G16" s="133">
        <f>IF(F16="",0,C16*F16*10)</f>
        <v/>
      </c>
      <c r="H16" s="134" t="inlineStr">
        <is>
          <t>18.1%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7" t="inlineStr">
        <is>
          <t xml:space="preserve">  Credit Risk  (D / EBITDA)</t>
        </is>
      </c>
      <c r="B18" s="128" t="inlineStr">
        <is>
          <t>P3</t>
        </is>
      </c>
      <c r="C18" s="129" t="n">
        <v>0.05</v>
      </c>
      <c r="D18" s="130" t="inlineStr">
        <is>
          <t>3.0x  [through-cycle: 70/30 latest+5yr median, latest 3.2x → smoothed 3.0x]</t>
        </is>
      </c>
      <c r="E18" s="137" t="inlineStr">
        <is>
          <t>MOD-LOW</t>
        </is>
      </c>
      <c r="F18" s="132" t="n">
        <v>6.93</v>
      </c>
      <c r="G18" s="133">
        <f>IF(F18="",0,C18*F18*10)</f>
        <v/>
      </c>
      <c r="H18" s="134" t="inlineStr">
        <is>
          <t>3.0x  [through-cycle: 70/30 latest+5yr median, latest 3.2x → smoothed 3.0x]</t>
        </is>
      </c>
    </row>
    <row r="19" ht="18" customHeight="1">
      <c r="A19" s="127" t="inlineStr">
        <is>
          <t xml:space="preserve">  Interest Cover  (EBIT / Interest)</t>
        </is>
      </c>
      <c r="B19" s="128" t="inlineStr">
        <is>
          <t>P3</t>
        </is>
      </c>
      <c r="C19" s="129" t="n">
        <v>0.075</v>
      </c>
      <c r="D19" s="130" t="inlineStr">
        <is>
          <t>12.0x</t>
        </is>
      </c>
      <c r="E19" s="131" t="inlineStr">
        <is>
          <t>HIGH</t>
        </is>
      </c>
      <c r="F19" s="132" t="n">
        <v>10</v>
      </c>
      <c r="G19" s="133">
        <f>IF(F19="",0,C19*F19*10)</f>
        <v/>
      </c>
      <c r="H19" s="134" t="inlineStr">
        <is>
          <t>12.0x</t>
        </is>
      </c>
    </row>
    <row r="20" ht="18" customHeight="1">
      <c r="A20" s="127" t="inlineStr">
        <is>
          <t xml:space="preserve">  Execution Risk</t>
        </is>
      </c>
      <c r="B20" s="128" t="inlineStr">
        <is>
          <t>P3</t>
        </is>
      </c>
      <c r="C20" s="129" t="n">
        <v>0.05</v>
      </c>
      <c r="D20" s="130" t="inlineStr">
        <is>
          <t>Rev growth σ=3.2%  |  OM trend +0.3%, σ=0.5%  [quality = direction + stability]</t>
        </is>
      </c>
      <c r="E20" s="131" t="inlineStr">
        <is>
          <t>HIGH</t>
        </is>
      </c>
      <c r="F20" s="132" t="n">
        <v>10</v>
      </c>
      <c r="G20" s="133">
        <f>IF(F20="",0,C20*F20*10)</f>
        <v/>
      </c>
      <c r="H20" s="134" t="inlineStr">
        <is>
          <t>Rev growth σ=3.2%  |  OM trend +0.3%, σ=0.5%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7" t="inlineStr">
        <is>
          <t xml:space="preserve">  Valuation vs Median  (P/E)</t>
        </is>
      </c>
      <c r="B22" s="128" t="inlineStr">
        <is>
          <t>P4</t>
        </is>
      </c>
      <c r="C22" s="129" t="n">
        <v>0.1</v>
      </c>
      <c r="D22" s="130" t="inlineStr">
        <is>
          <t>Fwd P/E 17.4x (scoring basis)  |  5yr avg 25.7x  |  DCF-implied 13.2x [ref only — not used as benchmark]  [-32% vs benchmark]  [trail=10.00 | fwd_pe=17.4x→10.00 | abs=10.0 → blended 40/40/20=10.00]  PEG=39.90 (fwd_pe=17.4x / eps_growth=44%)  [revision:Strong upgrade cycle→+0.50]</t>
        </is>
      </c>
      <c r="E22" s="131" t="inlineStr">
        <is>
          <t>HIGH</t>
        </is>
      </c>
      <c r="F22" s="132" t="n">
        <v>10.5</v>
      </c>
      <c r="G22" s="133">
        <f>IF(F22="",0,C22*F22*10)</f>
        <v/>
      </c>
      <c r="H22" s="134" t="inlineStr">
        <is>
          <t>Fwd P/E 17.4x (scoring basis)  |  5yr avg 25.7x  |  DCF-implied 13.2x [ref only — not used as benchmark]  [-32% vs benchmark]  [trail=10.00 | fwd_pe=17.4x→10.00 | abs=10.0 → blended 40/40/20=10.00]  PEG=39.90 (fwd_pe=17.4x / eps_growth=44%)  [revision:Strong upgrade cycle→+0.50]</t>
        </is>
      </c>
    </row>
    <row r="23" ht="18" customHeight="1">
      <c r="A23" s="127" t="inlineStr">
        <is>
          <t xml:space="preserve">  Valuation vs Median  (P/FCF)</t>
        </is>
      </c>
      <c r="B23" s="128" t="inlineStr">
        <is>
          <t>P4</t>
        </is>
      </c>
      <c r="C23" s="129" t="n">
        <v>0.1</v>
      </c>
      <c r="D23" s="130" t="inlineStr">
        <is>
          <t>Current 25.6x  |  5yr avg 31.2x  |  DCF-implied 14.2x [ref only — not used as benchmark]  [-18% vs benchmark]  [trail=9.69 | fwd_pfcf=25.4x→9.79 | abs=7.5 → blended 40/40/20=9.29]  [fcf_yield=3.9% vs rf=4.6%  spread=-0.7%→modifier=-0.25]</t>
        </is>
      </c>
      <c r="E23" s="131" t="inlineStr">
        <is>
          <t>HIGH</t>
        </is>
      </c>
      <c r="F23" s="132" t="n">
        <v>9.039999999999999</v>
      </c>
      <c r="G23" s="133">
        <f>IF(F23="",0,C23*F23*10)</f>
        <v/>
      </c>
      <c r="H23" s="134" t="inlineStr">
        <is>
          <t>Current 25.6x  |  5yr avg 31.2x  |  DCF-implied 14.2x [ref only — not used as benchmark]  [-18% vs benchmark]  [trail=9.69 | fwd_pfcf=25.4x→9.79 | abs=7.5 → blended 40/40/20=9.29]  [fcf_yield=3.9% vs rf=4.6%  spread=-0.7%→modifier=-0.25]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8" t="inlineStr">
        <is>
          <t>TOTAL SCORE  (max = 100.0)</t>
        </is>
      </c>
      <c r="B25" s="139" t="n"/>
      <c r="C25" s="139" t="n"/>
      <c r="D25" s="139" t="n"/>
      <c r="E25" s="139" t="n"/>
      <c r="F25" s="139" t="n"/>
      <c r="G25" s="140">
        <f>G8+G9+G10+G11+G13+G14+G15+G16+G18+G19+G20+G22+G23</f>
        <v/>
      </c>
      <c r="H25" s="141" t="inlineStr">
        <is>
          <t>Floor cap 99.2 applies — see gate warning above.</t>
        </is>
      </c>
    </row>
    <row r="26" ht="18" customHeight="1">
      <c r="A26" s="142" t="inlineStr">
        <is>
          <t>FLOOR-ADJUSTED SCORE  (capped at 99.2)</t>
        </is>
      </c>
      <c r="B26" s="143" t="n"/>
      <c r="C26" s="143" t="n"/>
      <c r="D26" s="143" t="n"/>
      <c r="E26" s="143" t="n"/>
      <c r="F26" s="143" t="n"/>
      <c r="G26" s="144">
        <f>MIN(G25,99.2)</f>
        <v/>
      </c>
      <c r="H26" s="143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</row>
    <row r="28" ht="24" customHeight="1">
      <c r="A28" s="145">
        <f>IF(G26="","Score incomplete — fill qualitative tiers above",IF(G26&gt;=80,"STRONG BUY",IF(G26&gt;=65,"BUY",IF(G26&gt;=50,"HOLD",IF(G26&gt;=35,"REDUCE","SELL")))))</f>
        <v/>
      </c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</row>
    <row r="30" ht="18" customHeight="1">
      <c r="A30" s="146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30:H30"/>
    <mergeCell ref="A7:H7"/>
    <mergeCell ref="A2:H2"/>
    <mergeCell ref="A28:H28"/>
    <mergeCell ref="A1:H1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2026-05-27T02:24:07Z</dcterms:created>
  <dcterms:modified xmlns:dcterms="http://purl.org/dc/terms/" xmlns:xsi="http://www.w3.org/2001/XMLSchema-instance" xsi:type="dcterms:W3CDTF">2026-05-27T02:24:18Z</dcterms:modified>
</cp:coreProperties>
</file>