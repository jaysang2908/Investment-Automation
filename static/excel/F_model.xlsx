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B71C1C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5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4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33" fillId="21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left" vertical="center" indent="1"/>
    </xf>
    <xf numFmtId="0" fontId="34" fillId="22" borderId="1" applyAlignment="1" pivotButton="0" quotePrefix="0" xfId="0">
      <alignment horizontal="left" vertical="center" indent="1"/>
    </xf>
    <xf numFmtId="0" fontId="0" fillId="22" borderId="1" pivotButton="0" quotePrefix="0" xfId="0"/>
    <xf numFmtId="2" fontId="34" fillId="22" borderId="1" applyAlignment="1" pivotButton="0" quotePrefix="0" xfId="0">
      <alignment horizontal="center" vertical="center"/>
    </xf>
    <xf numFmtId="0" fontId="26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F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187267</v>
      </c>
    </row>
    <row r="8">
      <c r="A8" s="3" t="inlineStr">
        <is>
          <t>Gross Profit ($mm)</t>
        </is>
      </c>
      <c r="B8" s="7" t="n">
        <v>22813</v>
      </c>
    </row>
    <row r="9">
      <c r="A9" s="3" t="inlineStr">
        <is>
          <t>EBITDA ($mm)</t>
        </is>
      </c>
      <c r="B9" s="7" t="n">
        <v>8527</v>
      </c>
    </row>
    <row r="10">
      <c r="A10" s="3" t="inlineStr">
        <is>
          <t>EBIT ($mm)</t>
        </is>
      </c>
      <c r="B10" s="7" t="n">
        <v>2532</v>
      </c>
    </row>
    <row r="11">
      <c r="A11" s="3" t="inlineStr">
        <is>
          <t>Net Income ($mm)</t>
        </is>
      </c>
      <c r="B11" s="7" t="n">
        <v>-8182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136341</v>
      </c>
      <c r="C5" s="16" t="n">
        <v>158057</v>
      </c>
      <c r="D5" s="16" t="n">
        <v>176191</v>
      </c>
      <c r="E5" s="16" t="n">
        <v>184992</v>
      </c>
      <c r="F5" s="16" t="n">
        <v>187267</v>
      </c>
    </row>
    <row r="6">
      <c r="A6" s="17" t="inlineStr">
        <is>
          <t>(2)  Cost of Revenue (COGS)</t>
        </is>
      </c>
      <c r="B6" s="18" t="n">
        <v>111793</v>
      </c>
      <c r="C6" s="18" t="n">
        <v>132960</v>
      </c>
      <c r="D6" s="18" t="n">
        <v>151881</v>
      </c>
      <c r="E6" s="18" t="n">
        <v>161587</v>
      </c>
      <c r="F6" s="18" t="n">
        <v>164454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11915</v>
      </c>
      <c r="C9" s="18" t="n">
        <v>10888</v>
      </c>
      <c r="D9" s="18" t="n">
        <v>10732</v>
      </c>
      <c r="E9" s="18" t="n">
        <v>10310</v>
      </c>
      <c r="F9" s="18" t="n">
        <v>10881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19515</v>
      </c>
      <c r="C11" s="18" t="n">
        <v>18688</v>
      </c>
      <c r="D11" s="18" t="n">
        <v>18932</v>
      </c>
      <c r="E11" s="18" t="n">
        <v>18310</v>
      </c>
      <c r="F11" s="18" t="n">
        <v>20281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5960</v>
      </c>
      <c r="C14" s="18" t="n">
        <v>6493</v>
      </c>
      <c r="D14" s="18" t="n">
        <v>6523</v>
      </c>
      <c r="E14" s="18" t="n">
        <v>5867</v>
      </c>
      <c r="F14" s="18" t="n">
        <v>5995</v>
      </c>
    </row>
    <row r="15">
      <c r="A15" s="19" t="inlineStr">
        <is>
          <t>(8)  EBIT (Operating Income)</t>
        </is>
      </c>
      <c r="B15" s="24" t="n">
        <v>5033</v>
      </c>
      <c r="C15" s="24" t="n">
        <v>6409</v>
      </c>
      <c r="D15" s="24" t="n">
        <v>5378</v>
      </c>
      <c r="E15" s="24" t="n">
        <v>5095</v>
      </c>
      <c r="F15" s="24" t="n">
        <v>2532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1803</v>
      </c>
      <c r="C17" s="18" t="n">
        <v>1259</v>
      </c>
      <c r="D17" s="18" t="n">
        <v>1302</v>
      </c>
      <c r="E17" s="18" t="n">
        <v>1115</v>
      </c>
      <c r="F17" s="18" t="n">
        <v>1254</v>
      </c>
    </row>
    <row r="18">
      <c r="A18" s="21" t="inlineStr">
        <is>
          <t xml:space="preserve">     Interest Income</t>
        </is>
      </c>
      <c r="B18" s="18" t="n">
        <v>254</v>
      </c>
      <c r="C18" s="18" t="n">
        <v>639</v>
      </c>
      <c r="D18" s="18" t="n">
        <v>1567</v>
      </c>
      <c r="E18" s="18" t="n">
        <v>1540</v>
      </c>
      <c r="F18" s="18" t="n">
        <v>1490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17780</v>
      </c>
      <c r="C21" s="24" t="n">
        <v>-3016</v>
      </c>
      <c r="D21" s="24" t="n">
        <v>3967</v>
      </c>
      <c r="E21" s="24" t="n">
        <v>7233</v>
      </c>
      <c r="F21" s="24" t="n">
        <v>-11830</v>
      </c>
    </row>
    <row r="22">
      <c r="A22" s="17" t="inlineStr">
        <is>
          <t>(11) Income Tax Expense</t>
        </is>
      </c>
      <c r="B22" s="18" t="n">
        <v>-130</v>
      </c>
      <c r="C22" s="18" t="n">
        <v>-864</v>
      </c>
      <c r="D22" s="18" t="n">
        <v>-362</v>
      </c>
      <c r="E22" s="18" t="n">
        <v>1339</v>
      </c>
      <c r="F22" s="18" t="n">
        <v>-3668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17937</v>
      </c>
      <c r="C24" s="24" t="n">
        <v>-1981</v>
      </c>
      <c r="D24" s="24" t="n">
        <v>4347</v>
      </c>
      <c r="E24" s="24" t="n">
        <v>5879</v>
      </c>
      <c r="F24" s="24" t="n">
        <v>-8182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136341</v>
      </c>
      <c r="C30" s="16" t="n">
        <v>158057</v>
      </c>
      <c r="D30" s="16" t="n">
        <v>176191</v>
      </c>
      <c r="E30" s="16" t="n">
        <v>184992</v>
      </c>
      <c r="F30" s="16" t="n">
        <v>187267</v>
      </c>
    </row>
    <row r="31">
      <c r="A31" s="17" t="inlineStr">
        <is>
          <t>Cost of Revenue</t>
        </is>
      </c>
      <c r="B31" s="18" t="n">
        <v>111793</v>
      </c>
      <c r="C31" s="18" t="n">
        <v>132960</v>
      </c>
      <c r="D31" s="18" t="n">
        <v>151881</v>
      </c>
      <c r="E31" s="18" t="n">
        <v>161587</v>
      </c>
      <c r="F31" s="18" t="n">
        <v>164454</v>
      </c>
    </row>
    <row r="32">
      <c r="A32" s="26" t="inlineStr">
        <is>
          <t>Gross Profit</t>
        </is>
      </c>
      <c r="B32" s="27" t="n">
        <v>24548</v>
      </c>
      <c r="C32" s="27" t="n">
        <v>25097</v>
      </c>
      <c r="D32" s="27" t="n">
        <v>24310</v>
      </c>
      <c r="E32" s="27" t="n">
        <v>23405</v>
      </c>
      <c r="F32" s="27" t="n">
        <v>22813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7600</v>
      </c>
      <c r="C34" s="18" t="n">
        <v>7800</v>
      </c>
      <c r="D34" s="18" t="n">
        <v>8200</v>
      </c>
      <c r="E34" s="18" t="n">
        <v>8000</v>
      </c>
      <c r="F34" s="18" t="n">
        <v>9400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11915</v>
      </c>
      <c r="C37" s="18" t="n">
        <v>10888</v>
      </c>
      <c r="D37" s="18" t="n">
        <v>10732</v>
      </c>
      <c r="E37" s="18" t="n">
        <v>10310</v>
      </c>
      <c r="F37" s="18" t="n">
        <v>10881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19515</v>
      </c>
      <c r="C39" s="27" t="n">
        <v>18688</v>
      </c>
      <c r="D39" s="27" t="n">
        <v>18932</v>
      </c>
      <c r="E39" s="27" t="n">
        <v>18310</v>
      </c>
      <c r="F39" s="27" t="n">
        <v>20281</v>
      </c>
    </row>
    <row r="40">
      <c r="A40" s="17" t="inlineStr">
        <is>
          <t>Cost &amp; Expenses (COGS + Opex)</t>
        </is>
      </c>
      <c r="B40" s="18" t="n">
        <v>131308</v>
      </c>
      <c r="C40" s="18" t="n">
        <v>151648</v>
      </c>
      <c r="D40" s="18" t="n">
        <v>170813</v>
      </c>
      <c r="E40" s="18" t="n">
        <v>179897</v>
      </c>
      <c r="F40" s="18" t="n">
        <v>184735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5033</v>
      </c>
      <c r="C42" s="16" t="n">
        <v>6409</v>
      </c>
      <c r="D42" s="16" t="n">
        <v>5378</v>
      </c>
      <c r="E42" s="16" t="n">
        <v>5095</v>
      </c>
      <c r="F42" s="16" t="n">
        <v>2532</v>
      </c>
    </row>
    <row r="43">
      <c r="A43" s="17" t="inlineStr">
        <is>
          <t>EBIT (FMP field)</t>
        </is>
      </c>
      <c r="B43" s="18" t="n">
        <v>5033</v>
      </c>
      <c r="C43" s="18" t="n">
        <v>6409</v>
      </c>
      <c r="D43" s="18" t="n">
        <v>5378</v>
      </c>
      <c r="E43" s="18" t="n">
        <v>5095</v>
      </c>
      <c r="F43" s="18" t="n">
        <v>2532</v>
      </c>
    </row>
    <row r="44">
      <c r="A44" s="26" t="inlineStr">
        <is>
          <t>EBITDA</t>
        </is>
      </c>
      <c r="B44" s="27" t="n">
        <v>10993</v>
      </c>
      <c r="C44" s="27" t="n">
        <v>12902</v>
      </c>
      <c r="D44" s="27" t="n">
        <v>11901</v>
      </c>
      <c r="E44" s="27" t="n">
        <v>10962</v>
      </c>
      <c r="F44" s="27" t="n">
        <v>8527</v>
      </c>
    </row>
    <row r="45">
      <c r="A45" s="17" t="inlineStr">
        <is>
          <t>Depreciation &amp; Amortisation</t>
        </is>
      </c>
      <c r="B45" s="18" t="n">
        <v>5960</v>
      </c>
      <c r="C45" s="18" t="n">
        <v>6493</v>
      </c>
      <c r="D45" s="18" t="n">
        <v>6523</v>
      </c>
      <c r="E45" s="18" t="n">
        <v>5867</v>
      </c>
      <c r="F45" s="18" t="n">
        <v>5995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254</v>
      </c>
      <c r="C47" s="18" t="n">
        <v>639</v>
      </c>
      <c r="D47" s="18" t="n">
        <v>1567</v>
      </c>
      <c r="E47" s="18" t="n">
        <v>1540</v>
      </c>
      <c r="F47" s="18" t="n">
        <v>1490</v>
      </c>
    </row>
    <row r="48">
      <c r="A48" s="17" t="inlineStr">
        <is>
          <t>Interest Expense</t>
        </is>
      </c>
      <c r="B48" s="18" t="n">
        <v>1803</v>
      </c>
      <c r="C48" s="18" t="n">
        <v>1259</v>
      </c>
      <c r="D48" s="18" t="n">
        <v>1302</v>
      </c>
      <c r="E48" s="18" t="n">
        <v>1115</v>
      </c>
      <c r="F48" s="18" t="n">
        <v>1254</v>
      </c>
    </row>
    <row r="49">
      <c r="A49" s="17" t="inlineStr">
        <is>
          <t>Net Interest Income</t>
        </is>
      </c>
      <c r="B49" s="18" t="n">
        <v>-1549</v>
      </c>
      <c r="C49" s="18" t="n">
        <v>-620</v>
      </c>
      <c r="D49" s="18" t="n">
        <v>265</v>
      </c>
      <c r="E49" s="18" t="n">
        <v>425</v>
      </c>
      <c r="F49" s="18" t="n">
        <v>236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12747</v>
      </c>
      <c r="C51" s="18" t="n">
        <v>-9425</v>
      </c>
      <c r="D51" s="18" t="n">
        <v>-1411</v>
      </c>
      <c r="E51" s="18" t="n">
        <v>2138</v>
      </c>
      <c r="F51" s="18" t="n">
        <v>-14362</v>
      </c>
    </row>
    <row r="52">
      <c r="A52" s="26" t="inlineStr">
        <is>
          <t>EBT / Income Before Tax</t>
        </is>
      </c>
      <c r="B52" s="27" t="n">
        <v>17780</v>
      </c>
      <c r="C52" s="27" t="n">
        <v>-3016</v>
      </c>
      <c r="D52" s="27" t="n">
        <v>3967</v>
      </c>
      <c r="E52" s="27" t="n">
        <v>7233</v>
      </c>
      <c r="F52" s="27" t="n">
        <v>-11830</v>
      </c>
    </row>
    <row r="53">
      <c r="A53" s="17" t="inlineStr">
        <is>
          <t>Income Tax Expense</t>
        </is>
      </c>
      <c r="B53" s="18" t="n">
        <v>-130</v>
      </c>
      <c r="C53" s="18" t="n">
        <v>-864</v>
      </c>
      <c r="D53" s="18" t="n">
        <v>-362</v>
      </c>
      <c r="E53" s="18" t="n">
        <v>1339</v>
      </c>
      <c r="F53" s="18" t="n">
        <v>-3668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17910</v>
      </c>
      <c r="C55" s="18" t="n">
        <v>-2152</v>
      </c>
      <c r="D55" s="18" t="n">
        <v>4329</v>
      </c>
      <c r="E55" s="18" t="n">
        <v>5894</v>
      </c>
      <c r="F55" s="18" t="n">
        <v>-8162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17937</v>
      </c>
      <c r="C59" s="27" t="n">
        <v>-1981</v>
      </c>
      <c r="D59" s="27" t="n">
        <v>4347</v>
      </c>
      <c r="E59" s="27" t="n">
        <v>5879</v>
      </c>
      <c r="F59" s="27" t="n">
        <v>-8182</v>
      </c>
    </row>
    <row r="60">
      <c r="A60" s="15" t="inlineStr">
        <is>
          <t>Bottom Line Net Income</t>
        </is>
      </c>
      <c r="B60" s="16" t="n">
        <v>17937</v>
      </c>
      <c r="C60" s="16" t="n">
        <v>-1981</v>
      </c>
      <c r="D60" s="16" t="n">
        <v>4347</v>
      </c>
      <c r="E60" s="16" t="n">
        <v>5879</v>
      </c>
      <c r="F60" s="16" t="n">
        <v>-8182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4.49</v>
      </c>
      <c r="C62" s="18" t="n">
        <v>-0.49</v>
      </c>
      <c r="D62" s="18" t="n">
        <v>1.09</v>
      </c>
      <c r="E62" s="18" t="n">
        <v>1.48</v>
      </c>
      <c r="F62" s="18" t="n">
        <v>-2.06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3991</v>
      </c>
      <c r="C64" s="18" t="n">
        <v>4014</v>
      </c>
      <c r="D64" s="18" t="n">
        <v>3998</v>
      </c>
      <c r="E64" s="18" t="n">
        <v>3978</v>
      </c>
      <c r="F64" s="18" t="n">
        <v>3979</v>
      </c>
    </row>
    <row r="65">
      <c r="A65" s="17" t="inlineStr">
        <is>
          <t>Shares Outstanding — Diluted (mm)</t>
        </is>
      </c>
      <c r="B65" s="18" t="n">
        <v>4034</v>
      </c>
      <c r="C65" s="18" t="n">
        <v>4014</v>
      </c>
      <c r="D65" s="18" t="n">
        <v>4041</v>
      </c>
      <c r="E65" s="18" t="n">
        <v>4021</v>
      </c>
      <c r="F65" s="18" t="n">
        <v>3979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20540</v>
      </c>
      <c r="C5" s="18" t="n">
        <v>25134</v>
      </c>
      <c r="D5" s="18" t="n">
        <v>24862</v>
      </c>
      <c r="E5" s="18" t="n">
        <v>22935</v>
      </c>
      <c r="F5" s="18" t="n">
        <v>23356</v>
      </c>
    </row>
    <row r="6">
      <c r="A6" s="17" t="inlineStr">
        <is>
          <t>(2)  Receivables</t>
        </is>
      </c>
      <c r="B6" s="18" t="n">
        <v>43913</v>
      </c>
      <c r="C6" s="18" t="n">
        <v>54449</v>
      </c>
      <c r="D6" s="18" t="n">
        <v>62026</v>
      </c>
      <c r="E6" s="18" t="n">
        <v>66573</v>
      </c>
      <c r="F6" s="18" t="n">
        <v>64528</v>
      </c>
    </row>
    <row r="7">
      <c r="A7" s="17" t="inlineStr">
        <is>
          <t>(3)  Inventory</t>
        </is>
      </c>
      <c r="B7" s="18" t="n">
        <v>12065</v>
      </c>
      <c r="C7" s="18" t="n">
        <v>14080</v>
      </c>
      <c r="D7" s="18" t="n">
        <v>15651</v>
      </c>
      <c r="E7" s="18" t="n">
        <v>14951</v>
      </c>
      <c r="F7" s="18" t="n">
        <v>15285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108996</v>
      </c>
      <c r="C9" s="24" t="n">
        <v>116476</v>
      </c>
      <c r="D9" s="24" t="n">
        <v>121481</v>
      </c>
      <c r="E9" s="24" t="n">
        <v>124474</v>
      </c>
      <c r="F9" s="24" t="n">
        <v>123487</v>
      </c>
    </row>
    <row r="10">
      <c r="A10" s="17" t="inlineStr">
        <is>
          <t>(6)  PP&amp;E (Net)</t>
        </is>
      </c>
      <c r="B10" s="18" t="n">
        <v>63500</v>
      </c>
      <c r="C10" s="18" t="n">
        <v>60037</v>
      </c>
      <c r="D10" s="18" t="n">
        <v>62205</v>
      </c>
      <c r="E10" s="18" t="n">
        <v>64875</v>
      </c>
      <c r="F10" s="18" t="n">
        <v>65828</v>
      </c>
    </row>
    <row r="11">
      <c r="A11" s="17" t="inlineStr">
        <is>
          <t>(7)  Goodwill</t>
        </is>
      </c>
      <c r="B11" s="18" t="n">
        <v>0</v>
      </c>
      <c r="C11" s="18" t="n">
        <v>0</v>
      </c>
      <c r="D11" s="18" t="n">
        <v>683</v>
      </c>
      <c r="E11" s="18" t="n">
        <v>658</v>
      </c>
      <c r="F11" s="18" t="n">
        <v>483</v>
      </c>
    </row>
    <row r="12">
      <c r="A12" s="17" t="inlineStr">
        <is>
          <t>(8)  Deferred Tax Assets</t>
        </is>
      </c>
      <c r="B12" s="18" t="n">
        <v>13796</v>
      </c>
      <c r="C12" s="18" t="n">
        <v>15552</v>
      </c>
      <c r="D12" s="18" t="n">
        <v>16985</v>
      </c>
      <c r="E12" s="18" t="n">
        <v>16375</v>
      </c>
      <c r="F12" s="18" t="n">
        <v>21953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148039</v>
      </c>
      <c r="C14" s="24" t="n">
        <v>139408</v>
      </c>
      <c r="D14" s="24" t="n">
        <v>151829</v>
      </c>
      <c r="E14" s="24" t="n">
        <v>160722</v>
      </c>
      <c r="F14" s="24" t="n">
        <v>165673</v>
      </c>
    </row>
    <row r="15">
      <c r="A15" s="19" t="inlineStr">
        <is>
          <t>(11) Total Assets</t>
        </is>
      </c>
      <c r="B15" s="24" t="n">
        <v>257035</v>
      </c>
      <c r="C15" s="24" t="n">
        <v>255884</v>
      </c>
      <c r="D15" s="24" t="n">
        <v>273310</v>
      </c>
      <c r="E15" s="24" t="n">
        <v>285196</v>
      </c>
      <c r="F15" s="24" t="n">
        <v>289160</v>
      </c>
    </row>
    <row r="16" ht="6" customHeight="1"/>
    <row r="17">
      <c r="A17" s="17" t="inlineStr">
        <is>
          <t>(12) Accounts Payable</t>
        </is>
      </c>
      <c r="B17" s="18" t="n">
        <v>22349</v>
      </c>
      <c r="C17" s="18" t="n">
        <v>25605</v>
      </c>
      <c r="D17" s="18" t="n">
        <v>25992</v>
      </c>
      <c r="E17" s="18" t="n">
        <v>24128</v>
      </c>
      <c r="F17" s="18" t="n">
        <v>25809</v>
      </c>
    </row>
    <row r="18">
      <c r="A18" s="17" t="inlineStr">
        <is>
          <t>(13) Short-Term Borrowings</t>
        </is>
      </c>
      <c r="B18" s="18" t="n">
        <v>49692</v>
      </c>
      <c r="C18" s="18" t="n">
        <v>50164</v>
      </c>
      <c r="D18" s="18" t="n">
        <v>49669</v>
      </c>
      <c r="E18" s="18" t="n">
        <v>55507</v>
      </c>
      <c r="F18" s="18" t="n">
        <v>57869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90727</v>
      </c>
      <c r="C21" s="24" t="n">
        <v>96866</v>
      </c>
      <c r="D21" s="24" t="n">
        <v>101531</v>
      </c>
      <c r="E21" s="24" t="n">
        <v>106859</v>
      </c>
      <c r="F21" s="24" t="n">
        <v>114890</v>
      </c>
    </row>
    <row r="22">
      <c r="A22" s="17" t="inlineStr">
        <is>
          <t>(17) Long-Term Debt</t>
        </is>
      </c>
      <c r="B22" s="18" t="n">
        <v>88400</v>
      </c>
      <c r="C22" s="18" t="n">
        <v>88805</v>
      </c>
      <c r="D22" s="18" t="n">
        <v>99562</v>
      </c>
      <c r="E22" s="18" t="n">
        <v>103573</v>
      </c>
      <c r="F22" s="18" t="n">
        <v>106921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208413</v>
      </c>
      <c r="C25" s="24" t="n">
        <v>212717</v>
      </c>
      <c r="D25" s="24" t="n">
        <v>230512</v>
      </c>
      <c r="E25" s="24" t="n">
        <v>240338</v>
      </c>
      <c r="F25" s="24" t="n">
        <v>253180</v>
      </c>
    </row>
    <row r="26" ht="6" customHeight="1"/>
    <row r="27">
      <c r="A27" s="17" t="inlineStr">
        <is>
          <t>(21) Common Stock &amp; APIC</t>
        </is>
      </c>
      <c r="B27" s="18" t="n">
        <v>41</v>
      </c>
      <c r="C27" s="18" t="n">
        <v>42</v>
      </c>
      <c r="D27" s="18" t="n">
        <v>42</v>
      </c>
      <c r="E27" s="18" t="n">
        <v>42</v>
      </c>
      <c r="F27" s="18" t="n">
        <v>41</v>
      </c>
    </row>
    <row r="28">
      <c r="A28" s="17" t="inlineStr">
        <is>
          <t>(22) Retained Earnings</t>
        </is>
      </c>
      <c r="B28" s="18" t="n">
        <v>35769</v>
      </c>
      <c r="C28" s="18" t="n">
        <v>31754</v>
      </c>
      <c r="D28" s="18" t="n">
        <v>31029</v>
      </c>
      <c r="E28" s="18" t="n">
        <v>33740</v>
      </c>
      <c r="F28" s="18" t="n">
        <v>22508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48519</v>
      </c>
      <c r="C30" s="24" t="n">
        <v>43242</v>
      </c>
      <c r="D30" s="24" t="n">
        <v>42773</v>
      </c>
      <c r="E30" s="24" t="n">
        <v>44835</v>
      </c>
      <c r="F30" s="24" t="n">
        <v>35952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20540</v>
      </c>
      <c r="C36" s="18" t="n">
        <v>25134</v>
      </c>
      <c r="D36" s="18" t="n">
        <v>24862</v>
      </c>
      <c r="E36" s="18" t="n">
        <v>22935</v>
      </c>
      <c r="F36" s="18" t="n">
        <v>23356</v>
      </c>
    </row>
    <row r="37">
      <c r="A37" s="17" t="inlineStr">
        <is>
          <t>Short-Term Investments</t>
        </is>
      </c>
      <c r="B37" s="18" t="n">
        <v>29053</v>
      </c>
      <c r="C37" s="18" t="n">
        <v>18936</v>
      </c>
      <c r="D37" s="18" t="n">
        <v>15309</v>
      </c>
      <c r="E37" s="18" t="n">
        <v>15413</v>
      </c>
      <c r="F37" s="18" t="n">
        <v>15131</v>
      </c>
    </row>
    <row r="38">
      <c r="A38" s="28" t="inlineStr">
        <is>
          <t>Cash &amp; Short-Term Investments</t>
        </is>
      </c>
      <c r="B38" s="29" t="n">
        <v>49593</v>
      </c>
      <c r="C38" s="29" t="n">
        <v>44070</v>
      </c>
      <c r="D38" s="29" t="n">
        <v>40171</v>
      </c>
      <c r="E38" s="29" t="n">
        <v>38348</v>
      </c>
      <c r="F38" s="29" t="n">
        <v>38487</v>
      </c>
    </row>
    <row r="39">
      <c r="A39" s="17" t="inlineStr">
        <is>
          <t>Accounts Receivable (Trade)</t>
        </is>
      </c>
      <c r="B39" s="18" t="n">
        <v>43913</v>
      </c>
      <c r="C39" s="18" t="n">
        <v>54449</v>
      </c>
      <c r="D39" s="18" t="n">
        <v>62026</v>
      </c>
      <c r="E39" s="18" t="n">
        <v>66573</v>
      </c>
      <c r="F39" s="18" t="n">
        <v>64528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43913</v>
      </c>
      <c r="C41" s="29" t="n">
        <v>54449</v>
      </c>
      <c r="D41" s="29" t="n">
        <v>62026</v>
      </c>
      <c r="E41" s="29" t="n">
        <v>66573</v>
      </c>
      <c r="F41" s="29" t="n">
        <v>64528</v>
      </c>
    </row>
    <row r="42">
      <c r="A42" s="17" t="inlineStr">
        <is>
          <t>Inventory</t>
        </is>
      </c>
      <c r="B42" s="18" t="n">
        <v>12065</v>
      </c>
      <c r="C42" s="18" t="n">
        <v>14080</v>
      </c>
      <c r="D42" s="18" t="n">
        <v>15651</v>
      </c>
      <c r="E42" s="18" t="n">
        <v>14951</v>
      </c>
      <c r="F42" s="18" t="n">
        <v>15285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3425</v>
      </c>
      <c r="C44" s="18" t="n">
        <v>3877</v>
      </c>
      <c r="D44" s="18" t="n">
        <v>3633</v>
      </c>
      <c r="E44" s="18" t="n">
        <v>4602</v>
      </c>
      <c r="F44" s="18" t="n">
        <v>5187</v>
      </c>
    </row>
    <row r="45">
      <c r="A45" s="26" t="inlineStr">
        <is>
          <t>Total Current Assets</t>
        </is>
      </c>
      <c r="B45" s="27" t="n">
        <v>108996</v>
      </c>
      <c r="C45" s="27" t="n">
        <v>116476</v>
      </c>
      <c r="D45" s="27" t="n">
        <v>121481</v>
      </c>
      <c r="E45" s="27" t="n">
        <v>124474</v>
      </c>
      <c r="F45" s="27" t="n">
        <v>123487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63500</v>
      </c>
      <c r="C47" s="18" t="n">
        <v>60037</v>
      </c>
      <c r="D47" s="18" t="n">
        <v>62205</v>
      </c>
      <c r="E47" s="18" t="n">
        <v>64875</v>
      </c>
      <c r="F47" s="18" t="n">
        <v>65828</v>
      </c>
    </row>
    <row r="48">
      <c r="A48" s="17" t="inlineStr">
        <is>
          <t>Goodwill</t>
        </is>
      </c>
      <c r="B48" s="18" t="n">
        <v>0</v>
      </c>
      <c r="C48" s="18" t="n">
        <v>0</v>
      </c>
      <c r="D48" s="18" t="n">
        <v>683</v>
      </c>
      <c r="E48" s="18" t="n">
        <v>658</v>
      </c>
      <c r="F48" s="18" t="n">
        <v>483</v>
      </c>
    </row>
    <row r="49">
      <c r="A49" s="17" t="inlineStr">
        <is>
          <t>Intangible Assets</t>
        </is>
      </c>
      <c r="B49" s="18" t="n">
        <v>2090</v>
      </c>
      <c r="C49" s="18" t="n">
        <v>2350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4545</v>
      </c>
      <c r="C50" s="18" t="n">
        <v>2798</v>
      </c>
      <c r="D50" s="18" t="n">
        <v>5548</v>
      </c>
      <c r="E50" s="18" t="n">
        <v>6821</v>
      </c>
      <c r="F50" s="18" t="n">
        <v>64560</v>
      </c>
    </row>
    <row r="51">
      <c r="A51" s="17" t="inlineStr">
        <is>
          <t>Tax Assets (Deferred)</t>
        </is>
      </c>
      <c r="B51" s="18" t="n">
        <v>13796</v>
      </c>
      <c r="C51" s="18" t="n">
        <v>15552</v>
      </c>
      <c r="D51" s="18" t="n">
        <v>16985</v>
      </c>
      <c r="E51" s="18" t="n">
        <v>16375</v>
      </c>
      <c r="F51" s="18" t="n">
        <v>21953</v>
      </c>
    </row>
    <row r="52">
      <c r="A52" s="17" t="inlineStr">
        <is>
          <t>Total Investments</t>
        </is>
      </c>
      <c r="B52" s="18" t="n">
        <v>33598</v>
      </c>
      <c r="C52" s="18" t="n">
        <v>21734</v>
      </c>
      <c r="D52" s="18" t="n">
        <v>20857</v>
      </c>
      <c r="E52" s="18" t="n">
        <v>22234</v>
      </c>
      <c r="F52" s="18" t="n">
        <v>79691</v>
      </c>
    </row>
    <row r="53">
      <c r="A53" s="17" t="inlineStr">
        <is>
          <t>Other Non-Current Assets</t>
        </is>
      </c>
      <c r="B53" s="18" t="n">
        <v>64108</v>
      </c>
      <c r="C53" s="18" t="n">
        <v>58671</v>
      </c>
      <c r="D53" s="18" t="n">
        <v>67091</v>
      </c>
      <c r="E53" s="18" t="n">
        <v>71993</v>
      </c>
      <c r="F53" s="18" t="n">
        <v>12849</v>
      </c>
    </row>
    <row r="54">
      <c r="A54" s="26" t="inlineStr">
        <is>
          <t>Total Non-Current Assets</t>
        </is>
      </c>
      <c r="B54" s="27" t="n">
        <v>148039</v>
      </c>
      <c r="C54" s="27" t="n">
        <v>139408</v>
      </c>
      <c r="D54" s="27" t="n">
        <v>151829</v>
      </c>
      <c r="E54" s="27" t="n">
        <v>160722</v>
      </c>
      <c r="F54" s="27" t="n">
        <v>165673</v>
      </c>
    </row>
    <row r="55">
      <c r="A55" s="13" t="inlineStr">
        <is>
          <t>TOTAL ASSETS</t>
        </is>
      </c>
      <c r="B55" s="30" t="n">
        <v>257035</v>
      </c>
      <c r="C55" s="30" t="n">
        <v>255884</v>
      </c>
      <c r="D55" s="30" t="n">
        <v>273310</v>
      </c>
      <c r="E55" s="30" t="n">
        <v>285196</v>
      </c>
      <c r="F55" s="30" t="n">
        <v>289160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22349</v>
      </c>
      <c r="C57" s="18" t="n">
        <v>25605</v>
      </c>
      <c r="D57" s="18" t="n">
        <v>25992</v>
      </c>
      <c r="E57" s="18" t="n">
        <v>24128</v>
      </c>
      <c r="F57" s="18" t="n">
        <v>25809</v>
      </c>
    </row>
    <row r="58">
      <c r="A58" s="17" t="inlineStr">
        <is>
          <t>Short-Term Debt</t>
        </is>
      </c>
      <c r="B58" s="18" t="n">
        <v>49692</v>
      </c>
      <c r="C58" s="18" t="n">
        <v>50164</v>
      </c>
      <c r="D58" s="18" t="n">
        <v>49669</v>
      </c>
      <c r="E58" s="18" t="n">
        <v>55507</v>
      </c>
      <c r="F58" s="18" t="n">
        <v>57869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2349</v>
      </c>
      <c r="C60" s="18" t="n">
        <v>2404</v>
      </c>
      <c r="D60" s="18" t="n">
        <v>2515</v>
      </c>
      <c r="E60" s="18" t="n">
        <v>3331</v>
      </c>
      <c r="F60" s="18" t="n">
        <v>4489</v>
      </c>
    </row>
    <row r="61">
      <c r="A61" s="17" t="inlineStr">
        <is>
          <t>Accrued &amp; Other Current Liabilities</t>
        </is>
      </c>
      <c r="B61" s="18" t="n">
        <v>13771</v>
      </c>
      <c r="C61" s="18" t="n">
        <v>15744</v>
      </c>
      <c r="D61" s="18" t="n">
        <v>21650</v>
      </c>
      <c r="E61" s="18" t="n">
        <v>20234</v>
      </c>
      <c r="F61" s="18" t="n">
        <v>22657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90727</v>
      </c>
      <c r="C63" s="27" t="n">
        <v>96866</v>
      </c>
      <c r="D63" s="27" t="n">
        <v>101531</v>
      </c>
      <c r="E63" s="27" t="n">
        <v>106859</v>
      </c>
      <c r="F63" s="27" t="n">
        <v>114890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88400</v>
      </c>
      <c r="C65" s="18" t="n">
        <v>88805</v>
      </c>
      <c r="D65" s="18" t="n">
        <v>99562</v>
      </c>
      <c r="E65" s="18" t="n">
        <v>103573</v>
      </c>
      <c r="F65" s="18" t="n">
        <v>106921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4683</v>
      </c>
      <c r="C67" s="18" t="n">
        <v>4883</v>
      </c>
      <c r="D67" s="18" t="n">
        <v>5051</v>
      </c>
      <c r="E67" s="18" t="n">
        <v>4910</v>
      </c>
      <c r="F67" s="18" t="n">
        <v>5360</v>
      </c>
    </row>
    <row r="68">
      <c r="A68" s="17" t="inlineStr">
        <is>
          <t>Deferred Tax Liabilities</t>
        </is>
      </c>
      <c r="B68" s="18" t="n">
        <v>1581</v>
      </c>
      <c r="C68" s="18" t="n">
        <v>1549</v>
      </c>
      <c r="D68" s="18" t="n">
        <v>1005</v>
      </c>
      <c r="E68" s="18" t="n">
        <v>1074</v>
      </c>
      <c r="F68" s="18" t="n">
        <v>1354</v>
      </c>
    </row>
    <row r="69">
      <c r="A69" s="17" t="inlineStr">
        <is>
          <t>Other Non-Current Liabilities</t>
        </is>
      </c>
      <c r="B69" s="18" t="n">
        <v>21974</v>
      </c>
      <c r="C69" s="18" t="n">
        <v>19513</v>
      </c>
      <c r="D69" s="18" t="n">
        <v>21968</v>
      </c>
      <c r="E69" s="18" t="n">
        <v>22140</v>
      </c>
      <c r="F69" s="18" t="n">
        <v>21872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208413</v>
      </c>
      <c r="C71" s="30" t="n">
        <v>212717</v>
      </c>
      <c r="D71" s="30" t="n">
        <v>230512</v>
      </c>
      <c r="E71" s="30" t="n">
        <v>240338</v>
      </c>
      <c r="F71" s="30" t="n">
        <v>253180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41</v>
      </c>
      <c r="C73" s="18" t="n">
        <v>42</v>
      </c>
      <c r="D73" s="18" t="n">
        <v>42</v>
      </c>
      <c r="E73" s="18" t="n">
        <v>42</v>
      </c>
      <c r="F73" s="18" t="n">
        <v>41</v>
      </c>
    </row>
    <row r="74">
      <c r="A74" s="17" t="inlineStr">
        <is>
          <t>Retained Earnings</t>
        </is>
      </c>
      <c r="B74" s="18" t="n">
        <v>35769</v>
      </c>
      <c r="C74" s="18" t="n">
        <v>31754</v>
      </c>
      <c r="D74" s="18" t="n">
        <v>31029</v>
      </c>
      <c r="E74" s="18" t="n">
        <v>33740</v>
      </c>
      <c r="F74" s="18" t="n">
        <v>22508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103</v>
      </c>
      <c r="C77" s="18" t="n">
        <v>-75</v>
      </c>
      <c r="D77" s="18" t="n">
        <v>25</v>
      </c>
      <c r="E77" s="18" t="n">
        <v>23</v>
      </c>
      <c r="F77" s="18" t="n">
        <v>28</v>
      </c>
    </row>
    <row r="78">
      <c r="A78" s="26" t="inlineStr">
        <is>
          <t>Total Equity (inc. Minority)</t>
        </is>
      </c>
      <c r="B78" s="27" t="n">
        <v>48622</v>
      </c>
      <c r="C78" s="27" t="n">
        <v>43167</v>
      </c>
      <c r="D78" s="27" t="n">
        <v>42798</v>
      </c>
      <c r="E78" s="27" t="n">
        <v>44858</v>
      </c>
      <c r="F78" s="27" t="n">
        <v>35980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15787</v>
      </c>
      <c r="C5" s="24" t="n">
        <v>6853</v>
      </c>
      <c r="D5" s="24" t="n">
        <v>14918</v>
      </c>
      <c r="E5" s="24" t="n">
        <v>15423</v>
      </c>
      <c r="F5" s="24" t="n">
        <v>21282</v>
      </c>
    </row>
    <row r="6">
      <c r="A6" s="17" t="inlineStr">
        <is>
          <t>(2)  Capital Expenditures</t>
        </is>
      </c>
      <c r="B6" s="18" t="n">
        <v>-6227</v>
      </c>
      <c r="C6" s="18" t="n">
        <v>-6866</v>
      </c>
      <c r="D6" s="18" t="n">
        <v>-8236</v>
      </c>
      <c r="E6" s="18" t="n">
        <v>-8684</v>
      </c>
      <c r="F6" s="18" t="n">
        <v>-8815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-22990</v>
      </c>
      <c r="C9" s="18" t="n">
        <v>5275</v>
      </c>
      <c r="D9" s="18" t="n">
        <v>8155</v>
      </c>
      <c r="E9" s="18" t="n">
        <v>11356</v>
      </c>
      <c r="F9" s="18" t="n">
        <v>39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-403</v>
      </c>
      <c r="C12" s="18" t="n">
        <v>-2009</v>
      </c>
      <c r="D12" s="18" t="n">
        <v>-4995</v>
      </c>
      <c r="E12" s="18" t="n">
        <v>-3118</v>
      </c>
      <c r="F12" s="18" t="n">
        <v>-2989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9560</v>
      </c>
      <c r="C15" s="24" t="n">
        <v>-13</v>
      </c>
      <c r="D15" s="24" t="n">
        <v>6682</v>
      </c>
      <c r="E15" s="24" t="n">
        <v>6739</v>
      </c>
      <c r="F15" s="24" t="n">
        <v>12467</v>
      </c>
    </row>
    <row r="16">
      <c r="A16" s="15" t="inlineStr">
        <is>
          <t xml:space="preserve">     Net Change in Cash</t>
        </is>
      </c>
      <c r="B16" s="16" t="n">
        <v>-5198</v>
      </c>
      <c r="C16" s="16" t="n">
        <v>4603</v>
      </c>
      <c r="D16" s="16" t="n">
        <v>-230</v>
      </c>
      <c r="E16" s="16" t="n">
        <v>-1920</v>
      </c>
      <c r="F16" s="16" t="n">
        <v>560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17910</v>
      </c>
      <c r="C21" s="18" t="n">
        <v>-2152</v>
      </c>
      <c r="D21" s="18" t="n">
        <v>4347</v>
      </c>
      <c r="E21" s="18" t="n">
        <v>5894</v>
      </c>
      <c r="F21" s="18" t="n">
        <v>-8162</v>
      </c>
    </row>
    <row r="22">
      <c r="A22" s="17" t="inlineStr">
        <is>
          <t>Depreciation &amp; Amortisation</t>
        </is>
      </c>
      <c r="B22" s="18" t="n">
        <v>5960</v>
      </c>
      <c r="C22" s="18" t="n">
        <v>6493</v>
      </c>
      <c r="D22" s="18" t="n">
        <v>6523</v>
      </c>
      <c r="E22" s="18" t="n">
        <v>5867</v>
      </c>
      <c r="F22" s="18" t="n">
        <v>7834</v>
      </c>
    </row>
    <row r="23">
      <c r="A23" s="17" t="inlineStr">
        <is>
          <t>Deferred Income Tax</t>
        </is>
      </c>
      <c r="B23" s="18" t="n">
        <v>-563</v>
      </c>
      <c r="C23" s="18" t="n">
        <v>-1910</v>
      </c>
      <c r="D23" s="18" t="n">
        <v>-1649</v>
      </c>
      <c r="E23" s="18" t="n">
        <v>350</v>
      </c>
      <c r="F23" s="18" t="n">
        <v>-4536</v>
      </c>
    </row>
    <row r="24">
      <c r="A24" s="17" t="inlineStr">
        <is>
          <t>Stock-Based Compensation</t>
        </is>
      </c>
      <c r="B24" s="18" t="n">
        <v>305</v>
      </c>
      <c r="C24" s="18" t="n">
        <v>336</v>
      </c>
      <c r="D24" s="18" t="n">
        <v>460</v>
      </c>
      <c r="E24" s="18" t="n">
        <v>511</v>
      </c>
      <c r="F24" s="18" t="n">
        <v>510</v>
      </c>
    </row>
    <row r="25">
      <c r="A25" s="17" t="inlineStr">
        <is>
          <t>Change in Working Capital</t>
        </is>
      </c>
      <c r="B25" s="18" t="n">
        <v>4701</v>
      </c>
      <c r="C25" s="18" t="n">
        <v>-7051</v>
      </c>
      <c r="D25" s="18" t="n">
        <v>1163</v>
      </c>
      <c r="E25" s="18" t="n">
        <v>1656</v>
      </c>
      <c r="F25" s="18" t="n">
        <v>13223</v>
      </c>
    </row>
    <row r="26">
      <c r="A26" s="21" t="inlineStr">
        <is>
          <t xml:space="preserve">  — Accounts Receivable</t>
        </is>
      </c>
      <c r="B26" s="18" t="n">
        <v>6515</v>
      </c>
      <c r="C26" s="18" t="n">
        <v>-11743</v>
      </c>
      <c r="D26" s="18" t="n">
        <v>-7447</v>
      </c>
      <c r="E26" s="18" t="n">
        <v>-2497</v>
      </c>
      <c r="F26" s="18" t="n">
        <v>4992</v>
      </c>
    </row>
    <row r="27">
      <c r="A27" s="21" t="inlineStr">
        <is>
          <t xml:space="preserve">  — Inventory</t>
        </is>
      </c>
      <c r="B27" s="18" t="n">
        <v>-1778</v>
      </c>
      <c r="C27" s="18" t="n">
        <v>-2576</v>
      </c>
      <c r="D27" s="18" t="n">
        <v>-1219</v>
      </c>
      <c r="E27" s="18" t="n">
        <v>27</v>
      </c>
      <c r="F27" s="18" t="n">
        <v>539</v>
      </c>
    </row>
    <row r="28">
      <c r="A28" s="21" t="inlineStr">
        <is>
          <t xml:space="preserve">  — Accounts Payable</t>
        </is>
      </c>
      <c r="B28" s="18" t="n">
        <v>-36</v>
      </c>
      <c r="C28" s="18" t="n">
        <v>0</v>
      </c>
      <c r="D28" s="18" t="n">
        <v>9829</v>
      </c>
      <c r="E28" s="18" t="n">
        <v>8425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0</v>
      </c>
      <c r="C29" s="18" t="n">
        <v>7268</v>
      </c>
      <c r="D29" s="18" t="n">
        <v>0</v>
      </c>
      <c r="E29" s="18" t="n">
        <v>-4299</v>
      </c>
      <c r="F29" s="18" t="n">
        <v>7692</v>
      </c>
    </row>
    <row r="30">
      <c r="A30" s="17" t="inlineStr">
        <is>
          <t>Other Non-Cash Items</t>
        </is>
      </c>
      <c r="B30" s="18" t="n">
        <v>-12526</v>
      </c>
      <c r="C30" s="18" t="n">
        <v>11137</v>
      </c>
      <c r="D30" s="18" t="n">
        <v>4074</v>
      </c>
      <c r="E30" s="18" t="n">
        <v>1145</v>
      </c>
      <c r="F30" s="18" t="n">
        <v>12413</v>
      </c>
    </row>
    <row r="31">
      <c r="A31" s="26" t="inlineStr">
        <is>
          <t>Net Cash from Operations (CFO)</t>
        </is>
      </c>
      <c r="B31" s="27" t="n">
        <v>15787</v>
      </c>
      <c r="C31" s="27" t="n">
        <v>6853</v>
      </c>
      <c r="D31" s="27" t="n">
        <v>14918</v>
      </c>
      <c r="E31" s="27" t="n">
        <v>15423</v>
      </c>
      <c r="F31" s="27" t="n">
        <v>21282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-6227</v>
      </c>
      <c r="C33" s="18" t="n">
        <v>-6866</v>
      </c>
      <c r="D33" s="18" t="n">
        <v>-8236</v>
      </c>
      <c r="E33" s="18" t="n">
        <v>-8684</v>
      </c>
      <c r="F33" s="18" t="n">
        <v>-8815</v>
      </c>
    </row>
    <row r="34">
      <c r="A34" s="21" t="inlineStr">
        <is>
          <t xml:space="preserve">  (Alt: Invest. in PP&amp;E)</t>
        </is>
      </c>
      <c r="B34" s="18" t="n">
        <v>-6227</v>
      </c>
      <c r="C34" s="18" t="n">
        <v>-6866</v>
      </c>
      <c r="D34" s="18" t="n">
        <v>-8236</v>
      </c>
      <c r="E34" s="18" t="n">
        <v>-8684</v>
      </c>
      <c r="F34" s="18" t="n">
        <v>0</v>
      </c>
    </row>
    <row r="35">
      <c r="A35" s="17" t="inlineStr">
        <is>
          <t>Acquisitions (Net)</t>
        </is>
      </c>
      <c r="B35" s="18" t="n">
        <v>145</v>
      </c>
      <c r="C35" s="18" t="n">
        <v>-289</v>
      </c>
      <c r="D35" s="18" t="n">
        <v>-2733</v>
      </c>
      <c r="E35" s="18" t="n">
        <v>-858</v>
      </c>
      <c r="F35" s="18" t="n">
        <v>0</v>
      </c>
    </row>
    <row r="36">
      <c r="A36" s="17" t="inlineStr">
        <is>
          <t>Purchases of Investments</t>
        </is>
      </c>
      <c r="B36" s="18" t="n">
        <v>-27763</v>
      </c>
      <c r="C36" s="18" t="n">
        <v>-17458</v>
      </c>
      <c r="D36" s="18" t="n">
        <v>-8728</v>
      </c>
      <c r="E36" s="18" t="n">
        <v>-12568</v>
      </c>
      <c r="F36" s="18" t="n">
        <v>-10975</v>
      </c>
    </row>
    <row r="37">
      <c r="A37" s="17" t="inlineStr">
        <is>
          <t>Sales / Maturities of Investments</t>
        </is>
      </c>
      <c r="B37" s="18" t="n">
        <v>33229</v>
      </c>
      <c r="C37" s="18" t="n">
        <v>19211</v>
      </c>
      <c r="D37" s="18" t="n">
        <v>12700</v>
      </c>
      <c r="E37" s="18" t="n">
        <v>12346</v>
      </c>
      <c r="F37" s="18" t="n">
        <v>10063</v>
      </c>
    </row>
    <row r="38">
      <c r="A38" s="17" t="inlineStr">
        <is>
          <t>Other Investing Activities</t>
        </is>
      </c>
      <c r="B38" s="18" t="n">
        <v>3361</v>
      </c>
      <c r="C38" s="18" t="n">
        <v>1055</v>
      </c>
      <c r="D38" s="18" t="n">
        <v>-10631</v>
      </c>
      <c r="E38" s="18" t="n">
        <v>-14606</v>
      </c>
      <c r="F38" s="18" t="n">
        <v>-17137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-22990</v>
      </c>
      <c r="C41" s="18" t="n">
        <v>5275</v>
      </c>
      <c r="D41" s="18" t="n">
        <v>8155</v>
      </c>
      <c r="E41" s="18" t="n">
        <v>11356</v>
      </c>
      <c r="F41" s="18" t="n">
        <v>39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0</v>
      </c>
      <c r="C44" s="18" t="n">
        <v>-484</v>
      </c>
      <c r="D44" s="18" t="n">
        <v>-335</v>
      </c>
      <c r="E44" s="18" t="n">
        <v>-426</v>
      </c>
      <c r="F44" s="18" t="n">
        <v>0</v>
      </c>
    </row>
    <row r="45">
      <c r="A45" s="17" t="inlineStr">
        <is>
          <t>Dividends Paid</t>
        </is>
      </c>
      <c r="B45" s="18" t="n">
        <v>-403</v>
      </c>
      <c r="C45" s="18" t="n">
        <v>-2009</v>
      </c>
      <c r="D45" s="18" t="n">
        <v>-4995</v>
      </c>
      <c r="E45" s="18" t="n">
        <v>-3118</v>
      </c>
      <c r="F45" s="18" t="n">
        <v>-2989</v>
      </c>
    </row>
    <row r="46">
      <c r="A46" s="17" t="inlineStr">
        <is>
          <t>Other Financing Activities</t>
        </is>
      </c>
      <c r="B46" s="18" t="n">
        <v>-105</v>
      </c>
      <c r="C46" s="18" t="n">
        <v>-271</v>
      </c>
      <c r="D46" s="18" t="n">
        <v>-241</v>
      </c>
      <c r="E46" s="18" t="n">
        <v>-327</v>
      </c>
      <c r="F46" s="18" t="n">
        <v>-255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-232</v>
      </c>
      <c r="C49" s="18" t="n">
        <v>-414</v>
      </c>
      <c r="D49" s="18" t="n">
        <v>-104</v>
      </c>
      <c r="E49" s="18" t="n">
        <v>-458</v>
      </c>
      <c r="F49" s="18" t="n">
        <v>532</v>
      </c>
    </row>
    <row r="50">
      <c r="A50" s="15" t="inlineStr">
        <is>
          <t>Net Change in Cash</t>
        </is>
      </c>
      <c r="B50" s="16" t="n">
        <v>-5198</v>
      </c>
      <c r="C50" s="16" t="n">
        <v>4603</v>
      </c>
      <c r="D50" s="16" t="n">
        <v>-230</v>
      </c>
      <c r="E50" s="16" t="n">
        <v>-1920</v>
      </c>
      <c r="F50" s="16" t="n">
        <v>560</v>
      </c>
    </row>
    <row r="51">
      <c r="A51" s="17" t="inlineStr">
        <is>
          <t>Cash at Beginning of Period</t>
        </is>
      </c>
      <c r="B51" s="18" t="n">
        <v>25935</v>
      </c>
      <c r="C51" s="18" t="n">
        <v>20737</v>
      </c>
      <c r="D51" s="18" t="n">
        <v>25340</v>
      </c>
      <c r="E51" s="18" t="n">
        <v>25110</v>
      </c>
      <c r="F51" s="18" t="n">
        <v>23190</v>
      </c>
    </row>
    <row r="52">
      <c r="A52" s="26" t="inlineStr">
        <is>
          <t>Cash at End of Period</t>
        </is>
      </c>
      <c r="B52" s="27" t="n">
        <v>20737</v>
      </c>
      <c r="C52" s="27" t="n">
        <v>25340</v>
      </c>
      <c r="D52" s="27" t="n">
        <v>25110</v>
      </c>
      <c r="E52" s="27" t="n">
        <v>23190</v>
      </c>
      <c r="F52" s="27" t="n">
        <v>23750</v>
      </c>
    </row>
    <row r="53">
      <c r="A53" s="26" t="inlineStr">
        <is>
          <t>Free Cash Flow</t>
        </is>
      </c>
      <c r="B53" s="27" t="n">
        <v>9560</v>
      </c>
      <c r="C53" s="27" t="n">
        <v>-13</v>
      </c>
      <c r="D53" s="27" t="n">
        <v>6682</v>
      </c>
      <c r="E53" s="27" t="n">
        <v>6739</v>
      </c>
      <c r="F53" s="27" t="n">
        <v>12467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4034</v>
      </c>
      <c r="C61" s="18" t="n">
        <v>4014</v>
      </c>
      <c r="D61" s="18" t="n">
        <v>4041</v>
      </c>
      <c r="E61" s="18" t="n">
        <v>4021</v>
      </c>
      <c r="F61" s="18" t="n">
        <v>3979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13271</v>
      </c>
      <c r="C5" s="18" t="n">
        <v>172706</v>
      </c>
      <c r="D5" s="18" t="n">
        <v>165901</v>
      </c>
      <c r="E5" s="18" t="n">
        <v>149079</v>
      </c>
      <c r="F5" s="18" t="n">
        <v>126268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F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58433.639471</v>
      </c>
      <c r="C5" s="44" t="inlineStr">
        <is>
          <t>FMP marketCap  |  price $14.93</t>
        </is>
      </c>
    </row>
    <row r="6">
      <c r="A6" s="17" t="inlineStr">
        <is>
          <t>Debt  (gross book value, $mm)</t>
        </is>
      </c>
      <c r="B6" s="43" t="n">
        <v>164790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1.664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1.445</v>
      </c>
      <c r="C17" s="44" t="inlineStr">
        <is>
          <t>Mean-reversion toward market beta of 1.0</t>
        </is>
      </c>
    </row>
    <row r="18">
      <c r="A18" s="17" t="inlineStr">
        <is>
          <t>Damodaran industry unlevered  (Auto - Manufacturers)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2.82x,  t = 31.0%)</t>
        </is>
      </c>
      <c r="B19" s="50" t="n">
        <v>2.946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2.018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2</v>
      </c>
      <c r="C33" s="44" t="inlineStr">
        <is>
          <t>EBIT $2532mm  /  Int Exp $1254mm</t>
        </is>
      </c>
    </row>
    <row r="34">
      <c r="A34" s="17" t="inlineStr">
        <is>
          <t>Synthetic rating  (Damodaran ICR table)</t>
        </is>
      </c>
      <c r="B34" s="53" t="inlineStr">
        <is>
          <t>BB</t>
        </is>
      </c>
      <c r="C34" s="44" t="inlineStr">
        <is>
          <t>ICR 2.0x  →  BB</t>
        </is>
      </c>
    </row>
    <row r="35">
      <c r="A35" s="17" t="inlineStr">
        <is>
          <t>Synthetic Rd  (Rf + Damodaran default spread)</t>
        </is>
      </c>
      <c r="B35" s="46" t="n">
        <v>0.08169999999999999</v>
      </c>
      <c r="C35" s="44" t="inlineStr">
        <is>
          <t>Rf 4.57% + spread 3.60%</t>
        </is>
      </c>
    </row>
    <row r="36">
      <c r="A36" s="17" t="inlineStr">
        <is>
          <t>Accounting Rd  (Gross int exp / Avg gross debt)</t>
        </is>
      </c>
      <c r="B36" s="46" t="n">
        <v>0.00774384784018279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$236mm  (int inc $1490mm &gt; int exp $1254mm)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0.0447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0.3101</v>
      </c>
      <c r="C41" s="44" t="inlineStr">
        <is>
          <t>FMP: $3668mm  /  $11830mm</t>
        </is>
      </c>
    </row>
    <row r="42">
      <c r="A42" s="47" t="inlineStr">
        <is>
          <t>► Selected tax rate  (user override)</t>
        </is>
      </c>
      <c r="B42" s="48" t="n">
        <v>0.3101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B8*B28+B9*B38*(1-B42))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F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0.0351</v>
      </c>
      <c r="H7" s="71" t="n">
        <v>-0.008800000000000001</v>
      </c>
      <c r="I7" s="71" t="n">
        <v>0.0431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0.0669</v>
      </c>
      <c r="H8" s="71" t="n">
        <v>0.0669</v>
      </c>
      <c r="I8" s="71" t="n">
        <v>0.0669</v>
      </c>
      <c r="J8" s="72">
        <f>I8</f>
        <v/>
      </c>
      <c r="K8" s="72">
        <f>I8</f>
        <v/>
      </c>
      <c r="L8" s="73" t="n">
        <v>0.0455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193842.3</v>
      </c>
      <c r="H15" s="77" t="n">
        <v>192137.1</v>
      </c>
      <c r="I15" s="77" t="n">
        <v>200424.3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185,105 — 203,066</t>
        </is>
      </c>
      <c r="H16" s="82" t="inlineStr">
        <is>
          <t>177,674 — 205,123</t>
        </is>
      </c>
      <c r="I16" s="82" t="inlineStr">
        <is>
          <t>193,378 — 207,471</t>
        </is>
      </c>
      <c r="J16" s="82" t="inlineStr">
        <is>
          <t>186,111 — 210,762</t>
        </is>
      </c>
      <c r="K16" s="82" t="inlineStr">
        <is>
          <t>195,751 — 221,679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8</v>
      </c>
      <c r="H17" s="84" t="n">
        <v>9</v>
      </c>
      <c r="I17" s="84" t="n">
        <v>6</v>
      </c>
      <c r="J17" s="84" t="n">
        <v>5</v>
      </c>
      <c r="K17" s="85" t="n">
        <v>3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12971.7</v>
      </c>
      <c r="H20" s="77" t="n">
        <v>12857.6</v>
      </c>
      <c r="I20" s="77" t="n">
        <v>13412.2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12,387 — 13,589</t>
        </is>
      </c>
      <c r="H21" s="82" t="inlineStr">
        <is>
          <t>11,890 — 13,727</t>
        </is>
      </c>
      <c r="I21" s="82" t="inlineStr">
        <is>
          <t>12,941 — 13,884</t>
        </is>
      </c>
      <c r="J21" s="82" t="inlineStr">
        <is>
          <t>12,454 — 14,104</t>
        </is>
      </c>
      <c r="K21" s="82" t="inlineStr">
        <is>
          <t>13,099 — 14,834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WACC!B45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(8.2%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15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(8.2%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28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3979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14.93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F  |  Master Prompt v2  |  24 May 2026  |  Sector bucket: Cyclical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⚠  SOFT FLOOR CAP 40/100 applied — D/EBITDA 19.3x → −81.6 pts  |  EBIT/Interest 2.0x → −3.9 pts  (kicks in at D/EBITDA &gt; 3.0x or EBIT/Int &lt; 3.0x; smooth, no cliffs)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12.2% ✗ (&gt;40%)  |  GM trend -3.7% ✗ (&gt;+1pp)  |  ROIC-WACC -2.5% ✗ (&gt;+5pp)  |  Rev consistency σ=5.7% ✓ (&lt;8%)  [1/4 indicators positive — proxy score]</t>
        </is>
      </c>
      <c r="E9" s="131" t="inlineStr">
        <is>
          <t>LOW</t>
        </is>
      </c>
      <c r="F9" s="132" t="n">
        <v>2.5</v>
      </c>
      <c r="G9" s="133">
        <f>IF(F9="",0,C9*F9*10)</f>
        <v/>
      </c>
      <c r="H9" s="134" t="inlineStr">
        <is>
          <t>GM 12.2% ✗ (&gt;40%)  |  GM trend -3.7% ✗ (&gt;+1pp)  |  ROIC-WACC -2.5% ✗ (&gt;+5pp)  |  Rev consistency σ=5.7% ✓ (&lt;8%)  [1/4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-1.9% ✓ (&gt;=-2pp)  |  GM maintained -3.7% ✗  |  Op margin -2.7% ✗ (≥-2pp)  |  Capital returns LOW ✗  |  Share count -0.1%/yr ✓ (net buyback)  |  Goodwill/Equity 1% ✓ (&lt;40%)  [3/6 indicators positive — proxy score]</t>
        </is>
      </c>
      <c r="E11" s="135" t="inlineStr">
        <is>
          <t>MOD-LOW</t>
        </is>
      </c>
      <c r="F11" s="132" t="n">
        <v>5</v>
      </c>
      <c r="G11" s="133">
        <f>IF(F11="",0,C11*F11*10)</f>
        <v/>
      </c>
      <c r="H11" s="134" t="inlineStr">
        <is>
          <t>ROIC trend -1.9% ✓ (&gt;=-2pp)  |  GM maintained -3.7% ✗  |  Op margin -2.7% ✗ (≥-2pp)  |  Capital returns LOW ✗  |  Share count -0.1%/yr ✓ (net buyback)  |  Goodwill/Equity 1% ✓ (&lt;40%)  [3/6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5.8%</t>
        </is>
      </c>
      <c r="E13" s="136" t="inlineStr">
        <is>
          <t>MOD-HIGH</t>
        </is>
      </c>
      <c r="F13" s="132" t="n">
        <v>7.49</v>
      </c>
      <c r="G13" s="133">
        <f>IF(F13="",0,C13*F13*10)</f>
        <v/>
      </c>
      <c r="H13" s="134" t="inlineStr">
        <is>
          <t>5.8%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53%  [trend penalty: declined &gt;15pp vs 3yr ago]  [through-cycle: 5yr median, latest -152.4% → smoothed 53.3%]</t>
        </is>
      </c>
      <c r="E14" s="135" t="inlineStr">
        <is>
          <t>MOD-LOW</t>
        </is>
      </c>
      <c r="F14" s="132" t="n">
        <v>3.99</v>
      </c>
      <c r="G14" s="133">
        <f>IF(F14="",0,C14*F14*10)</f>
        <v/>
      </c>
      <c r="H14" s="134" t="inlineStr">
        <is>
          <t>53%  [trend penalty: declined &gt;15pp vs 3yr ago]  [through-cycle: 5yr median, latest -152.4% → smoothed 53.3%]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No capital returns in latest year</t>
        </is>
      </c>
      <c r="E15" s="131" t="inlineStr">
        <is>
          <t>LOW</t>
        </is>
      </c>
      <c r="F15" s="132" t="n">
        <v>0</v>
      </c>
      <c r="G15" s="133">
        <f>IF(F15="",0,C15*F15*10)</f>
        <v/>
      </c>
      <c r="H15" s="134" t="inlineStr">
        <is>
          <t>No capital returns in latest year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2.9%  [through-cycle: 5yr median, latest 1.0% → smoothed 2.9%]</t>
        </is>
      </c>
      <c r="E16" s="131" t="inlineStr">
        <is>
          <t>LOW</t>
        </is>
      </c>
      <c r="F16" s="132" t="n">
        <v>1.75</v>
      </c>
      <c r="G16" s="133">
        <f>IF(F16="",0,C16*F16*10)</f>
        <v/>
      </c>
      <c r="H16" s="134" t="inlineStr">
        <is>
          <t>2.9%  [through-cycle: 5yr median, latest 1.0% → smoothed 2.9%]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12.6x  [through-cycle: 5yr median, latest 19.3x → smoothed 12.6x]</t>
        </is>
      </c>
      <c r="E18" s="131" t="inlineStr">
        <is>
          <t>LOW</t>
        </is>
      </c>
      <c r="F18" s="132" t="n">
        <v>0</v>
      </c>
      <c r="G18" s="133">
        <f>IF(F18="",0,C18*F18*10)</f>
        <v/>
      </c>
      <c r="H18" s="134" t="inlineStr">
        <is>
          <t>12.6x  [through-cycle: 5yr median, latest 19.3x → smoothed 12.6x]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2.0x</t>
        </is>
      </c>
      <c r="E19" s="135" t="inlineStr">
        <is>
          <t>MOD-LOW</t>
        </is>
      </c>
      <c r="F19" s="132" t="n">
        <v>3.04</v>
      </c>
      <c r="G19" s="133">
        <f>IF(F19="",0,C19*F19*10)</f>
        <v/>
      </c>
      <c r="H19" s="134" t="inlineStr">
        <is>
          <t>2.0x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σ=5.7%  |  OM trend -2.3%, σ=0.9%  [quality = direction + stability]</t>
        </is>
      </c>
      <c r="E20" s="135" t="inlineStr">
        <is>
          <t>MOD-LOW</t>
        </is>
      </c>
      <c r="F20" s="132" t="n">
        <v>3.33</v>
      </c>
      <c r="G20" s="133">
        <f>IF(F20="",0,C20*F20*10)</f>
        <v/>
      </c>
      <c r="H20" s="134" t="inlineStr">
        <is>
          <t>Rev growth σ=5.7%  |  OM trend -2.3%, σ=0.9%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-6.4x — P/E negative (earnings/FCF below zero, multiple meaningless)</t>
        </is>
      </c>
      <c r="E22" s="131" t="inlineStr">
        <is>
          <t>LOW</t>
        </is>
      </c>
      <c r="F22" s="132" t="n">
        <v>0</v>
      </c>
      <c r="G22" s="133">
        <f>IF(F22="",0,C22*F22*10)</f>
        <v/>
      </c>
      <c r="H22" s="134" t="inlineStr">
        <is>
          <t>Current -6.4x — P/E negative (earnings/FCF below zero, multiple meaningless)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4.2x  |  5yr avg 6.5x  [-35% vs benchmark]  [trail=10.00 | fwd_pfcf=4.6x→10.00 | abs=12.0 → blended 40/40/20=10.40]  [fcf_yield=23.8% vs rf=4.6%  spread=+19.2%→modifier=+0.50]</t>
        </is>
      </c>
      <c r="E23" s="137" t="inlineStr">
        <is>
          <t>HIGH</t>
        </is>
      </c>
      <c r="F23" s="132" t="n">
        <v>10.9</v>
      </c>
      <c r="G23" s="133">
        <f>IF(F23="",0,C23*F23*10)</f>
        <v/>
      </c>
      <c r="H23" s="134" t="inlineStr">
        <is>
          <t>Current 4.2x  |  5yr avg 6.5x  [-35% vs benchmark]  [trail=10.00 | fwd_pfcf=4.6x→10.00 | abs=12.0 → blended 40/40/20=10.40]  [fcf_yield=23.8% vs rf=4.6%  spread=+19.2%→modifier=+0.50]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8" t="inlineStr">
        <is>
          <t>TOTAL SCORE  (max = 100.0)</t>
        </is>
      </c>
      <c r="B25" s="139" t="n"/>
      <c r="C25" s="139" t="n"/>
      <c r="D25" s="139" t="n"/>
      <c r="E25" s="139" t="n"/>
      <c r="F25" s="139" t="n"/>
      <c r="G25" s="140">
        <f>G8+G9+G10+G11+G13+G14+G15+G16+G18+G19+G20+G22+G23</f>
        <v/>
      </c>
      <c r="H25" s="141" t="inlineStr">
        <is>
          <t>Floor cap 40.0 applies — see gate warning above.</t>
        </is>
      </c>
    </row>
    <row r="26" ht="18" customHeight="1">
      <c r="A26" s="142" t="inlineStr">
        <is>
          <t>FLOOR-ADJUSTED SCORE  (capped at 40.0)</t>
        </is>
      </c>
      <c r="B26" s="143" t="n"/>
      <c r="C26" s="143" t="n"/>
      <c r="D26" s="143" t="n"/>
      <c r="E26" s="143" t="n"/>
      <c r="F26" s="143" t="n"/>
      <c r="G26" s="144">
        <f>MIN(G25,40.0)</f>
        <v/>
      </c>
      <c r="H26" s="143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</row>
    <row r="28" ht="24" customHeight="1">
      <c r="A28" s="145">
        <f>IF(G26="","Score incomplete — fill qualitative tiers above",IF(G26&gt;=80,"STRONG BUY",IF(G26&gt;=65,"BUY",IF(G26&gt;=50,"HOLD",IF(G26&gt;=35,"REDUCE","SELL")))))</f>
        <v/>
      </c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</row>
    <row r="30" ht="18" customHeight="1">
      <c r="A30" s="146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2026-05-24T11:26:08Z</dcterms:created>
  <dcterms:modified xmlns:dcterms="http://purl.org/dc/terms/" xmlns:xsi="http://www.w3.org/2001/XMLSchema-instance" xsi:type="dcterms:W3CDTF">2026-05-24T11:26:23Z</dcterms:modified>
</cp:coreProperties>
</file>