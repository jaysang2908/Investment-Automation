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&amp;L" sheetId="2" state="visible" r:id="rId2"/>
    <sheet name="Balance Sheet" sheetId="3" state="visible" r:id="rId3"/>
    <sheet name="Cash Flow" sheetId="4" state="visible" r:id="rId4"/>
    <sheet name="Ratios &amp; FCF" sheetId="5" state="visible" r:id="rId5"/>
    <sheet name="Segments" sheetId="6" state="visible" r:id="rId6"/>
    <sheet name="WACC" sheetId="7" state="visible" r:id="rId7"/>
    <sheet name="DCF" sheetId="8" state="visible" r:id="rId8"/>
    <sheet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i val="1"/>
      <color rgb="00E65100"/>
      <sz val="10"/>
    </font>
    <font>
      <name val="Arial"/>
      <i val="1"/>
      <color rgb="00B71C1C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B71C1C"/>
      <sz val="10"/>
    </font>
    <font>
      <name val="Arial"/>
      <b val="1"/>
      <color rgb="00E65100"/>
      <sz val="10"/>
    </font>
    <font>
      <name val="Arial"/>
      <b val="1"/>
      <color rgb="001565C0"/>
      <sz val="10"/>
    </font>
    <font>
      <name val="Arial"/>
      <b val="1"/>
      <color rgb="001B5E20"/>
      <sz val="10"/>
    </font>
    <font>
      <name val="Arial"/>
      <b val="1"/>
      <color rgb="00B71C1C"/>
      <sz val="11"/>
    </font>
    <font>
      <name val="Arial"/>
      <color rgb="00444444"/>
      <sz val="8"/>
    </font>
  </fonts>
  <fills count="23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B71C1C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2" fillId="13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3" fontId="23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4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5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6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4" fillId="16" borderId="0" applyAlignment="1" pivotButton="0" quotePrefix="0" xfId="0">
      <alignment horizontal="left" vertical="center" wrapText="1" indent="1"/>
    </xf>
    <xf numFmtId="0" fontId="27" fillId="7" borderId="1" applyAlignment="1" pivotButton="0" quotePrefix="0" xfId="0">
      <alignment horizontal="left" vertical="center" indent="1"/>
    </xf>
    <xf numFmtId="0" fontId="27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8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8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left" vertical="center"/>
    </xf>
    <xf numFmtId="0" fontId="30" fillId="18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1" fillId="19" borderId="1" applyAlignment="1" pivotButton="0" quotePrefix="0" xfId="0">
      <alignment horizontal="center" vertical="center"/>
    </xf>
    <xf numFmtId="0" fontId="32" fillId="20" borderId="1" applyAlignment="1" pivotButton="0" quotePrefix="0" xfId="0">
      <alignment horizontal="center" vertical="center"/>
    </xf>
    <xf numFmtId="0" fontId="33" fillId="21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0" fillId="3" borderId="1" applyAlignment="1" pivotButton="0" quotePrefix="0" xfId="0">
      <alignment horizontal="left" vertical="center" indent="1"/>
    </xf>
    <xf numFmtId="0" fontId="34" fillId="22" borderId="1" applyAlignment="1" pivotButton="0" quotePrefix="0" xfId="0">
      <alignment horizontal="left" vertical="center" indent="1"/>
    </xf>
    <xf numFmtId="0" fontId="0" fillId="22" borderId="1" pivotButton="0" quotePrefix="0" xfId="0"/>
    <xf numFmtId="2" fontId="34" fillId="22" borderId="1" applyAlignment="1" pivotButton="0" quotePrefix="0" xfId="0">
      <alignment horizontal="center" vertical="center"/>
    </xf>
    <xf numFmtId="0" fontId="26" fillId="4" borderId="0" applyAlignment="1" pivotButton="0" quotePrefix="0" xfId="0">
      <alignment horizontal="center" vertical="center"/>
    </xf>
    <xf numFmtId="0" fontId="35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F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187267</v>
      </c>
    </row>
    <row r="8">
      <c r="A8" s="3" t="inlineStr">
        <is>
          <t>Gross Profit ($mm)</t>
        </is>
      </c>
      <c r="B8" s="7" t="n">
        <v>22813</v>
      </c>
    </row>
    <row r="9">
      <c r="A9" s="3" t="inlineStr">
        <is>
          <t>EBITDA ($mm)</t>
        </is>
      </c>
      <c r="B9" s="7" t="n">
        <v>8527</v>
      </c>
    </row>
    <row r="10">
      <c r="A10" s="3" t="inlineStr">
        <is>
          <t>EBIT ($mm)</t>
        </is>
      </c>
      <c r="B10" s="7" t="n">
        <v>2532</v>
      </c>
    </row>
    <row r="11">
      <c r="A11" s="3" t="inlineStr">
        <is>
          <t>Net Income ($mm)</t>
        </is>
      </c>
      <c r="B11" s="7" t="n">
        <v>-8182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F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136341</v>
      </c>
      <c r="C5" s="16" t="n">
        <v>158057</v>
      </c>
      <c r="D5" s="16" t="n">
        <v>176191</v>
      </c>
      <c r="E5" s="16" t="n">
        <v>184992</v>
      </c>
      <c r="F5" s="16" t="n">
        <v>187267</v>
      </c>
    </row>
    <row r="6">
      <c r="A6" s="17" t="inlineStr">
        <is>
          <t>(2)  Cost of Revenue (COGS)</t>
        </is>
      </c>
      <c r="B6" s="18" t="n">
        <v>111793</v>
      </c>
      <c r="C6" s="18" t="n">
        <v>132960</v>
      </c>
      <c r="D6" s="18" t="n">
        <v>151881</v>
      </c>
      <c r="E6" s="18" t="n">
        <v>161587</v>
      </c>
      <c r="F6" s="18" t="n">
        <v>164454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11915</v>
      </c>
      <c r="C9" s="18" t="n">
        <v>10888</v>
      </c>
      <c r="D9" s="18" t="n">
        <v>10732</v>
      </c>
      <c r="E9" s="18" t="n">
        <v>10310</v>
      </c>
      <c r="F9" s="18" t="n">
        <v>10881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19515</v>
      </c>
      <c r="C11" s="18" t="n">
        <v>18688</v>
      </c>
      <c r="D11" s="18" t="n">
        <v>18932</v>
      </c>
      <c r="E11" s="18" t="n">
        <v>18310</v>
      </c>
      <c r="F11" s="18" t="n">
        <v>20281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5960</v>
      </c>
      <c r="C14" s="18" t="n">
        <v>6493</v>
      </c>
      <c r="D14" s="18" t="n">
        <v>6523</v>
      </c>
      <c r="E14" s="18" t="n">
        <v>5867</v>
      </c>
      <c r="F14" s="18" t="n">
        <v>5995</v>
      </c>
    </row>
    <row r="15">
      <c r="A15" s="19" t="inlineStr">
        <is>
          <t>(8)  EBIT (Operating Income)</t>
        </is>
      </c>
      <c r="B15" s="24" t="n">
        <v>5033</v>
      </c>
      <c r="C15" s="24" t="n">
        <v>6409</v>
      </c>
      <c r="D15" s="24" t="n">
        <v>5378</v>
      </c>
      <c r="E15" s="24" t="n">
        <v>5095</v>
      </c>
      <c r="F15" s="24" t="n">
        <v>2532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1803</v>
      </c>
      <c r="C17" s="18" t="n">
        <v>1259</v>
      </c>
      <c r="D17" s="18" t="n">
        <v>1302</v>
      </c>
      <c r="E17" s="18" t="n">
        <v>1115</v>
      </c>
      <c r="F17" s="18" t="n">
        <v>1254</v>
      </c>
    </row>
    <row r="18">
      <c r="A18" s="21" t="inlineStr">
        <is>
          <t xml:space="preserve">     Interest Income</t>
        </is>
      </c>
      <c r="B18" s="18" t="n">
        <v>254</v>
      </c>
      <c r="C18" s="18" t="n">
        <v>639</v>
      </c>
      <c r="D18" s="18" t="n">
        <v>1567</v>
      </c>
      <c r="E18" s="18" t="n">
        <v>1540</v>
      </c>
      <c r="F18" s="18" t="n">
        <v>1490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17780</v>
      </c>
      <c r="C21" s="24" t="n">
        <v>-3016</v>
      </c>
      <c r="D21" s="24" t="n">
        <v>3967</v>
      </c>
      <c r="E21" s="24" t="n">
        <v>7233</v>
      </c>
      <c r="F21" s="24" t="n">
        <v>-11830</v>
      </c>
    </row>
    <row r="22">
      <c r="A22" s="17" t="inlineStr">
        <is>
          <t>(11) Income Tax Expense</t>
        </is>
      </c>
      <c r="B22" s="18" t="n">
        <v>-130</v>
      </c>
      <c r="C22" s="18" t="n">
        <v>-864</v>
      </c>
      <c r="D22" s="18" t="n">
        <v>-362</v>
      </c>
      <c r="E22" s="18" t="n">
        <v>1339</v>
      </c>
      <c r="F22" s="18" t="n">
        <v>-3668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17937</v>
      </c>
      <c r="C24" s="24" t="n">
        <v>-1981</v>
      </c>
      <c r="D24" s="24" t="n">
        <v>4347</v>
      </c>
      <c r="E24" s="24" t="n">
        <v>5879</v>
      </c>
      <c r="F24" s="24" t="n">
        <v>-8182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136341</v>
      </c>
      <c r="C30" s="16" t="n">
        <v>158057</v>
      </c>
      <c r="D30" s="16" t="n">
        <v>176191</v>
      </c>
      <c r="E30" s="16" t="n">
        <v>184992</v>
      </c>
      <c r="F30" s="16" t="n">
        <v>187267</v>
      </c>
    </row>
    <row r="31">
      <c r="A31" s="17" t="inlineStr">
        <is>
          <t>Cost of Revenue</t>
        </is>
      </c>
      <c r="B31" s="18" t="n">
        <v>111793</v>
      </c>
      <c r="C31" s="18" t="n">
        <v>132960</v>
      </c>
      <c r="D31" s="18" t="n">
        <v>151881</v>
      </c>
      <c r="E31" s="18" t="n">
        <v>161587</v>
      </c>
      <c r="F31" s="18" t="n">
        <v>164454</v>
      </c>
    </row>
    <row r="32">
      <c r="A32" s="26" t="inlineStr">
        <is>
          <t>Gross Profit</t>
        </is>
      </c>
      <c r="B32" s="27" t="n">
        <v>24548</v>
      </c>
      <c r="C32" s="27" t="n">
        <v>25097</v>
      </c>
      <c r="D32" s="27" t="n">
        <v>24310</v>
      </c>
      <c r="E32" s="27" t="n">
        <v>23405</v>
      </c>
      <c r="F32" s="27" t="n">
        <v>22813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7600</v>
      </c>
      <c r="C34" s="18" t="n">
        <v>7800</v>
      </c>
      <c r="D34" s="18" t="n">
        <v>8200</v>
      </c>
      <c r="E34" s="18" t="n">
        <v>8000</v>
      </c>
      <c r="F34" s="18" t="n">
        <v>9400</v>
      </c>
    </row>
    <row r="35">
      <c r="A35" s="17" t="inlineStr">
        <is>
          <t>General &amp; Administrative</t>
        </is>
      </c>
      <c r="B35" s="18" t="n">
        <v>0</v>
      </c>
      <c r="C35" s="18" t="n">
        <v>0</v>
      </c>
      <c r="D35" s="18" t="n">
        <v>0</v>
      </c>
      <c r="E35" s="18" t="n">
        <v>0</v>
      </c>
      <c r="F35" s="18" t="n">
        <v>0</v>
      </c>
    </row>
    <row r="36">
      <c r="A36" s="17" t="inlineStr">
        <is>
          <t>Selling &amp; Marketing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SG&amp;A (Combined)</t>
        </is>
      </c>
      <c r="B37" s="18" t="n">
        <v>11915</v>
      </c>
      <c r="C37" s="18" t="n">
        <v>10888</v>
      </c>
      <c r="D37" s="18" t="n">
        <v>10732</v>
      </c>
      <c r="E37" s="18" t="n">
        <v>10310</v>
      </c>
      <c r="F37" s="18" t="n">
        <v>10881</v>
      </c>
    </row>
    <row r="38">
      <c r="A38" s="17" t="inlineStr">
        <is>
          <t>Other Expenses</t>
        </is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0</v>
      </c>
    </row>
    <row r="39">
      <c r="A39" s="26" t="inlineStr">
        <is>
          <t>Total Operating Expenses</t>
        </is>
      </c>
      <c r="B39" s="27" t="n">
        <v>19515</v>
      </c>
      <c r="C39" s="27" t="n">
        <v>18688</v>
      </c>
      <c r="D39" s="27" t="n">
        <v>18932</v>
      </c>
      <c r="E39" s="27" t="n">
        <v>18310</v>
      </c>
      <c r="F39" s="27" t="n">
        <v>20281</v>
      </c>
    </row>
    <row r="40">
      <c r="A40" s="17" t="inlineStr">
        <is>
          <t>Cost &amp; Expenses (COGS + Opex)</t>
        </is>
      </c>
      <c r="B40" s="18" t="n">
        <v>131308</v>
      </c>
      <c r="C40" s="18" t="n">
        <v>151648</v>
      </c>
      <c r="D40" s="18" t="n">
        <v>170813</v>
      </c>
      <c r="E40" s="18" t="n">
        <v>179897</v>
      </c>
      <c r="F40" s="18" t="n">
        <v>184735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5033</v>
      </c>
      <c r="C42" s="16" t="n">
        <v>6409</v>
      </c>
      <c r="D42" s="16" t="n">
        <v>5378</v>
      </c>
      <c r="E42" s="16" t="n">
        <v>5095</v>
      </c>
      <c r="F42" s="16" t="n">
        <v>2532</v>
      </c>
    </row>
    <row r="43">
      <c r="A43" s="17" t="inlineStr">
        <is>
          <t>EBIT (FMP field)</t>
        </is>
      </c>
      <c r="B43" s="18" t="n">
        <v>5033</v>
      </c>
      <c r="C43" s="18" t="n">
        <v>6409</v>
      </c>
      <c r="D43" s="18" t="n">
        <v>5378</v>
      </c>
      <c r="E43" s="18" t="n">
        <v>5095</v>
      </c>
      <c r="F43" s="18" t="n">
        <v>2532</v>
      </c>
    </row>
    <row r="44">
      <c r="A44" s="26" t="inlineStr">
        <is>
          <t>EBITDA</t>
        </is>
      </c>
      <c r="B44" s="27" t="n">
        <v>10993</v>
      </c>
      <c r="C44" s="27" t="n">
        <v>12902</v>
      </c>
      <c r="D44" s="27" t="n">
        <v>11901</v>
      </c>
      <c r="E44" s="27" t="n">
        <v>10962</v>
      </c>
      <c r="F44" s="27" t="n">
        <v>8527</v>
      </c>
    </row>
    <row r="45">
      <c r="A45" s="17" t="inlineStr">
        <is>
          <t>Depreciation &amp; Amortisation</t>
        </is>
      </c>
      <c r="B45" s="18" t="n">
        <v>5960</v>
      </c>
      <c r="C45" s="18" t="n">
        <v>6493</v>
      </c>
      <c r="D45" s="18" t="n">
        <v>6523</v>
      </c>
      <c r="E45" s="18" t="n">
        <v>5867</v>
      </c>
      <c r="F45" s="18" t="n">
        <v>5995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254</v>
      </c>
      <c r="C47" s="18" t="n">
        <v>639</v>
      </c>
      <c r="D47" s="18" t="n">
        <v>1567</v>
      </c>
      <c r="E47" s="18" t="n">
        <v>1540</v>
      </c>
      <c r="F47" s="18" t="n">
        <v>1490</v>
      </c>
    </row>
    <row r="48">
      <c r="A48" s="17" t="inlineStr">
        <is>
          <t>Interest Expense</t>
        </is>
      </c>
      <c r="B48" s="18" t="n">
        <v>1803</v>
      </c>
      <c r="C48" s="18" t="n">
        <v>1259</v>
      </c>
      <c r="D48" s="18" t="n">
        <v>1302</v>
      </c>
      <c r="E48" s="18" t="n">
        <v>1115</v>
      </c>
      <c r="F48" s="18" t="n">
        <v>1254</v>
      </c>
    </row>
    <row r="49">
      <c r="A49" s="17" t="inlineStr">
        <is>
          <t>Net Interest Income</t>
        </is>
      </c>
      <c r="B49" s="18" t="n">
        <v>-1549</v>
      </c>
      <c r="C49" s="18" t="n">
        <v>-620</v>
      </c>
      <c r="D49" s="18" t="n">
        <v>265</v>
      </c>
      <c r="E49" s="18" t="n">
        <v>425</v>
      </c>
      <c r="F49" s="18" t="n">
        <v>236</v>
      </c>
    </row>
    <row r="50">
      <c r="A50" s="17" t="inlineStr">
        <is>
          <t>Non-Operating Income (ex-interest)</t>
        </is>
      </c>
      <c r="B50" s="18" t="n">
        <v>0</v>
      </c>
      <c r="C50" s="18" t="n">
        <v>0</v>
      </c>
      <c r="D50" s="18" t="n">
        <v>0</v>
      </c>
      <c r="E50" s="18" t="n">
        <v>0</v>
      </c>
      <c r="F50" s="18" t="n">
        <v>0</v>
      </c>
    </row>
    <row r="51">
      <c r="A51" s="17" t="inlineStr">
        <is>
          <t>Total Other Income / (Expenses)</t>
        </is>
      </c>
      <c r="B51" s="18" t="n">
        <v>12747</v>
      </c>
      <c r="C51" s="18" t="n">
        <v>-9425</v>
      </c>
      <c r="D51" s="18" t="n">
        <v>-1411</v>
      </c>
      <c r="E51" s="18" t="n">
        <v>2138</v>
      </c>
      <c r="F51" s="18" t="n">
        <v>-14362</v>
      </c>
    </row>
    <row r="52">
      <c r="A52" s="26" t="inlineStr">
        <is>
          <t>EBT / Income Before Tax</t>
        </is>
      </c>
      <c r="B52" s="27" t="n">
        <v>17780</v>
      </c>
      <c r="C52" s="27" t="n">
        <v>-3016</v>
      </c>
      <c r="D52" s="27" t="n">
        <v>3967</v>
      </c>
      <c r="E52" s="27" t="n">
        <v>7233</v>
      </c>
      <c r="F52" s="27" t="n">
        <v>-11830</v>
      </c>
    </row>
    <row r="53">
      <c r="A53" s="17" t="inlineStr">
        <is>
          <t>Income Tax Expense</t>
        </is>
      </c>
      <c r="B53" s="18" t="n">
        <v>-130</v>
      </c>
      <c r="C53" s="18" t="n">
        <v>-864</v>
      </c>
      <c r="D53" s="18" t="n">
        <v>-362</v>
      </c>
      <c r="E53" s="18" t="n">
        <v>1339</v>
      </c>
      <c r="F53" s="18" t="n">
        <v>-3668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17910</v>
      </c>
      <c r="C55" s="18" t="n">
        <v>-2152</v>
      </c>
      <c r="D55" s="18" t="n">
        <v>4329</v>
      </c>
      <c r="E55" s="18" t="n">
        <v>5894</v>
      </c>
      <c r="F55" s="18" t="n">
        <v>-8162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17937</v>
      </c>
      <c r="C59" s="27" t="n">
        <v>-1981</v>
      </c>
      <c r="D59" s="27" t="n">
        <v>4347</v>
      </c>
      <c r="E59" s="27" t="n">
        <v>5879</v>
      </c>
      <c r="F59" s="27" t="n">
        <v>-8182</v>
      </c>
    </row>
    <row r="60">
      <c r="A60" s="15" t="inlineStr">
        <is>
          <t>Bottom Line Net Income</t>
        </is>
      </c>
      <c r="B60" s="16" t="n">
        <v>17937</v>
      </c>
      <c r="C60" s="16" t="n">
        <v>-1981</v>
      </c>
      <c r="D60" s="16" t="n">
        <v>4347</v>
      </c>
      <c r="E60" s="16" t="n">
        <v>5879</v>
      </c>
      <c r="F60" s="16" t="n">
        <v>-8182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4.49</v>
      </c>
      <c r="C62" s="18" t="n">
        <v>-0.49</v>
      </c>
      <c r="D62" s="18" t="n">
        <v>1.09</v>
      </c>
      <c r="E62" s="18" t="n">
        <v>1.48</v>
      </c>
      <c r="F62" s="18" t="n">
        <v>-2.06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3991</v>
      </c>
      <c r="C64" s="18" t="n">
        <v>4014</v>
      </c>
      <c r="D64" s="18" t="n">
        <v>3998</v>
      </c>
      <c r="E64" s="18" t="n">
        <v>3978</v>
      </c>
      <c r="F64" s="18" t="n">
        <v>3979</v>
      </c>
    </row>
    <row r="65">
      <c r="A65" s="17" t="inlineStr">
        <is>
          <t>Shares Outstanding — Diluted (mm)</t>
        </is>
      </c>
      <c r="B65" s="18" t="n">
        <v>4034</v>
      </c>
      <c r="C65" s="18" t="n">
        <v>4014</v>
      </c>
      <c r="D65" s="18" t="n">
        <v>4041</v>
      </c>
      <c r="E65" s="18" t="n">
        <v>4021</v>
      </c>
      <c r="F65" s="18" t="n">
        <v>3979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F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20540</v>
      </c>
      <c r="C5" s="18" t="n">
        <v>25134</v>
      </c>
      <c r="D5" s="18" t="n">
        <v>24862</v>
      </c>
      <c r="E5" s="18" t="n">
        <v>22935</v>
      </c>
      <c r="F5" s="18" t="n">
        <v>23356</v>
      </c>
    </row>
    <row r="6">
      <c r="A6" s="17" t="inlineStr">
        <is>
          <t>(2)  Receivables</t>
        </is>
      </c>
      <c r="B6" s="18" t="n">
        <v>43913</v>
      </c>
      <c r="C6" s="18" t="n">
        <v>54449</v>
      </c>
      <c r="D6" s="18" t="n">
        <v>62026</v>
      </c>
      <c r="E6" s="18" t="n">
        <v>66573</v>
      </c>
      <c r="F6" s="18" t="n">
        <v>64528</v>
      </c>
    </row>
    <row r="7">
      <c r="A7" s="17" t="inlineStr">
        <is>
          <t>(3)  Inventory</t>
        </is>
      </c>
      <c r="B7" s="18" t="n">
        <v>12065</v>
      </c>
      <c r="C7" s="18" t="n">
        <v>14080</v>
      </c>
      <c r="D7" s="18" t="n">
        <v>15651</v>
      </c>
      <c r="E7" s="18" t="n">
        <v>14951</v>
      </c>
      <c r="F7" s="18" t="n">
        <v>15285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108996</v>
      </c>
      <c r="C9" s="24" t="n">
        <v>116476</v>
      </c>
      <c r="D9" s="24" t="n">
        <v>121481</v>
      </c>
      <c r="E9" s="24" t="n">
        <v>124474</v>
      </c>
      <c r="F9" s="24" t="n">
        <v>123487</v>
      </c>
    </row>
    <row r="10">
      <c r="A10" s="17" t="inlineStr">
        <is>
          <t>(6)  PP&amp;E (Net)</t>
        </is>
      </c>
      <c r="B10" s="18" t="n">
        <v>63500</v>
      </c>
      <c r="C10" s="18" t="n">
        <v>60037</v>
      </c>
      <c r="D10" s="18" t="n">
        <v>62205</v>
      </c>
      <c r="E10" s="18" t="n">
        <v>64875</v>
      </c>
      <c r="F10" s="18" t="n">
        <v>65828</v>
      </c>
    </row>
    <row r="11">
      <c r="A11" s="17" t="inlineStr">
        <is>
          <t>(7)  Goodwill</t>
        </is>
      </c>
      <c r="B11" s="18" t="n">
        <v>0</v>
      </c>
      <c r="C11" s="18" t="n">
        <v>0</v>
      </c>
      <c r="D11" s="18" t="n">
        <v>683</v>
      </c>
      <c r="E11" s="18" t="n">
        <v>658</v>
      </c>
      <c r="F11" s="18" t="n">
        <v>483</v>
      </c>
    </row>
    <row r="12">
      <c r="A12" s="17" t="inlineStr">
        <is>
          <t>(8)  Deferred Tax Assets</t>
        </is>
      </c>
      <c r="B12" s="18" t="n">
        <v>13796</v>
      </c>
      <c r="C12" s="18" t="n">
        <v>15552</v>
      </c>
      <c r="D12" s="18" t="n">
        <v>16985</v>
      </c>
      <c r="E12" s="18" t="n">
        <v>16375</v>
      </c>
      <c r="F12" s="18" t="n">
        <v>21953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148039</v>
      </c>
      <c r="C14" s="24" t="n">
        <v>139408</v>
      </c>
      <c r="D14" s="24" t="n">
        <v>151829</v>
      </c>
      <c r="E14" s="24" t="n">
        <v>160722</v>
      </c>
      <c r="F14" s="24" t="n">
        <v>165673</v>
      </c>
    </row>
    <row r="15">
      <c r="A15" s="19" t="inlineStr">
        <is>
          <t>(11) Total Assets</t>
        </is>
      </c>
      <c r="B15" s="24" t="n">
        <v>257035</v>
      </c>
      <c r="C15" s="24" t="n">
        <v>255884</v>
      </c>
      <c r="D15" s="24" t="n">
        <v>273310</v>
      </c>
      <c r="E15" s="24" t="n">
        <v>285196</v>
      </c>
      <c r="F15" s="24" t="n">
        <v>289160</v>
      </c>
    </row>
    <row r="16" ht="6" customHeight="1"/>
    <row r="17">
      <c r="A17" s="17" t="inlineStr">
        <is>
          <t>(12) Accounts Payable</t>
        </is>
      </c>
      <c r="B17" s="18" t="n">
        <v>22349</v>
      </c>
      <c r="C17" s="18" t="n">
        <v>25605</v>
      </c>
      <c r="D17" s="18" t="n">
        <v>25992</v>
      </c>
      <c r="E17" s="18" t="n">
        <v>24128</v>
      </c>
      <c r="F17" s="18" t="n">
        <v>25809</v>
      </c>
    </row>
    <row r="18">
      <c r="A18" s="17" t="inlineStr">
        <is>
          <t>(13) Short-Term Borrowings</t>
        </is>
      </c>
      <c r="B18" s="18" t="n">
        <v>49692</v>
      </c>
      <c r="C18" s="18" t="n">
        <v>50164</v>
      </c>
      <c r="D18" s="18" t="n">
        <v>49669</v>
      </c>
      <c r="E18" s="18" t="n">
        <v>55507</v>
      </c>
      <c r="F18" s="18" t="n">
        <v>57869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90727</v>
      </c>
      <c r="C21" s="24" t="n">
        <v>96866</v>
      </c>
      <c r="D21" s="24" t="n">
        <v>101531</v>
      </c>
      <c r="E21" s="24" t="n">
        <v>106859</v>
      </c>
      <c r="F21" s="24" t="n">
        <v>114890</v>
      </c>
    </row>
    <row r="22">
      <c r="A22" s="17" t="inlineStr">
        <is>
          <t>(17) Long-Term Debt</t>
        </is>
      </c>
      <c r="B22" s="18" t="n">
        <v>88400</v>
      </c>
      <c r="C22" s="18" t="n">
        <v>88805</v>
      </c>
      <c r="D22" s="18" t="n">
        <v>99562</v>
      </c>
      <c r="E22" s="18" t="n">
        <v>103573</v>
      </c>
      <c r="F22" s="18" t="n">
        <v>106921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208413</v>
      </c>
      <c r="C25" s="24" t="n">
        <v>212717</v>
      </c>
      <c r="D25" s="24" t="n">
        <v>230512</v>
      </c>
      <c r="E25" s="24" t="n">
        <v>240338</v>
      </c>
      <c r="F25" s="24" t="n">
        <v>253180</v>
      </c>
    </row>
    <row r="26" ht="6" customHeight="1"/>
    <row r="27">
      <c r="A27" s="17" t="inlineStr">
        <is>
          <t>(21) Common Stock &amp; APIC</t>
        </is>
      </c>
      <c r="B27" s="18" t="n">
        <v>41</v>
      </c>
      <c r="C27" s="18" t="n">
        <v>42</v>
      </c>
      <c r="D27" s="18" t="n">
        <v>42</v>
      </c>
      <c r="E27" s="18" t="n">
        <v>42</v>
      </c>
      <c r="F27" s="18" t="n">
        <v>41</v>
      </c>
    </row>
    <row r="28">
      <c r="A28" s="17" t="inlineStr">
        <is>
          <t>(22) Retained Earnings</t>
        </is>
      </c>
      <c r="B28" s="18" t="n">
        <v>35769</v>
      </c>
      <c r="C28" s="18" t="n">
        <v>31754</v>
      </c>
      <c r="D28" s="18" t="n">
        <v>31029</v>
      </c>
      <c r="E28" s="18" t="n">
        <v>33740</v>
      </c>
      <c r="F28" s="18" t="n">
        <v>22508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48519</v>
      </c>
      <c r="C30" s="24" t="n">
        <v>43242</v>
      </c>
      <c r="D30" s="24" t="n">
        <v>42773</v>
      </c>
      <c r="E30" s="24" t="n">
        <v>44835</v>
      </c>
      <c r="F30" s="24" t="n">
        <v>35952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20540</v>
      </c>
      <c r="C36" s="18" t="n">
        <v>25134</v>
      </c>
      <c r="D36" s="18" t="n">
        <v>24862</v>
      </c>
      <c r="E36" s="18" t="n">
        <v>22935</v>
      </c>
      <c r="F36" s="18" t="n">
        <v>23356</v>
      </c>
    </row>
    <row r="37">
      <c r="A37" s="17" t="inlineStr">
        <is>
          <t>Short-Term Investments</t>
        </is>
      </c>
      <c r="B37" s="18" t="n">
        <v>29053</v>
      </c>
      <c r="C37" s="18" t="n">
        <v>18936</v>
      </c>
      <c r="D37" s="18" t="n">
        <v>15309</v>
      </c>
      <c r="E37" s="18" t="n">
        <v>15413</v>
      </c>
      <c r="F37" s="18" t="n">
        <v>15131</v>
      </c>
    </row>
    <row r="38">
      <c r="A38" s="28" t="inlineStr">
        <is>
          <t>Cash &amp; Short-Term Investments</t>
        </is>
      </c>
      <c r="B38" s="29" t="n">
        <v>49593</v>
      </c>
      <c r="C38" s="29" t="n">
        <v>44070</v>
      </c>
      <c r="D38" s="29" t="n">
        <v>40171</v>
      </c>
      <c r="E38" s="29" t="n">
        <v>38348</v>
      </c>
      <c r="F38" s="29" t="n">
        <v>38487</v>
      </c>
    </row>
    <row r="39">
      <c r="A39" s="17" t="inlineStr">
        <is>
          <t>Accounts Receivable (Trade)</t>
        </is>
      </c>
      <c r="B39" s="18" t="n">
        <v>43913</v>
      </c>
      <c r="C39" s="18" t="n">
        <v>54449</v>
      </c>
      <c r="D39" s="18" t="n">
        <v>62026</v>
      </c>
      <c r="E39" s="18" t="n">
        <v>66573</v>
      </c>
      <c r="F39" s="18" t="n">
        <v>64528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43913</v>
      </c>
      <c r="C41" s="29" t="n">
        <v>54449</v>
      </c>
      <c r="D41" s="29" t="n">
        <v>62026</v>
      </c>
      <c r="E41" s="29" t="n">
        <v>66573</v>
      </c>
      <c r="F41" s="29" t="n">
        <v>64528</v>
      </c>
    </row>
    <row r="42">
      <c r="A42" s="17" t="inlineStr">
        <is>
          <t>Inventory</t>
        </is>
      </c>
      <c r="B42" s="18" t="n">
        <v>12065</v>
      </c>
      <c r="C42" s="18" t="n">
        <v>14080</v>
      </c>
      <c r="D42" s="18" t="n">
        <v>15651</v>
      </c>
      <c r="E42" s="18" t="n">
        <v>14951</v>
      </c>
      <c r="F42" s="18" t="n">
        <v>15285</v>
      </c>
    </row>
    <row r="43">
      <c r="A43" s="17" t="inlineStr">
        <is>
          <t>Prepaids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3425</v>
      </c>
      <c r="C44" s="18" t="n">
        <v>3877</v>
      </c>
      <c r="D44" s="18" t="n">
        <v>3633</v>
      </c>
      <c r="E44" s="18" t="n">
        <v>4602</v>
      </c>
      <c r="F44" s="18" t="n">
        <v>5187</v>
      </c>
    </row>
    <row r="45">
      <c r="A45" s="26" t="inlineStr">
        <is>
          <t>Total Current Assets</t>
        </is>
      </c>
      <c r="B45" s="27" t="n">
        <v>108996</v>
      </c>
      <c r="C45" s="27" t="n">
        <v>116476</v>
      </c>
      <c r="D45" s="27" t="n">
        <v>121481</v>
      </c>
      <c r="E45" s="27" t="n">
        <v>124474</v>
      </c>
      <c r="F45" s="27" t="n">
        <v>123487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63500</v>
      </c>
      <c r="C47" s="18" t="n">
        <v>60037</v>
      </c>
      <c r="D47" s="18" t="n">
        <v>62205</v>
      </c>
      <c r="E47" s="18" t="n">
        <v>64875</v>
      </c>
      <c r="F47" s="18" t="n">
        <v>65828</v>
      </c>
    </row>
    <row r="48">
      <c r="A48" s="17" t="inlineStr">
        <is>
          <t>Goodwill</t>
        </is>
      </c>
      <c r="B48" s="18" t="n">
        <v>0</v>
      </c>
      <c r="C48" s="18" t="n">
        <v>0</v>
      </c>
      <c r="D48" s="18" t="n">
        <v>683</v>
      </c>
      <c r="E48" s="18" t="n">
        <v>658</v>
      </c>
      <c r="F48" s="18" t="n">
        <v>483</v>
      </c>
    </row>
    <row r="49">
      <c r="A49" s="17" t="inlineStr">
        <is>
          <t>Intangible Assets</t>
        </is>
      </c>
      <c r="B49" s="18" t="n">
        <v>2090</v>
      </c>
      <c r="C49" s="18" t="n">
        <v>2350</v>
      </c>
      <c r="D49" s="18" t="n">
        <v>0</v>
      </c>
      <c r="E49" s="18" t="n">
        <v>0</v>
      </c>
      <c r="F49" s="18" t="n">
        <v>0</v>
      </c>
    </row>
    <row r="50">
      <c r="A50" s="17" t="inlineStr">
        <is>
          <t>Long-Term Investments</t>
        </is>
      </c>
      <c r="B50" s="18" t="n">
        <v>4545</v>
      </c>
      <c r="C50" s="18" t="n">
        <v>2798</v>
      </c>
      <c r="D50" s="18" t="n">
        <v>5548</v>
      </c>
      <c r="E50" s="18" t="n">
        <v>6821</v>
      </c>
      <c r="F50" s="18" t="n">
        <v>64560</v>
      </c>
    </row>
    <row r="51">
      <c r="A51" s="17" t="inlineStr">
        <is>
          <t>Tax Assets (Deferred)</t>
        </is>
      </c>
      <c r="B51" s="18" t="n">
        <v>13796</v>
      </c>
      <c r="C51" s="18" t="n">
        <v>15552</v>
      </c>
      <c r="D51" s="18" t="n">
        <v>16985</v>
      </c>
      <c r="E51" s="18" t="n">
        <v>16375</v>
      </c>
      <c r="F51" s="18" t="n">
        <v>21953</v>
      </c>
    </row>
    <row r="52">
      <c r="A52" s="17" t="inlineStr">
        <is>
          <t>Total Investments</t>
        </is>
      </c>
      <c r="B52" s="18" t="n">
        <v>33598</v>
      </c>
      <c r="C52" s="18" t="n">
        <v>21734</v>
      </c>
      <c r="D52" s="18" t="n">
        <v>20857</v>
      </c>
      <c r="E52" s="18" t="n">
        <v>22234</v>
      </c>
      <c r="F52" s="18" t="n">
        <v>79691</v>
      </c>
    </row>
    <row r="53">
      <c r="A53" s="17" t="inlineStr">
        <is>
          <t>Other Non-Current Assets</t>
        </is>
      </c>
      <c r="B53" s="18" t="n">
        <v>64108</v>
      </c>
      <c r="C53" s="18" t="n">
        <v>58671</v>
      </c>
      <c r="D53" s="18" t="n">
        <v>67091</v>
      </c>
      <c r="E53" s="18" t="n">
        <v>71993</v>
      </c>
      <c r="F53" s="18" t="n">
        <v>12849</v>
      </c>
    </row>
    <row r="54">
      <c r="A54" s="26" t="inlineStr">
        <is>
          <t>Total Non-Current Assets</t>
        </is>
      </c>
      <c r="B54" s="27" t="n">
        <v>148039</v>
      </c>
      <c r="C54" s="27" t="n">
        <v>139408</v>
      </c>
      <c r="D54" s="27" t="n">
        <v>151829</v>
      </c>
      <c r="E54" s="27" t="n">
        <v>160722</v>
      </c>
      <c r="F54" s="27" t="n">
        <v>165673</v>
      </c>
    </row>
    <row r="55">
      <c r="A55" s="13" t="inlineStr">
        <is>
          <t>TOTAL ASSETS</t>
        </is>
      </c>
      <c r="B55" s="30" t="n">
        <v>257035</v>
      </c>
      <c r="C55" s="30" t="n">
        <v>255884</v>
      </c>
      <c r="D55" s="30" t="n">
        <v>273310</v>
      </c>
      <c r="E55" s="30" t="n">
        <v>285196</v>
      </c>
      <c r="F55" s="30" t="n">
        <v>289160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22349</v>
      </c>
      <c r="C57" s="18" t="n">
        <v>25605</v>
      </c>
      <c r="D57" s="18" t="n">
        <v>25992</v>
      </c>
      <c r="E57" s="18" t="n">
        <v>24128</v>
      </c>
      <c r="F57" s="18" t="n">
        <v>25809</v>
      </c>
    </row>
    <row r="58">
      <c r="A58" s="17" t="inlineStr">
        <is>
          <t>Short-Term Debt</t>
        </is>
      </c>
      <c r="B58" s="18" t="n">
        <v>49692</v>
      </c>
      <c r="C58" s="18" t="n">
        <v>50164</v>
      </c>
      <c r="D58" s="18" t="n">
        <v>49669</v>
      </c>
      <c r="E58" s="18" t="n">
        <v>55507</v>
      </c>
      <c r="F58" s="18" t="n">
        <v>57869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2349</v>
      </c>
      <c r="C60" s="18" t="n">
        <v>2404</v>
      </c>
      <c r="D60" s="18" t="n">
        <v>2515</v>
      </c>
      <c r="E60" s="18" t="n">
        <v>3331</v>
      </c>
      <c r="F60" s="18" t="n">
        <v>4489</v>
      </c>
    </row>
    <row r="61">
      <c r="A61" s="17" t="inlineStr">
        <is>
          <t>Accrued &amp; Other Current Liabilities</t>
        </is>
      </c>
      <c r="B61" s="18" t="n">
        <v>13771</v>
      </c>
      <c r="C61" s="18" t="n">
        <v>15744</v>
      </c>
      <c r="D61" s="18" t="n">
        <v>21650</v>
      </c>
      <c r="E61" s="18" t="n">
        <v>20234</v>
      </c>
      <c r="F61" s="18" t="n">
        <v>22657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90727</v>
      </c>
      <c r="C63" s="27" t="n">
        <v>96866</v>
      </c>
      <c r="D63" s="27" t="n">
        <v>101531</v>
      </c>
      <c r="E63" s="27" t="n">
        <v>106859</v>
      </c>
      <c r="F63" s="27" t="n">
        <v>114890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88400</v>
      </c>
      <c r="C65" s="18" t="n">
        <v>88805</v>
      </c>
      <c r="D65" s="18" t="n">
        <v>99562</v>
      </c>
      <c r="E65" s="18" t="n">
        <v>103573</v>
      </c>
      <c r="F65" s="18" t="n">
        <v>106921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4683</v>
      </c>
      <c r="C67" s="18" t="n">
        <v>4883</v>
      </c>
      <c r="D67" s="18" t="n">
        <v>5051</v>
      </c>
      <c r="E67" s="18" t="n">
        <v>4910</v>
      </c>
      <c r="F67" s="18" t="n">
        <v>5360</v>
      </c>
    </row>
    <row r="68">
      <c r="A68" s="17" t="inlineStr">
        <is>
          <t>Deferred Tax Liabilities</t>
        </is>
      </c>
      <c r="B68" s="18" t="n">
        <v>1581</v>
      </c>
      <c r="C68" s="18" t="n">
        <v>1549</v>
      </c>
      <c r="D68" s="18" t="n">
        <v>1005</v>
      </c>
      <c r="E68" s="18" t="n">
        <v>1074</v>
      </c>
      <c r="F68" s="18" t="n">
        <v>1354</v>
      </c>
    </row>
    <row r="69">
      <c r="A69" s="17" t="inlineStr">
        <is>
          <t>Other Non-Current Liabilities</t>
        </is>
      </c>
      <c r="B69" s="18" t="n">
        <v>21974</v>
      </c>
      <c r="C69" s="18" t="n">
        <v>19513</v>
      </c>
      <c r="D69" s="18" t="n">
        <v>21968</v>
      </c>
      <c r="E69" s="18" t="n">
        <v>22140</v>
      </c>
      <c r="F69" s="18" t="n">
        <v>21872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208413</v>
      </c>
      <c r="C71" s="30" t="n">
        <v>212717</v>
      </c>
      <c r="D71" s="30" t="n">
        <v>230512</v>
      </c>
      <c r="E71" s="30" t="n">
        <v>240338</v>
      </c>
      <c r="F71" s="30" t="n">
        <v>253180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41</v>
      </c>
      <c r="C73" s="18" t="n">
        <v>42</v>
      </c>
      <c r="D73" s="18" t="n">
        <v>42</v>
      </c>
      <c r="E73" s="18" t="n">
        <v>42</v>
      </c>
      <c r="F73" s="18" t="n">
        <v>41</v>
      </c>
    </row>
    <row r="74">
      <c r="A74" s="17" t="inlineStr">
        <is>
          <t>Retained Earnings</t>
        </is>
      </c>
      <c r="B74" s="18" t="n">
        <v>35769</v>
      </c>
      <c r="C74" s="18" t="n">
        <v>31754</v>
      </c>
      <c r="D74" s="18" t="n">
        <v>31029</v>
      </c>
      <c r="E74" s="18" t="n">
        <v>33740</v>
      </c>
      <c r="F74" s="18" t="n">
        <v>22508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103</v>
      </c>
      <c r="C77" s="18" t="n">
        <v>-75</v>
      </c>
      <c r="D77" s="18" t="n">
        <v>25</v>
      </c>
      <c r="E77" s="18" t="n">
        <v>23</v>
      </c>
      <c r="F77" s="18" t="n">
        <v>28</v>
      </c>
    </row>
    <row r="78">
      <c r="A78" s="26" t="inlineStr">
        <is>
          <t>Total Equity (inc. Minority)</t>
        </is>
      </c>
      <c r="B78" s="27" t="n">
        <v>48622</v>
      </c>
      <c r="C78" s="27" t="n">
        <v>43167</v>
      </c>
      <c r="D78" s="27" t="n">
        <v>42798</v>
      </c>
      <c r="E78" s="27" t="n">
        <v>44858</v>
      </c>
      <c r="F78" s="27" t="n">
        <v>35980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F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15787</v>
      </c>
      <c r="C5" s="24" t="n">
        <v>6853</v>
      </c>
      <c r="D5" s="24" t="n">
        <v>14918</v>
      </c>
      <c r="E5" s="24" t="n">
        <v>15423</v>
      </c>
      <c r="F5" s="24" t="n">
        <v>21282</v>
      </c>
    </row>
    <row r="6">
      <c r="A6" s="17" t="inlineStr">
        <is>
          <t>(2)  Capital Expenditures</t>
        </is>
      </c>
      <c r="B6" s="18" t="n">
        <v>-6227</v>
      </c>
      <c r="C6" s="18" t="n">
        <v>-6866</v>
      </c>
      <c r="D6" s="18" t="n">
        <v>-8236</v>
      </c>
      <c r="E6" s="18" t="n">
        <v>-8684</v>
      </c>
      <c r="F6" s="18" t="n">
        <v>-8815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-22990</v>
      </c>
      <c r="C9" s="18" t="n">
        <v>5275</v>
      </c>
      <c r="D9" s="18" t="n">
        <v>8155</v>
      </c>
      <c r="E9" s="18" t="n">
        <v>11356</v>
      </c>
      <c r="F9" s="18" t="n">
        <v>39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</row>
    <row r="12">
      <c r="A12" s="17" t="inlineStr">
        <is>
          <t>(7)  Dividends Paid</t>
        </is>
      </c>
      <c r="B12" s="18" t="n">
        <v>-403</v>
      </c>
      <c r="C12" s="18" t="n">
        <v>-2009</v>
      </c>
      <c r="D12" s="18" t="n">
        <v>-4995</v>
      </c>
      <c r="E12" s="18" t="n">
        <v>-3118</v>
      </c>
      <c r="F12" s="18" t="n">
        <v>-2989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9560</v>
      </c>
      <c r="C15" s="24" t="n">
        <v>-13</v>
      </c>
      <c r="D15" s="24" t="n">
        <v>6682</v>
      </c>
      <c r="E15" s="24" t="n">
        <v>6739</v>
      </c>
      <c r="F15" s="24" t="n">
        <v>12467</v>
      </c>
    </row>
    <row r="16">
      <c r="A16" s="15" t="inlineStr">
        <is>
          <t xml:space="preserve">     Net Change in Cash</t>
        </is>
      </c>
      <c r="B16" s="16" t="n">
        <v>-5198</v>
      </c>
      <c r="C16" s="16" t="n">
        <v>4603</v>
      </c>
      <c r="D16" s="16" t="n">
        <v>-230</v>
      </c>
      <c r="E16" s="16" t="n">
        <v>-1920</v>
      </c>
      <c r="F16" s="16" t="n">
        <v>560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17910</v>
      </c>
      <c r="C21" s="18" t="n">
        <v>-2152</v>
      </c>
      <c r="D21" s="18" t="n">
        <v>4347</v>
      </c>
      <c r="E21" s="18" t="n">
        <v>5894</v>
      </c>
      <c r="F21" s="18" t="n">
        <v>-8162</v>
      </c>
    </row>
    <row r="22">
      <c r="A22" s="17" t="inlineStr">
        <is>
          <t>Depreciation &amp; Amortisation</t>
        </is>
      </c>
      <c r="B22" s="18" t="n">
        <v>5960</v>
      </c>
      <c r="C22" s="18" t="n">
        <v>6493</v>
      </c>
      <c r="D22" s="18" t="n">
        <v>6523</v>
      </c>
      <c r="E22" s="18" t="n">
        <v>5867</v>
      </c>
      <c r="F22" s="18" t="n">
        <v>7834</v>
      </c>
    </row>
    <row r="23">
      <c r="A23" s="17" t="inlineStr">
        <is>
          <t>Deferred Income Tax</t>
        </is>
      </c>
      <c r="B23" s="18" t="n">
        <v>-563</v>
      </c>
      <c r="C23" s="18" t="n">
        <v>-1910</v>
      </c>
      <c r="D23" s="18" t="n">
        <v>-1649</v>
      </c>
      <c r="E23" s="18" t="n">
        <v>350</v>
      </c>
      <c r="F23" s="18" t="n">
        <v>-4536</v>
      </c>
    </row>
    <row r="24">
      <c r="A24" s="17" t="inlineStr">
        <is>
          <t>Stock-Based Compensation</t>
        </is>
      </c>
      <c r="B24" s="18" t="n">
        <v>305</v>
      </c>
      <c r="C24" s="18" t="n">
        <v>336</v>
      </c>
      <c r="D24" s="18" t="n">
        <v>460</v>
      </c>
      <c r="E24" s="18" t="n">
        <v>511</v>
      </c>
      <c r="F24" s="18" t="n">
        <v>510</v>
      </c>
    </row>
    <row r="25">
      <c r="A25" s="17" t="inlineStr">
        <is>
          <t>Change in Working Capital</t>
        </is>
      </c>
      <c r="B25" s="18" t="n">
        <v>4701</v>
      </c>
      <c r="C25" s="18" t="n">
        <v>-7051</v>
      </c>
      <c r="D25" s="18" t="n">
        <v>1163</v>
      </c>
      <c r="E25" s="18" t="n">
        <v>1656</v>
      </c>
      <c r="F25" s="18" t="n">
        <v>13223</v>
      </c>
    </row>
    <row r="26">
      <c r="A26" s="21" t="inlineStr">
        <is>
          <t xml:space="preserve">  — Accounts Receivable</t>
        </is>
      </c>
      <c r="B26" s="18" t="n">
        <v>6515</v>
      </c>
      <c r="C26" s="18" t="n">
        <v>-11743</v>
      </c>
      <c r="D26" s="18" t="n">
        <v>-7447</v>
      </c>
      <c r="E26" s="18" t="n">
        <v>-2497</v>
      </c>
      <c r="F26" s="18" t="n">
        <v>4992</v>
      </c>
    </row>
    <row r="27">
      <c r="A27" s="21" t="inlineStr">
        <is>
          <t xml:space="preserve">  — Inventory</t>
        </is>
      </c>
      <c r="B27" s="18" t="n">
        <v>-1778</v>
      </c>
      <c r="C27" s="18" t="n">
        <v>-2576</v>
      </c>
      <c r="D27" s="18" t="n">
        <v>-1219</v>
      </c>
      <c r="E27" s="18" t="n">
        <v>27</v>
      </c>
      <c r="F27" s="18" t="n">
        <v>539</v>
      </c>
    </row>
    <row r="28">
      <c r="A28" s="21" t="inlineStr">
        <is>
          <t xml:space="preserve">  — Accounts Payable</t>
        </is>
      </c>
      <c r="B28" s="18" t="n">
        <v>-36</v>
      </c>
      <c r="C28" s="18" t="n">
        <v>0</v>
      </c>
      <c r="D28" s="18" t="n">
        <v>9829</v>
      </c>
      <c r="E28" s="18" t="n">
        <v>8425</v>
      </c>
      <c r="F28" s="18" t="n">
        <v>0</v>
      </c>
    </row>
    <row r="29">
      <c r="A29" s="21" t="inlineStr">
        <is>
          <t xml:space="preserve">  — Other Working Capital</t>
        </is>
      </c>
      <c r="B29" s="18" t="n">
        <v>0</v>
      </c>
      <c r="C29" s="18" t="n">
        <v>7268</v>
      </c>
      <c r="D29" s="18" t="n">
        <v>0</v>
      </c>
      <c r="E29" s="18" t="n">
        <v>-4299</v>
      </c>
      <c r="F29" s="18" t="n">
        <v>7692</v>
      </c>
    </row>
    <row r="30">
      <c r="A30" s="17" t="inlineStr">
        <is>
          <t>Other Non-Cash Items</t>
        </is>
      </c>
      <c r="B30" s="18" t="n">
        <v>-12526</v>
      </c>
      <c r="C30" s="18" t="n">
        <v>11137</v>
      </c>
      <c r="D30" s="18" t="n">
        <v>4074</v>
      </c>
      <c r="E30" s="18" t="n">
        <v>1145</v>
      </c>
      <c r="F30" s="18" t="n">
        <v>12413</v>
      </c>
    </row>
    <row r="31">
      <c r="A31" s="26" t="inlineStr">
        <is>
          <t>Net Cash from Operations (CFO)</t>
        </is>
      </c>
      <c r="B31" s="27" t="n">
        <v>15787</v>
      </c>
      <c r="C31" s="27" t="n">
        <v>6853</v>
      </c>
      <c r="D31" s="27" t="n">
        <v>14918</v>
      </c>
      <c r="E31" s="27" t="n">
        <v>15423</v>
      </c>
      <c r="F31" s="27" t="n">
        <v>21282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-6227</v>
      </c>
      <c r="C33" s="18" t="n">
        <v>-6866</v>
      </c>
      <c r="D33" s="18" t="n">
        <v>-8236</v>
      </c>
      <c r="E33" s="18" t="n">
        <v>-8684</v>
      </c>
      <c r="F33" s="18" t="n">
        <v>-8815</v>
      </c>
    </row>
    <row r="34">
      <c r="A34" s="21" t="inlineStr">
        <is>
          <t xml:space="preserve">  (Alt: Invest. in PP&amp;E)</t>
        </is>
      </c>
      <c r="B34" s="18" t="n">
        <v>-6227</v>
      </c>
      <c r="C34" s="18" t="n">
        <v>-6866</v>
      </c>
      <c r="D34" s="18" t="n">
        <v>-8236</v>
      </c>
      <c r="E34" s="18" t="n">
        <v>-8684</v>
      </c>
      <c r="F34" s="18" t="n">
        <v>0</v>
      </c>
    </row>
    <row r="35">
      <c r="A35" s="17" t="inlineStr">
        <is>
          <t>Acquisitions (Net)</t>
        </is>
      </c>
      <c r="B35" s="18" t="n">
        <v>145</v>
      </c>
      <c r="C35" s="18" t="n">
        <v>-289</v>
      </c>
      <c r="D35" s="18" t="n">
        <v>-2733</v>
      </c>
      <c r="E35" s="18" t="n">
        <v>-858</v>
      </c>
      <c r="F35" s="18" t="n">
        <v>0</v>
      </c>
    </row>
    <row r="36">
      <c r="A36" s="17" t="inlineStr">
        <is>
          <t>Purchases of Investments</t>
        </is>
      </c>
      <c r="B36" s="18" t="n">
        <v>-27763</v>
      </c>
      <c r="C36" s="18" t="n">
        <v>-17458</v>
      </c>
      <c r="D36" s="18" t="n">
        <v>-8728</v>
      </c>
      <c r="E36" s="18" t="n">
        <v>-12568</v>
      </c>
      <c r="F36" s="18" t="n">
        <v>-10975</v>
      </c>
    </row>
    <row r="37">
      <c r="A37" s="17" t="inlineStr">
        <is>
          <t>Sales / Maturities of Investments</t>
        </is>
      </c>
      <c r="B37" s="18" t="n">
        <v>33229</v>
      </c>
      <c r="C37" s="18" t="n">
        <v>19211</v>
      </c>
      <c r="D37" s="18" t="n">
        <v>12700</v>
      </c>
      <c r="E37" s="18" t="n">
        <v>12346</v>
      </c>
      <c r="F37" s="18" t="n">
        <v>10063</v>
      </c>
    </row>
    <row r="38">
      <c r="A38" s="17" t="inlineStr">
        <is>
          <t>Other Investing Activities</t>
        </is>
      </c>
      <c r="B38" s="18" t="n">
        <v>3361</v>
      </c>
      <c r="C38" s="18" t="n">
        <v>1055</v>
      </c>
      <c r="D38" s="18" t="n">
        <v>-10631</v>
      </c>
      <c r="E38" s="18" t="n">
        <v>-14606</v>
      </c>
      <c r="F38" s="18" t="n">
        <v>-17137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-22990</v>
      </c>
      <c r="C41" s="18" t="n">
        <v>5275</v>
      </c>
      <c r="D41" s="18" t="n">
        <v>8155</v>
      </c>
      <c r="E41" s="18" t="n">
        <v>11356</v>
      </c>
      <c r="F41" s="18" t="n">
        <v>39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Common Stock Repurchased (Buybacks)</t>
        </is>
      </c>
      <c r="B44" s="18" t="n">
        <v>0</v>
      </c>
      <c r="C44" s="18" t="n">
        <v>-484</v>
      </c>
      <c r="D44" s="18" t="n">
        <v>-335</v>
      </c>
      <c r="E44" s="18" t="n">
        <v>-426</v>
      </c>
      <c r="F44" s="18" t="n">
        <v>0</v>
      </c>
    </row>
    <row r="45">
      <c r="A45" s="17" t="inlineStr">
        <is>
          <t>Dividends Paid</t>
        </is>
      </c>
      <c r="B45" s="18" t="n">
        <v>-403</v>
      </c>
      <c r="C45" s="18" t="n">
        <v>-2009</v>
      </c>
      <c r="D45" s="18" t="n">
        <v>-4995</v>
      </c>
      <c r="E45" s="18" t="n">
        <v>-3118</v>
      </c>
      <c r="F45" s="18" t="n">
        <v>-2989</v>
      </c>
    </row>
    <row r="46">
      <c r="A46" s="17" t="inlineStr">
        <is>
          <t>Other Financing Activities</t>
        </is>
      </c>
      <c r="B46" s="18" t="n">
        <v>-105</v>
      </c>
      <c r="C46" s="18" t="n">
        <v>-271</v>
      </c>
      <c r="D46" s="18" t="n">
        <v>-241</v>
      </c>
      <c r="E46" s="18" t="n">
        <v>-327</v>
      </c>
      <c r="F46" s="18" t="n">
        <v>-255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-232</v>
      </c>
      <c r="C49" s="18" t="n">
        <v>-414</v>
      </c>
      <c r="D49" s="18" t="n">
        <v>-104</v>
      </c>
      <c r="E49" s="18" t="n">
        <v>-458</v>
      </c>
      <c r="F49" s="18" t="n">
        <v>532</v>
      </c>
    </row>
    <row r="50">
      <c r="A50" s="15" t="inlineStr">
        <is>
          <t>Net Change in Cash</t>
        </is>
      </c>
      <c r="B50" s="16" t="n">
        <v>-5198</v>
      </c>
      <c r="C50" s="16" t="n">
        <v>4603</v>
      </c>
      <c r="D50" s="16" t="n">
        <v>-230</v>
      </c>
      <c r="E50" s="16" t="n">
        <v>-1920</v>
      </c>
      <c r="F50" s="16" t="n">
        <v>560</v>
      </c>
    </row>
    <row r="51">
      <c r="A51" s="17" t="inlineStr">
        <is>
          <t>Cash at Beginning of Period</t>
        </is>
      </c>
      <c r="B51" s="18" t="n">
        <v>25935</v>
      </c>
      <c r="C51" s="18" t="n">
        <v>20737</v>
      </c>
      <c r="D51" s="18" t="n">
        <v>25340</v>
      </c>
      <c r="E51" s="18" t="n">
        <v>25110</v>
      </c>
      <c r="F51" s="18" t="n">
        <v>23190</v>
      </c>
    </row>
    <row r="52">
      <c r="A52" s="26" t="inlineStr">
        <is>
          <t>Cash at End of Period</t>
        </is>
      </c>
      <c r="B52" s="27" t="n">
        <v>20737</v>
      </c>
      <c r="C52" s="27" t="n">
        <v>25340</v>
      </c>
      <c r="D52" s="27" t="n">
        <v>25110</v>
      </c>
      <c r="E52" s="27" t="n">
        <v>23190</v>
      </c>
      <c r="F52" s="27" t="n">
        <v>23750</v>
      </c>
    </row>
    <row r="53">
      <c r="A53" s="26" t="inlineStr">
        <is>
          <t>Free Cash Flow</t>
        </is>
      </c>
      <c r="B53" s="27" t="n">
        <v>9560</v>
      </c>
      <c r="C53" s="27" t="n">
        <v>-13</v>
      </c>
      <c r="D53" s="27" t="n">
        <v>6682</v>
      </c>
      <c r="E53" s="27" t="n">
        <v>6739</v>
      </c>
      <c r="F53" s="27" t="n">
        <v>12467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F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4034</v>
      </c>
      <c r="C61" s="18" t="n">
        <v>4014</v>
      </c>
      <c r="D61" s="18" t="n">
        <v>4041</v>
      </c>
      <c r="E61" s="18" t="n">
        <v>4021</v>
      </c>
      <c r="F61" s="18" t="n">
        <v>3979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F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13271</v>
      </c>
      <c r="C5" s="18" t="n">
        <v>172706</v>
      </c>
      <c r="D5" s="18" t="n">
        <v>165901</v>
      </c>
      <c r="E5" s="18" t="n">
        <v>149079</v>
      </c>
      <c r="F5" s="18" t="n">
        <v>126268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F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56633.272816</v>
      </c>
      <c r="C5" s="44" t="inlineStr">
        <is>
          <t>FMP marketCap  |  price $14.47</t>
        </is>
      </c>
    </row>
    <row r="6">
      <c r="A6" s="17" t="inlineStr">
        <is>
          <t>Debt  (gross book value, $mm)</t>
        </is>
      </c>
      <c r="B6" s="43" t="n">
        <v>164790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0.0446</v>
      </c>
      <c r="C12" s="44" t="inlineStr">
        <is>
          <t>FRED series DGS10  |  latest: 2026-05-13</t>
        </is>
      </c>
    </row>
    <row r="13">
      <c r="A13" s="47" t="inlineStr">
        <is>
          <t>► Selected Rf  (override if needed)</t>
        </is>
      </c>
      <c r="B13" s="48" t="n">
        <v>0.0446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1.664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1.445</v>
      </c>
      <c r="C17" s="44" t="inlineStr">
        <is>
          <t>Mean-reversion toward market beta of 1.0</t>
        </is>
      </c>
    </row>
    <row r="18">
      <c r="A18" s="17" t="inlineStr">
        <is>
          <t>Damodaran industry unlevered  (Auto - Manufacturers)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2.91x,  t = 31.0%)</t>
        </is>
      </c>
      <c r="B19" s="50" t="n">
        <v>3.008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2.039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Not available</t>
        </is>
      </c>
      <c r="C31" s="44" t="inlineStr">
        <is>
          <t>FMP /ratings endpoint</t>
        </is>
      </c>
    </row>
    <row r="32">
      <c r="A32" s="17" t="inlineStr">
        <is>
          <t>FRED matched yield</t>
        </is>
      </c>
      <c r="B32" s="53" t="n"/>
      <c r="C32" s="44" t="inlineStr">
        <is>
          <t>No rating returned — FRED method not applicable</t>
        </is>
      </c>
    </row>
    <row r="33">
      <c r="A33" s="17" t="inlineStr">
        <is>
          <t>Interest Coverage Ratio  (EBIT / Gross Int Exp)</t>
        </is>
      </c>
      <c r="B33" s="50" t="n">
        <v>2</v>
      </c>
      <c r="C33" s="44" t="inlineStr">
        <is>
          <t>EBIT $2532mm  /  Int Exp $1254mm</t>
        </is>
      </c>
    </row>
    <row r="34">
      <c r="A34" s="17" t="inlineStr">
        <is>
          <t>Synthetic rating  (Damodaran ICR table)</t>
        </is>
      </c>
      <c r="B34" s="53" t="inlineStr">
        <is>
          <t>BB</t>
        </is>
      </c>
      <c r="C34" s="44" t="inlineStr">
        <is>
          <t>ICR 2.0x  →  BB</t>
        </is>
      </c>
    </row>
    <row r="35">
      <c r="A35" s="17" t="inlineStr">
        <is>
          <t>Synthetic Rd  (Rf + Damodaran default spread)</t>
        </is>
      </c>
      <c r="B35" s="46" t="n">
        <v>0.0806</v>
      </c>
      <c r="C35" s="44" t="inlineStr">
        <is>
          <t>Rf 4.46% + spread 3.60%</t>
        </is>
      </c>
    </row>
    <row r="36">
      <c r="A36" s="17" t="inlineStr">
        <is>
          <t>Accounting Rd  (Gross int exp / Avg gross debt)</t>
        </is>
      </c>
      <c r="B36" s="46" t="n">
        <v>0.00774384784018279</v>
      </c>
      <c r="C36" s="44" t="inlineStr">
        <is>
          <t>Cross-check only — backward-looking</t>
        </is>
      </c>
    </row>
    <row r="37">
      <c r="A37" s="17" t="inlineStr">
        <is>
          <t xml:space="preserve">  Note: net interest INCOME of $236mm  (int inc $1490mm &gt; int exp $1254mm)</t>
        </is>
      </c>
      <c r="B37" s="53" t="n"/>
      <c r="C37" s="44" t="inlineStr">
        <is>
          <t>Gross Rd is the correct basis here — net figure is distorted</t>
        </is>
      </c>
    </row>
    <row r="38">
      <c r="A38" s="47" t="inlineStr">
        <is>
          <t>► Selected pre-tax Rd  (user override)</t>
        </is>
      </c>
      <c r="B38" s="48" t="n">
        <v>0.0442</v>
      </c>
      <c r="C38" s="49" t="inlineStr">
        <is>
          <t>Default = average of 2 source(s) above — override freely</t>
        </is>
      </c>
    </row>
    <row r="39">
      <c r="A39" s="42" t="n"/>
      <c r="B39" s="42" t="n"/>
      <c r="C39" s="42" t="n"/>
    </row>
    <row r="40" ht="18" customHeight="1">
      <c r="A40" s="25" t="inlineStr">
        <is>
          <t>STEP 6 — TAX RATE</t>
        </is>
      </c>
    </row>
    <row r="41">
      <c r="A41" s="17" t="inlineStr">
        <is>
          <t>Effective tax rate  (tax expense / pre-tax income)</t>
        </is>
      </c>
      <c r="B41" s="46" t="n">
        <v>0.3101</v>
      </c>
      <c r="C41" s="44" t="inlineStr">
        <is>
          <t>FMP: $3668mm  /  $11830mm</t>
        </is>
      </c>
    </row>
    <row r="42">
      <c r="A42" s="47" t="inlineStr">
        <is>
          <t>► Selected tax rate  (user override)</t>
        </is>
      </c>
      <c r="B42" s="48" t="n">
        <v>0.3101</v>
      </c>
      <c r="C42" s="49" t="inlineStr">
        <is>
          <t>Adjust to normalised / marginal rate if preferred</t>
        </is>
      </c>
    </row>
    <row r="43">
      <c r="A43" s="42" t="n"/>
      <c r="B43" s="42" t="n"/>
      <c r="C43" s="42" t="n"/>
    </row>
    <row r="44" ht="18" customHeight="1">
      <c r="A44" s="5" t="inlineStr">
        <is>
          <t>WACC OUTPUT</t>
        </is>
      </c>
    </row>
    <row r="45" ht="22" customHeight="1">
      <c r="A45" s="54" t="inlineStr">
        <is>
          <t>WACC  =  (E/V × Re)  +  (D/V × Rd × (1 − t))</t>
        </is>
      </c>
      <c r="B45" s="55">
        <f>B8*B28+B9*B38*(1-B42)</f>
        <v/>
      </c>
      <c r="C45" s="56" t="inlineStr">
        <is>
          <t>Used as discount rate in DCF tab</t>
        </is>
      </c>
    </row>
    <row r="46">
      <c r="A46" s="42" t="n"/>
      <c r="B46" s="42" t="n"/>
      <c r="C46" s="42" t="n"/>
    </row>
    <row r="47" ht="18" customHeight="1">
      <c r="A47" s="10" t="inlineStr">
        <is>
          <t>SENSITIVITY — WACC (%)  by Beta offset × ERP offset</t>
        </is>
      </c>
    </row>
    <row r="48">
      <c r="A48" s="57" t="inlineStr">
        <is>
          <t>Beta offset  \  ERP offset →</t>
        </is>
      </c>
      <c r="B48" s="57" t="inlineStr">
        <is>
          <t>-1.0%</t>
        </is>
      </c>
      <c r="C48" s="57" t="inlineStr">
        <is>
          <t>-0.5%</t>
        </is>
      </c>
      <c r="D48" s="57" t="inlineStr">
        <is>
          <t>Base ERP</t>
        </is>
      </c>
      <c r="E48" s="57" t="inlineStr">
        <is>
          <t>+0.5%</t>
        </is>
      </c>
      <c r="F48" s="57" t="inlineStr">
        <is>
          <t>+1.0%</t>
        </is>
      </c>
    </row>
    <row r="49">
      <c r="A49" s="58" t="inlineStr">
        <is>
          <t>-1.0</t>
        </is>
      </c>
      <c r="B49" s="59">
        <f>B8*(B13+(B20+(-1.0))*(B25+(-0.01)))+B9*B38*(1-B42)</f>
        <v/>
      </c>
      <c r="C49" s="59">
        <f>B8*(B13+(B20+(-1.0))*(B25+(-0.005)))+B9*B38*(1-B42)</f>
        <v/>
      </c>
      <c r="D49" s="59">
        <f>B8*(B13+(B20+(-1.0))*(B25+(0.0)))+B9*B38*(1-B42)</f>
        <v/>
      </c>
      <c r="E49" s="59">
        <f>B8*(B13+(B20+(-1.0))*(B25+(0.005)))+B9*B38*(1-B42)</f>
        <v/>
      </c>
      <c r="F49" s="59">
        <f>B8*(B13+(B20+(-1.0))*(B25+(0.01)))+B9*B38*(1-B42)</f>
        <v/>
      </c>
    </row>
    <row r="50">
      <c r="A50" s="58" t="inlineStr">
        <is>
          <t>-0.5</t>
        </is>
      </c>
      <c r="B50" s="59">
        <f>B8*(B13+(B20+(-0.5))*(B25+(-0.01)))+B9*B38*(1-B42)</f>
        <v/>
      </c>
      <c r="C50" s="59">
        <f>B8*(B13+(B20+(-0.5))*(B25+(-0.005)))+B9*B38*(1-B42)</f>
        <v/>
      </c>
      <c r="D50" s="59">
        <f>B8*(B13+(B20+(-0.5))*(B25+(0.0)))+B9*B38*(1-B42)</f>
        <v/>
      </c>
      <c r="E50" s="59">
        <f>B8*(B13+(B20+(-0.5))*(B25+(0.005)))+B9*B38*(1-B42)</f>
        <v/>
      </c>
      <c r="F50" s="59">
        <f>B8*(B13+(B20+(-0.5))*(B25+(0.01)))+B9*B38*(1-B42)</f>
        <v/>
      </c>
    </row>
    <row r="51">
      <c r="A51" s="60" t="inlineStr">
        <is>
          <t>Base β</t>
        </is>
      </c>
      <c r="B51" s="61">
        <f>B8*(B13+(B20+(0.0))*(B25+(-0.01)))+B9*B38*(1-B42)</f>
        <v/>
      </c>
      <c r="C51" s="61">
        <f>B8*(B13+(B20+(0.0))*(B25+(-0.005)))+B9*B38*(1-B42)</f>
        <v/>
      </c>
      <c r="D51" s="62">
        <f>B8*(B13+(B20+(0.0))*(B25+(0.0)))+B9*B38*(1-B42)</f>
        <v/>
      </c>
      <c r="E51" s="61">
        <f>B8*(B13+(B20+(0.0))*(B25+(0.005)))+B9*B38*(1-B42)</f>
        <v/>
      </c>
      <c r="F51" s="61">
        <f>B8*(B13+(B20+(0.0))*(B25+(0.01)))+B9*B38*(1-B42)</f>
        <v/>
      </c>
    </row>
    <row r="52">
      <c r="A52" s="58" t="inlineStr">
        <is>
          <t>+0.5</t>
        </is>
      </c>
      <c r="B52" s="59">
        <f>B8*(B13+(B20+(0.5))*(B25+(-0.01)))+B9*B38*(1-B42)</f>
        <v/>
      </c>
      <c r="C52" s="59">
        <f>B8*(B13+(B20+(0.5))*(B25+(-0.005)))+B9*B38*(1-B42)</f>
        <v/>
      </c>
      <c r="D52" s="59">
        <f>B8*(B13+(B20+(0.5))*(B25+(0.0)))+B9*B38*(1-B42)</f>
        <v/>
      </c>
      <c r="E52" s="59">
        <f>B8*(B13+(B20+(0.5))*(B25+(0.005)))+B9*B38*(1-B42)</f>
        <v/>
      </c>
      <c r="F52" s="59">
        <f>B8*(B13+(B20+(0.5))*(B25+(0.01)))+B9*B38*(1-B42)</f>
        <v/>
      </c>
    </row>
    <row r="53">
      <c r="A53" s="58" t="inlineStr">
        <is>
          <t>+1.0</t>
        </is>
      </c>
      <c r="B53" s="59">
        <f>B8*(B13+(B20+(1.0))*(B25+(-0.01)))+B9*B38*(1-B42)</f>
        <v/>
      </c>
      <c r="C53" s="59">
        <f>B8*(B13+(B20+(1.0))*(B25+(-0.005)))+B9*B38*(1-B42)</f>
        <v/>
      </c>
      <c r="D53" s="59">
        <f>B8*(B13+(B20+(1.0))*(B25+(0.0)))+B9*B38*(1-B42)</f>
        <v/>
      </c>
      <c r="E53" s="59">
        <f>B8*(B13+(B20+(1.0))*(B25+(0.005)))+B9*B38*(1-B42)</f>
        <v/>
      </c>
      <c r="F53" s="59">
        <f>B8*(B13+(B20+(1.0))*(B25+(0.01)))+B9*B38*(1-B42)</f>
        <v/>
      </c>
    </row>
  </sheetData>
  <mergeCells count="11">
    <mergeCell ref="A11:C11"/>
    <mergeCell ref="A44:C44"/>
    <mergeCell ref="A47:C47"/>
    <mergeCell ref="A1:C1"/>
    <mergeCell ref="A22:C22"/>
    <mergeCell ref="A40:C40"/>
    <mergeCell ref="A27:C27"/>
    <mergeCell ref="A30:C30"/>
    <mergeCell ref="A15:C15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F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0.0336</v>
      </c>
      <c r="H7" s="71" t="n">
        <v>-0.0081</v>
      </c>
      <c r="I7" s="71" t="n">
        <v>0.0425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0.0669</v>
      </c>
      <c r="H8" s="71" t="n">
        <v>0.0669</v>
      </c>
      <c r="I8" s="71" t="n">
        <v>0.0669</v>
      </c>
      <c r="J8" s="72">
        <f>I8</f>
        <v/>
      </c>
      <c r="K8" s="72">
        <f>I8</f>
        <v/>
      </c>
      <c r="L8" s="73" t="n">
        <v>0.0455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193550.9</v>
      </c>
      <c r="H15" s="77" t="n">
        <v>191992.8</v>
      </c>
      <c r="I15" s="77" t="n">
        <v>200158.3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184,827 — 202,761</t>
        </is>
      </c>
      <c r="H16" s="82" t="inlineStr">
        <is>
          <t>177,540 — 204,969</t>
        </is>
      </c>
      <c r="I16" s="82" t="inlineStr">
        <is>
          <t>193,245 — 207,072</t>
        </is>
      </c>
      <c r="J16" s="82" t="inlineStr">
        <is>
          <t>186,336 — 211,017</t>
        </is>
      </c>
      <c r="K16" s="82" t="inlineStr">
        <is>
          <t>195,987 — 221,946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9</v>
      </c>
      <c r="H17" s="85" t="n">
        <v>10</v>
      </c>
      <c r="I17" s="84" t="n">
        <v>6</v>
      </c>
      <c r="J17" s="84" t="n">
        <v>5</v>
      </c>
      <c r="K17" s="86" t="n">
        <v>3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7" t="inlineStr">
        <is>
          <t>—</t>
        </is>
      </c>
      <c r="C18" s="88">
        <f>IFERROR(C15/B15-1,"")</f>
        <v/>
      </c>
      <c r="D18" s="88">
        <f>IFERROR(D15/C15-1,"")</f>
        <v/>
      </c>
      <c r="E18" s="88">
        <f>IFERROR(E15/D15-1,"")</f>
        <v/>
      </c>
      <c r="F18" s="88">
        <f>IFERROR(F15/E15-1,"")</f>
        <v/>
      </c>
      <c r="G18" s="89">
        <f>IFERROR(G15/F15-1,"")</f>
        <v/>
      </c>
      <c r="H18" s="89">
        <f>IFERROR(H15/G15-1,"")</f>
        <v/>
      </c>
      <c r="I18" s="89">
        <f>IFERROR(I15/H15-1,"")</f>
        <v/>
      </c>
      <c r="J18" s="89">
        <f>IFERROR(J15/I15-1,"")</f>
        <v/>
      </c>
      <c r="K18" s="89">
        <f>IFERROR(K15/J15-1,"")</f>
        <v/>
      </c>
      <c r="L18" s="90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12952.2</v>
      </c>
      <c r="H20" s="77" t="n">
        <v>12847.9</v>
      </c>
      <c r="I20" s="77" t="n">
        <v>13394.4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12,368 — 13,569</t>
        </is>
      </c>
      <c r="H21" s="82" t="inlineStr">
        <is>
          <t>11,881 — 13,716</t>
        </is>
      </c>
      <c r="I21" s="82" t="inlineStr">
        <is>
          <t>12,932 — 13,857</t>
        </is>
      </c>
      <c r="J21" s="82" t="inlineStr">
        <is>
          <t>12,469 — 14,121</t>
        </is>
      </c>
      <c r="K21" s="82" t="inlineStr">
        <is>
          <t>13,115 — 14,852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8">
        <f>IFERROR(B20/B15,"")</f>
        <v/>
      </c>
      <c r="C22" s="88">
        <f>IFERROR(C20/C15,"")</f>
        <v/>
      </c>
      <c r="D22" s="88">
        <f>IFERROR(D20/D15,"")</f>
        <v/>
      </c>
      <c r="E22" s="88">
        <f>IFERROR(E20/E15,"")</f>
        <v/>
      </c>
      <c r="F22" s="88">
        <f>IFERROR(F20/F15,"")</f>
        <v/>
      </c>
      <c r="G22" s="89">
        <f>IFERROR(G20/G15,"")</f>
        <v/>
      </c>
      <c r="H22" s="89">
        <f>IFERROR(H20/H15,"")</f>
        <v/>
      </c>
      <c r="I22" s="89">
        <f>IFERROR(I20/I15,"")</f>
        <v/>
      </c>
      <c r="J22" s="89">
        <f>IFERROR(J20/J15,"")</f>
        <v/>
      </c>
      <c r="K22" s="89">
        <f>IFERROR(K20/K15,"")</f>
        <v/>
      </c>
      <c r="L22" s="90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1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2">
        <f>-G15*G9</f>
        <v/>
      </c>
      <c r="H25" s="92">
        <f>-H15*H9</f>
        <v/>
      </c>
      <c r="I25" s="92">
        <f>-I15*I9</f>
        <v/>
      </c>
      <c r="J25" s="92">
        <f>-J15*J9</f>
        <v/>
      </c>
      <c r="K25" s="92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3">
        <f>B20+B25</f>
        <v/>
      </c>
      <c r="C26" s="93">
        <f>C20+C25</f>
        <v/>
      </c>
      <c r="D26" s="93">
        <f>D20+D25</f>
        <v/>
      </c>
      <c r="E26" s="93">
        <f>E20+E25</f>
        <v/>
      </c>
      <c r="F26" s="93">
        <f>F20+F25</f>
        <v/>
      </c>
      <c r="G26" s="94">
        <f>G20+G25</f>
        <v/>
      </c>
      <c r="H26" s="94">
        <f>H20+H25</f>
        <v/>
      </c>
      <c r="I26" s="94">
        <f>I20+I25</f>
        <v/>
      </c>
      <c r="J26" s="94">
        <f>J20+J25</f>
        <v/>
      </c>
      <c r="K26" s="94">
        <f>K20+K25</f>
        <v/>
      </c>
      <c r="L26" s="94">
        <f>L20+L25</f>
        <v/>
      </c>
      <c r="M26" s="80">
        <f> EBITDA + D&amp;A  (GAAP operating income, EBIT)</f>
        <v/>
      </c>
    </row>
    <row r="27" ht="20" customHeight="1">
      <c r="A27" s="91" t="inlineStr">
        <is>
          <t xml:space="preserve">  Less: Tax on EBIT  (unlevered)</t>
        </is>
      </c>
      <c r="B27" s="95">
        <f>-B26*B12</f>
        <v/>
      </c>
      <c r="C27" s="95">
        <f>-C26*C12</f>
        <v/>
      </c>
      <c r="D27" s="95">
        <f>-D26*D12</f>
        <v/>
      </c>
      <c r="E27" s="95">
        <f>-E26*E12</f>
        <v/>
      </c>
      <c r="F27" s="95">
        <f>-F26*F12</f>
        <v/>
      </c>
      <c r="G27" s="96">
        <f>-G26*G12</f>
        <v/>
      </c>
      <c r="H27" s="96">
        <f>-H26*H12</f>
        <v/>
      </c>
      <c r="I27" s="96">
        <f>-I26*I12</f>
        <v/>
      </c>
      <c r="J27" s="96">
        <f>-J26*J12</f>
        <v/>
      </c>
      <c r="K27" s="96">
        <f>-K26*K12</f>
        <v/>
      </c>
      <c r="L27" s="96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3">
        <f>B26+B27</f>
        <v/>
      </c>
      <c r="C28" s="93">
        <f>C26+C27</f>
        <v/>
      </c>
      <c r="D28" s="93">
        <f>D26+D27</f>
        <v/>
      </c>
      <c r="E28" s="93">
        <f>E26+E27</f>
        <v/>
      </c>
      <c r="F28" s="93">
        <f>F26+F27</f>
        <v/>
      </c>
      <c r="G28" s="97">
        <f>G26+G27</f>
        <v/>
      </c>
      <c r="H28" s="97">
        <f>H26+H27</f>
        <v/>
      </c>
      <c r="I28" s="97">
        <f>I26+I27</f>
        <v/>
      </c>
      <c r="J28" s="97">
        <f>J26+J27</f>
        <v/>
      </c>
      <c r="K28" s="97">
        <f>K26+K27</f>
        <v/>
      </c>
      <c r="L28" s="97">
        <f>L26+L27</f>
        <v/>
      </c>
      <c r="M28" s="80">
        <f> EBIT × (1 − tax rate)</f>
        <v/>
      </c>
    </row>
    <row r="29" ht="20" customHeight="1">
      <c r="A29" s="91" t="inlineStr">
        <is>
          <t xml:space="preserve">  (+) D&amp;A add-back  (non-cash)</t>
        </is>
      </c>
      <c r="B29" s="95">
        <f>-B25</f>
        <v/>
      </c>
      <c r="C29" s="95">
        <f>-C25</f>
        <v/>
      </c>
      <c r="D29" s="95">
        <f>-D25</f>
        <v/>
      </c>
      <c r="E29" s="95">
        <f>-E25</f>
        <v/>
      </c>
      <c r="F29" s="95">
        <f>-F25</f>
        <v/>
      </c>
      <c r="G29" s="96">
        <f>-G25</f>
        <v/>
      </c>
      <c r="H29" s="96">
        <f>-H25</f>
        <v/>
      </c>
      <c r="I29" s="96">
        <f>-I25</f>
        <v/>
      </c>
      <c r="J29" s="96">
        <f>-J25</f>
        <v/>
      </c>
      <c r="K29" s="96">
        <f>-K25</f>
        <v/>
      </c>
      <c r="L29" s="96">
        <f>-L25</f>
        <v/>
      </c>
      <c r="M29" s="80">
        <f> D&amp;A added back (non-cash charge — converts NOPAT to cash basis)</f>
        <v/>
      </c>
    </row>
    <row r="30" ht="20" customHeight="1">
      <c r="A30" s="91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6">
        <f>-G15*G10</f>
        <v/>
      </c>
      <c r="H30" s="96">
        <f>-H15*H10</f>
        <v/>
      </c>
      <c r="I30" s="96">
        <f>-I15*I10</f>
        <v/>
      </c>
      <c r="J30" s="96">
        <f>-J15*J10</f>
        <v/>
      </c>
      <c r="K30" s="96">
        <f>-K15*K10</f>
        <v/>
      </c>
      <c r="L30" s="96">
        <f>-L15*L10</f>
        <v/>
      </c>
      <c r="M30" s="80">
        <f> Revenue × CapEx % assumption  (negative = cash outflow)</f>
        <v/>
      </c>
    </row>
    <row r="31" ht="20" customHeight="1">
      <c r="A31" s="91" t="inlineStr">
        <is>
          <t xml:space="preserve">  (−) Increase in Net Working Capital</t>
        </is>
      </c>
      <c r="B31" s="95" t="n"/>
      <c r="C31" s="95">
        <f>-(('Balance Sheet'!C9-'Balance Sheet'!C21)-('Balance Sheet'!B9-'Balance Sheet'!B21))</f>
        <v/>
      </c>
      <c r="D31" s="95">
        <f>-(('Balance Sheet'!D9-'Balance Sheet'!D21)-('Balance Sheet'!C9-'Balance Sheet'!C21))</f>
        <v/>
      </c>
      <c r="E31" s="95">
        <f>-(('Balance Sheet'!E9-'Balance Sheet'!E21)-('Balance Sheet'!D9-'Balance Sheet'!D21))</f>
        <v/>
      </c>
      <c r="F31" s="95">
        <f>-(('Balance Sheet'!F9-'Balance Sheet'!F21)-('Balance Sheet'!E9-'Balance Sheet'!E21))</f>
        <v/>
      </c>
      <c r="G31" s="96">
        <f>-G15*G11</f>
        <v/>
      </c>
      <c r="H31" s="96">
        <f>-H15*H11</f>
        <v/>
      </c>
      <c r="I31" s="96">
        <f>-I15*I11</f>
        <v/>
      </c>
      <c r="J31" s="96">
        <f>-J15*J11</f>
        <v/>
      </c>
      <c r="K31" s="96">
        <f>-K15*K11</f>
        <v/>
      </c>
      <c r="L31" s="96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3">
        <f>B28+B29+B30+B31</f>
        <v/>
      </c>
      <c r="C32" s="93">
        <f>C28+C29+C30+C31</f>
        <v/>
      </c>
      <c r="D32" s="93">
        <f>D28+D29+D30+D31</f>
        <v/>
      </c>
      <c r="E32" s="93">
        <f>E28+E29+E30+E31</f>
        <v/>
      </c>
      <c r="F32" s="93">
        <f>F28+F29+F30+F31</f>
        <v/>
      </c>
      <c r="G32" s="97">
        <f>G28+G29+G30+G31</f>
        <v/>
      </c>
      <c r="H32" s="97">
        <f>H28+H29+H30+H31</f>
        <v/>
      </c>
      <c r="I32" s="97">
        <f>I28+I29+I30+I31</f>
        <v/>
      </c>
      <c r="J32" s="97">
        <f>J28+J29+J30+J31</f>
        <v/>
      </c>
      <c r="K32" s="97">
        <f>K28+K29+K30+K31</f>
        <v/>
      </c>
      <c r="L32" s="97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8">
        <f>B32/B15</f>
        <v/>
      </c>
      <c r="C33" s="88">
        <f>C32/C15</f>
        <v/>
      </c>
      <c r="D33" s="88">
        <f>D32/D15</f>
        <v/>
      </c>
      <c r="E33" s="88">
        <f>E32/E15</f>
        <v/>
      </c>
      <c r="F33" s="88">
        <f>F32/F15</f>
        <v/>
      </c>
      <c r="G33" s="98">
        <f>IFERROR(G32/G15,"")</f>
        <v/>
      </c>
      <c r="H33" s="98">
        <f>IFERROR(H32/H15,"")</f>
        <v/>
      </c>
      <c r="I33" s="98">
        <f>IFERROR(I32/I15,"")</f>
        <v/>
      </c>
      <c r="J33" s="98">
        <f>IFERROR(J32/J15,"")</f>
        <v/>
      </c>
      <c r="K33" s="98">
        <f>IFERROR(K32/K15,"")</f>
        <v/>
      </c>
      <c r="L33" s="98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9">
        <f>WACC!B45</f>
        <v/>
      </c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101" t="n">
        <v>0.03</v>
      </c>
      <c r="C37" s="100" t="n"/>
      <c r="D37" s="100" t="n"/>
      <c r="E37" s="100" t="n"/>
      <c r="F37" s="100" t="n"/>
      <c r="G37" s="100" t="n"/>
      <c r="H37" s="100" t="n"/>
      <c r="I37" s="100" t="n"/>
      <c r="J37" s="100" t="n"/>
      <c r="K37" s="100" t="n"/>
      <c r="L37" s="100" t="n"/>
      <c r="M37" s="74" t="inlineStr">
        <is>
          <t>Growth tier: MEDIUM (5.9% 3yr avg rev growth).  Bear 2.25% / Base 3.0% / Bull 3.75%.  Keep below WACC.</t>
        </is>
      </c>
    </row>
    <row r="38" ht="20" customHeight="1">
      <c r="A38" s="68" t="inlineStr">
        <is>
          <t>Terminal EV/EBITDA Multiple  (exit multiple method)</t>
        </is>
      </c>
      <c r="B38" s="102" t="n">
        <v>15</v>
      </c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74" t="inlineStr">
        <is>
          <t>Growth tier: MEDIUM (5.9% 3yr avg rev growth).  Bear 11x / Base 15x / Bull 19x.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3" t="inlineStr">
        <is>
          <t>Terminal Year UFCF  (grown by g)</t>
        </is>
      </c>
      <c r="B40" s="104">
        <f>L32</f>
        <v/>
      </c>
      <c r="C40" s="105" t="n"/>
      <c r="D40" s="105" t="n"/>
      <c r="E40" s="105" t="n"/>
      <c r="F40" s="105" t="n"/>
      <c r="G40" s="105" t="n"/>
      <c r="H40" s="105" t="n"/>
      <c r="I40" s="105" t="n"/>
      <c r="J40" s="105" t="n"/>
      <c r="K40" s="105" t="n"/>
      <c r="L40" s="105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7">
        <f>B40/(B36-B37)</f>
        <v/>
      </c>
      <c r="C41" s="106" t="n"/>
      <c r="D41" s="106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7">
        <f>L20*B38</f>
        <v/>
      </c>
      <c r="C42" s="106" t="n"/>
      <c r="D42" s="106" t="n"/>
      <c r="E42" s="106" t="n"/>
      <c r="F42" s="106" t="n"/>
      <c r="G42" s="106" t="n"/>
      <c r="H42" s="106" t="n"/>
      <c r="I42" s="106" t="n"/>
      <c r="J42" s="106" t="n"/>
      <c r="K42" s="106" t="n"/>
      <c r="L42" s="106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3" t="inlineStr">
        <is>
          <t>Discount Period  (mid-year convention)</t>
        </is>
      </c>
      <c r="G45" s="107" t="n">
        <v>0.5</v>
      </c>
      <c r="H45" s="107" t="n">
        <v>1.5</v>
      </c>
      <c r="I45" s="107" t="n">
        <v>2.5</v>
      </c>
      <c r="J45" s="107" t="n">
        <v>3.5</v>
      </c>
      <c r="K45" s="107" t="n">
        <v>4.5</v>
      </c>
      <c r="L45" s="108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3" t="inlineStr">
        <is>
          <t>Discount Factor  =  1 / (1 + WACC) ^ period</t>
        </is>
      </c>
      <c r="G46" s="109">
        <f>1/(1+B36)^G45</f>
        <v/>
      </c>
      <c r="H46" s="109">
        <f>1/(1+B36)^H45</f>
        <v/>
      </c>
      <c r="I46" s="109">
        <f>1/(1+B36)^I45</f>
        <v/>
      </c>
      <c r="J46" s="109">
        <f>1/(1+B36)^J45</f>
        <v/>
      </c>
      <c r="K46" s="109">
        <f>1/(1+B36)^K45</f>
        <v/>
      </c>
      <c r="L46" s="110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7">
        <f>G32*G46</f>
        <v/>
      </c>
      <c r="H47" s="97">
        <f>H32*H46</f>
        <v/>
      </c>
      <c r="I47" s="97">
        <f>I32*I46</f>
        <v/>
      </c>
      <c r="J47" s="97">
        <f>J32*J46</f>
        <v/>
      </c>
      <c r="K47" s="97">
        <f>K32*K46</f>
        <v/>
      </c>
      <c r="L47" s="106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4">
        <f>G47+H47+I47+J47+K47</f>
        <v/>
      </c>
      <c r="C48" s="111" t="n"/>
      <c r="D48" s="111" t="n"/>
      <c r="E48" s="111" t="n"/>
      <c r="F48" s="111" t="n"/>
      <c r="G48" s="111" t="n"/>
      <c r="H48" s="111" t="n"/>
      <c r="I48" s="111" t="n"/>
      <c r="J48" s="111" t="n"/>
      <c r="K48" s="111" t="n"/>
      <c r="L48" s="111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4">
        <f>B41*L46</f>
        <v/>
      </c>
      <c r="C49" s="111" t="n"/>
      <c r="D49" s="111" t="n"/>
      <c r="E49" s="111" t="n"/>
      <c r="F49" s="111" t="n"/>
      <c r="G49" s="111" t="n"/>
      <c r="H49" s="111" t="n"/>
      <c r="I49" s="111" t="n"/>
      <c r="J49" s="111" t="n"/>
      <c r="K49" s="111" t="n"/>
      <c r="L49" s="111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4">
        <f>B42*L46</f>
        <v/>
      </c>
      <c r="C50" s="111" t="n"/>
      <c r="D50" s="111" t="n"/>
      <c r="E50" s="111" t="n"/>
      <c r="F50" s="111" t="n"/>
      <c r="G50" s="111" t="n"/>
      <c r="H50" s="111" t="n"/>
      <c r="I50" s="111" t="n"/>
      <c r="J50" s="111" t="n"/>
      <c r="K50" s="111" t="n"/>
      <c r="L50" s="111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7">
        <f>B48+B49</f>
        <v/>
      </c>
      <c r="C53" s="106" t="n"/>
      <c r="D53" s="106" t="n"/>
      <c r="E53" s="106" t="n"/>
      <c r="F53" s="106" t="n"/>
      <c r="G53" s="106" t="n"/>
      <c r="H53" s="106" t="n"/>
      <c r="I53" s="106" t="n"/>
      <c r="J53" s="106" t="n"/>
      <c r="K53" s="106" t="n"/>
      <c r="L53" s="106" t="n"/>
      <c r="M53" s="106" t="n"/>
    </row>
    <row r="54">
      <c r="A54" s="75" t="inlineStr">
        <is>
          <t>Enterprise Value  [Exit Multiple]</t>
        </is>
      </c>
      <c r="B54" s="97">
        <f>B48+B50</f>
        <v/>
      </c>
      <c r="C54" s="106" t="n"/>
      <c r="D54" s="106" t="n"/>
      <c r="E54" s="106" t="n"/>
      <c r="F54" s="106" t="n"/>
      <c r="G54" s="106" t="n"/>
      <c r="H54" s="106" t="n"/>
      <c r="I54" s="106" t="n"/>
      <c r="J54" s="106" t="n"/>
      <c r="K54" s="106" t="n"/>
      <c r="L54" s="106" t="n"/>
      <c r="M54" s="106" t="n"/>
    </row>
    <row r="55" ht="20" customHeight="1">
      <c r="A55" s="91" t="inlineStr">
        <is>
          <t xml:space="preserve">  Less: Net Debt  (Debt − Cash)</t>
        </is>
      </c>
      <c r="B55" s="104">
        <f>'Balance Sheet'!F81</f>
        <v/>
      </c>
      <c r="C55" s="105" t="n"/>
      <c r="D55" s="105" t="n"/>
      <c r="E55" s="105" t="n"/>
      <c r="F55" s="105" t="n"/>
      <c r="G55" s="105" t="n"/>
      <c r="H55" s="105" t="n"/>
      <c r="I55" s="105" t="n"/>
      <c r="J55" s="105" t="n"/>
      <c r="K55" s="105" t="n"/>
      <c r="L55" s="105" t="n"/>
      <c r="M55" s="80" t="inlineStr">
        <is>
          <t>Linked from Balance Sheet: Total Debt (ST+LT) − Cash &amp; Equivalents  (negative = net cash)</t>
        </is>
      </c>
    </row>
    <row r="56" ht="20" customHeight="1">
      <c r="A56" s="91" t="inlineStr">
        <is>
          <t xml:space="preserve">  Less: Minority Interest</t>
        </is>
      </c>
      <c r="B56" s="104" t="n">
        <v>28</v>
      </c>
      <c r="C56" s="105" t="n"/>
      <c r="D56" s="105" t="n"/>
      <c r="E56" s="105" t="n"/>
      <c r="F56" s="105" t="n"/>
      <c r="G56" s="105" t="n"/>
      <c r="H56" s="105" t="n"/>
      <c r="I56" s="105" t="n"/>
      <c r="J56" s="105" t="n"/>
      <c r="K56" s="105" t="n"/>
      <c r="L56" s="105" t="n"/>
      <c r="M56" s="80" t="inlineStr">
        <is>
          <t>Auto-linked from Balance Sheet: minorityInterest</t>
        </is>
      </c>
    </row>
    <row r="57" ht="20" customHeight="1">
      <c r="A57" s="91" t="inlineStr">
        <is>
          <t xml:space="preserve">  Shares Outstanding — Diluted  (mm)</t>
        </is>
      </c>
      <c r="B57" s="104" t="n">
        <v>3979</v>
      </c>
      <c r="C57" s="105" t="n"/>
      <c r="D57" s="105" t="n"/>
      <c r="E57" s="105" t="n"/>
      <c r="F57" s="105" t="n"/>
      <c r="G57" s="105" t="n"/>
      <c r="H57" s="105" t="n"/>
      <c r="I57" s="105" t="n"/>
      <c r="J57" s="105" t="n"/>
      <c r="K57" s="105" t="n"/>
      <c r="L57" s="105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2">
        <f>IFERROR((B53-B55-B56)/B57,"")</f>
        <v/>
      </c>
      <c r="C59" s="106" t="n"/>
      <c r="D59" s="106" t="n"/>
      <c r="E59" s="106" t="n"/>
      <c r="F59" s="106" t="n"/>
      <c r="G59" s="106" t="n"/>
      <c r="H59" s="106" t="n"/>
      <c r="I59" s="106" t="n"/>
      <c r="J59" s="106" t="n"/>
      <c r="K59" s="106" t="n"/>
      <c r="L59" s="106" t="n"/>
      <c r="M59" s="106" t="n"/>
    </row>
    <row r="60">
      <c r="A60" s="75" t="inlineStr">
        <is>
          <t>Implied Share Price  [Exit Multiple]  ($)</t>
        </is>
      </c>
      <c r="B60" s="112">
        <f>IFERROR((B54-B55-B56)/B57,"")</f>
        <v/>
      </c>
      <c r="C60" s="106" t="n"/>
      <c r="D60" s="106" t="n"/>
      <c r="E60" s="106" t="n"/>
      <c r="F60" s="106" t="n"/>
      <c r="G60" s="106" t="n"/>
      <c r="H60" s="106" t="n"/>
      <c r="I60" s="106" t="n"/>
      <c r="J60" s="106" t="n"/>
      <c r="K60" s="106" t="n"/>
      <c r="L60" s="106" t="n"/>
      <c r="M60" s="106" t="n"/>
    </row>
    <row r="61" ht="20" customHeight="1">
      <c r="A61" s="103" t="inlineStr">
        <is>
          <t>Current Market Price  ($)</t>
        </is>
      </c>
      <c r="B61" s="113" t="n">
        <v>14.47</v>
      </c>
      <c r="C61" s="105" t="n"/>
      <c r="D61" s="105" t="n"/>
      <c r="E61" s="105" t="n"/>
      <c r="F61" s="105" t="n"/>
      <c r="G61" s="105" t="n"/>
      <c r="H61" s="105" t="n"/>
      <c r="I61" s="105" t="n"/>
      <c r="J61" s="105" t="n"/>
      <c r="K61" s="105" t="n"/>
      <c r="L61" s="105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4">
        <f>IFERROR(B59/B61-1,"")</f>
        <v/>
      </c>
      <c r="C62" s="111" t="n"/>
      <c r="D62" s="111" t="n"/>
      <c r="E62" s="111" t="n"/>
      <c r="F62" s="111" t="n"/>
      <c r="G62" s="111" t="n"/>
      <c r="H62" s="111" t="n"/>
      <c r="I62" s="111" t="n"/>
      <c r="J62" s="111" t="n"/>
      <c r="K62" s="111" t="n"/>
      <c r="L62" s="111" t="n"/>
      <c r="M62" s="111" t="n"/>
    </row>
    <row r="63">
      <c r="A63" s="63" t="inlineStr">
        <is>
          <t>Upside / (Downside)  [Exit Multiple]</t>
        </is>
      </c>
      <c r="B63" s="114">
        <f>IFERROR(B60/B61-1,"")</f>
        <v/>
      </c>
      <c r="C63" s="111" t="n"/>
      <c r="D63" s="111" t="n"/>
      <c r="E63" s="111" t="n"/>
      <c r="F63" s="111" t="n"/>
      <c r="G63" s="111" t="n"/>
      <c r="H63" s="111" t="n"/>
      <c r="I63" s="111" t="n"/>
      <c r="J63" s="111" t="n"/>
      <c r="K63" s="111" t="n"/>
      <c r="L63" s="111" t="n"/>
      <c r="M63" s="111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5" t="inlineStr">
        <is>
          <t>JS SCORECARD — F  |  Master Prompt v2  |  15 May 2026  |  Sector bucket: Cyclical</t>
        </is>
      </c>
    </row>
    <row r="2" ht="18" customHeight="1">
      <c r="A2" s="116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7" t="inlineStr">
        <is>
          <t>⚠  SOFT FLOOR CAP 40/100 applied — D/EBITDA 19.3x → −81.6 pts  |  EBIT/Interest 2.0x → −3.9 pts  (kicks in at D/EBITDA &gt; 3.0x or EBIT/Int &lt; 3.0x; smooth, no cliffs)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8" t="inlineStr">
        <is>
          <t>CRITERION</t>
        </is>
      </c>
      <c r="B6" s="119" t="inlineStr">
        <is>
          <t>PART</t>
        </is>
      </c>
      <c r="C6" s="119" t="inlineStr">
        <is>
          <t>WEIGHT %</t>
        </is>
      </c>
      <c r="D6" s="119" t="inlineStr">
        <is>
          <t>CALCULATED VALUE</t>
        </is>
      </c>
      <c r="E6" s="119" t="inlineStr">
        <is>
          <t>TIER  ▼</t>
        </is>
      </c>
      <c r="F6" s="119" t="inlineStr">
        <is>
          <t>SCORE</t>
        </is>
      </c>
      <c r="G6" s="119" t="inlineStr">
        <is>
          <t>WTD SCORE</t>
        </is>
      </c>
      <c r="H6" s="118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20" t="inlineStr">
        <is>
          <t xml:space="preserve">  Business Clarity</t>
        </is>
      </c>
      <c r="B8" s="121" t="inlineStr">
        <is>
          <t>P1</t>
        </is>
      </c>
      <c r="C8" s="122" t="n">
        <v>0.025</v>
      </c>
      <c r="D8" s="123" t="inlineStr">
        <is>
          <t>— user input required</t>
        </is>
      </c>
      <c r="E8" s="124" t="n"/>
      <c r="F8" s="125">
        <f>IF(E8="HIGH",10,IF(E8="MOD-HIGH",7,IF(E8="MOD-LOW",3,IF(E8="LOW",0,""))))</f>
        <v/>
      </c>
      <c r="G8" s="126">
        <f>IF(F8="",0,C8*F8*10)</f>
        <v/>
      </c>
      <c r="H8" s="127" t="inlineStr"/>
    </row>
    <row r="9" ht="18" customHeight="1">
      <c r="A9" s="128" t="inlineStr">
        <is>
          <t xml:space="preserve">  Moat Profile</t>
        </is>
      </c>
      <c r="B9" s="129" t="inlineStr">
        <is>
          <t>P1</t>
        </is>
      </c>
      <c r="C9" s="130" t="n">
        <v>0.1</v>
      </c>
      <c r="D9" s="131" t="inlineStr">
        <is>
          <t>GM 12.2% ✗ (&gt;40%)  |  GM trend -3.7% ✗ (&gt;+1pp)  |  ROIC-WACC +0.5% ✗ (&gt;+5pp)  |  Rev consistency σ=5.7% ✓ (&lt;8%)  [1/4 indicators positive — proxy score]</t>
        </is>
      </c>
      <c r="E9" s="132" t="inlineStr">
        <is>
          <t>LOW</t>
        </is>
      </c>
      <c r="F9" s="133" t="n">
        <v>2.5</v>
      </c>
      <c r="G9" s="134">
        <f>IF(F9="",0,C9*F9*10)</f>
        <v/>
      </c>
      <c r="H9" s="135" t="inlineStr">
        <is>
          <t>GM 12.2% ✗ (&gt;40%)  |  GM trend -3.7% ✗ (&gt;+1pp)  |  ROIC-WACC +0.5% ✗ (&gt;+5pp)  |  Rev consistency σ=5.7% ✓ (&lt;8%)  [1/4 indicators positive — proxy score]</t>
        </is>
      </c>
    </row>
    <row r="10" ht="18" customHeight="1">
      <c r="A10" s="120" t="inlineStr">
        <is>
          <t xml:space="preserve">  Long-Term Potential</t>
        </is>
      </c>
      <c r="B10" s="121" t="inlineStr">
        <is>
          <t>P1</t>
        </is>
      </c>
      <c r="C10" s="122" t="n">
        <v>0.1</v>
      </c>
      <c r="D10" s="123" t="inlineStr">
        <is>
          <t>— user input required</t>
        </is>
      </c>
      <c r="E10" s="124" t="n"/>
      <c r="F10" s="125">
        <f>IF(E10="HIGH",10,IF(E10="MOD-HIGH",7,IF(E10="MOD-LOW",3,IF(E10="LOW",0,""))))</f>
        <v/>
      </c>
      <c r="G10" s="126">
        <f>IF(F10="",0,C10*F10*10)</f>
        <v/>
      </c>
      <c r="H10" s="127" t="inlineStr"/>
    </row>
    <row r="11" ht="18" customHeight="1">
      <c r="A11" s="128" t="inlineStr">
        <is>
          <t xml:space="preserve">  Management</t>
        </is>
      </c>
      <c r="B11" s="129" t="inlineStr">
        <is>
          <t>P1</t>
        </is>
      </c>
      <c r="C11" s="130" t="n">
        <v>0.075</v>
      </c>
      <c r="D11" s="131" t="inlineStr">
        <is>
          <t>ROIC trend -1.9% ✓ (≥-2pp)  |  GM maintained -3.7% ✗  |  Op margin -2.7% ✗ (≥-2pp)  |  Capital returns LOW ✗  |  Share count -0.1%/yr ✓ (net buyback)  |  Goodwill/Equity 1% ✓ (&lt;40%)  [3/6 indicators positive — proxy score]</t>
        </is>
      </c>
      <c r="E11" s="136" t="inlineStr">
        <is>
          <t>MOD-LOW</t>
        </is>
      </c>
      <c r="F11" s="133" t="n">
        <v>5</v>
      </c>
      <c r="G11" s="134">
        <f>IF(F11="",0,C11*F11*10)</f>
        <v/>
      </c>
      <c r="H11" s="135" t="inlineStr">
        <is>
          <t>ROIC trend -1.9% ✓ (≥-2pp)  |  GM maintained -3.7% ✗  |  Op margin -2.7% ✗ (≥-2pp)  |  Capital returns LOW ✗  |  Share count -0.1%/yr ✓ (net buyback)  |  Goodwill/Equity 1% ✓ (&lt;40%)  [3/6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8" t="inlineStr">
        <is>
          <t xml:space="preserve">  Revenue 3yr CAGR</t>
        </is>
      </c>
      <c r="B13" s="129" t="inlineStr">
        <is>
          <t>P2</t>
        </is>
      </c>
      <c r="C13" s="130" t="n">
        <v>0.1</v>
      </c>
      <c r="D13" s="131" t="inlineStr">
        <is>
          <t>5.8%</t>
        </is>
      </c>
      <c r="E13" s="137" t="inlineStr">
        <is>
          <t>MOD-HIGH</t>
        </is>
      </c>
      <c r="F13" s="133" t="n">
        <v>7.49</v>
      </c>
      <c r="G13" s="134">
        <f>IF(F13="",0,C13*F13*10)</f>
        <v/>
      </c>
      <c r="H13" s="135" t="inlineStr">
        <is>
          <t>5.8%</t>
        </is>
      </c>
    </row>
    <row r="14" ht="18" customHeight="1">
      <c r="A14" s="128" t="inlineStr">
        <is>
          <t xml:space="preserve">  Cash Quality  (FCF / Net Income)</t>
        </is>
      </c>
      <c r="B14" s="129" t="inlineStr">
        <is>
          <t>P2</t>
        </is>
      </c>
      <c r="C14" s="130" t="n">
        <v>0.1</v>
      </c>
      <c r="D14" s="131" t="inlineStr">
        <is>
          <t>53%  [trend penalty: declined &gt;15pp vs 3yr ago]  [through-cycle: 5yr median, latest -152.4% → smoothed 53.3%]</t>
        </is>
      </c>
      <c r="E14" s="136" t="inlineStr">
        <is>
          <t>MOD-LOW</t>
        </is>
      </c>
      <c r="F14" s="133" t="n">
        <v>3.99</v>
      </c>
      <c r="G14" s="134">
        <f>IF(F14="",0,C14*F14*10)</f>
        <v/>
      </c>
      <c r="H14" s="135" t="inlineStr">
        <is>
          <t>53%  [trend penalty: declined &gt;15pp vs 3yr ago]  [through-cycle: 5yr median, latest -152.4% → smoothed 53.3%]</t>
        </is>
      </c>
    </row>
    <row r="15" ht="18" customHeight="1">
      <c r="A15" s="128" t="inlineStr">
        <is>
          <t xml:space="preserve">  Capital Returns</t>
        </is>
      </c>
      <c r="B15" s="129" t="inlineStr">
        <is>
          <t>P2</t>
        </is>
      </c>
      <c r="C15" s="130" t="n">
        <v>0.05</v>
      </c>
      <c r="D15" s="131" t="inlineStr">
        <is>
          <t>No capital returns in latest year</t>
        </is>
      </c>
      <c r="E15" s="132" t="inlineStr">
        <is>
          <t>LOW</t>
        </is>
      </c>
      <c r="F15" s="133" t="n">
        <v>0</v>
      </c>
      <c r="G15" s="134">
        <f>IF(F15="",0,C15*F15*10)</f>
        <v/>
      </c>
      <c r="H15" s="135" t="inlineStr">
        <is>
          <t>No capital returns in latest year</t>
        </is>
      </c>
    </row>
    <row r="16" ht="18" customHeight="1">
      <c r="A16" s="128" t="inlineStr">
        <is>
          <t xml:space="preserve">  ROIC</t>
        </is>
      </c>
      <c r="B16" s="129" t="inlineStr">
        <is>
          <t>P2</t>
        </is>
      </c>
      <c r="C16" s="130" t="n">
        <v>0.075</v>
      </c>
      <c r="D16" s="131" t="inlineStr">
        <is>
          <t>2.9%  [through-cycle: 5yr median, latest 1.0% → smoothed 2.9%]</t>
        </is>
      </c>
      <c r="E16" s="132" t="inlineStr">
        <is>
          <t>LOW</t>
        </is>
      </c>
      <c r="F16" s="133" t="n">
        <v>1.75</v>
      </c>
      <c r="G16" s="134">
        <f>IF(F16="",0,C16*F16*10)</f>
        <v/>
      </c>
      <c r="H16" s="135" t="inlineStr">
        <is>
          <t>2.9%  [through-cycle: 5yr median, latest 1.0% → smoothed 2.9%]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8" t="inlineStr">
        <is>
          <t xml:space="preserve">  Credit Risk  (D / EBITDA)</t>
        </is>
      </c>
      <c r="B18" s="129" t="inlineStr">
        <is>
          <t>P3</t>
        </is>
      </c>
      <c r="C18" s="130" t="n">
        <v>0.05</v>
      </c>
      <c r="D18" s="131" t="inlineStr">
        <is>
          <t>12.6x  [through-cycle: 5yr median, latest 19.3x → smoothed 12.6x]</t>
        </is>
      </c>
      <c r="E18" s="132" t="inlineStr">
        <is>
          <t>LOW</t>
        </is>
      </c>
      <c r="F18" s="133" t="n">
        <v>0</v>
      </c>
      <c r="G18" s="134">
        <f>IF(F18="",0,C18*F18*10)</f>
        <v/>
      </c>
      <c r="H18" s="135" t="inlineStr">
        <is>
          <t>12.6x  [through-cycle: 5yr median, latest 19.3x → smoothed 12.6x]</t>
        </is>
      </c>
    </row>
    <row r="19" ht="18" customHeight="1">
      <c r="A19" s="128" t="inlineStr">
        <is>
          <t xml:space="preserve">  Interest Cover  (EBIT / Interest)</t>
        </is>
      </c>
      <c r="B19" s="129" t="inlineStr">
        <is>
          <t>P3</t>
        </is>
      </c>
      <c r="C19" s="130" t="n">
        <v>0.075</v>
      </c>
      <c r="D19" s="131" t="inlineStr">
        <is>
          <t>2.0x</t>
        </is>
      </c>
      <c r="E19" s="136" t="inlineStr">
        <is>
          <t>MOD-LOW</t>
        </is>
      </c>
      <c r="F19" s="133" t="n">
        <v>3.04</v>
      </c>
      <c r="G19" s="134">
        <f>IF(F19="",0,C19*F19*10)</f>
        <v/>
      </c>
      <c r="H19" s="135" t="inlineStr">
        <is>
          <t>2.0x</t>
        </is>
      </c>
    </row>
    <row r="20" ht="18" customHeight="1">
      <c r="A20" s="128" t="inlineStr">
        <is>
          <t xml:space="preserve">  Execution Risk</t>
        </is>
      </c>
      <c r="B20" s="129" t="inlineStr">
        <is>
          <t>P3</t>
        </is>
      </c>
      <c r="C20" s="130" t="n">
        <v>0.05</v>
      </c>
      <c r="D20" s="131" t="inlineStr">
        <is>
          <t>Rev growth σ=5.7%  |  Op margin σ=0.9%  [proxy — lower σ = lower risk = higher score]</t>
        </is>
      </c>
      <c r="E20" s="137" t="inlineStr">
        <is>
          <t>MOD-HIGH</t>
        </is>
      </c>
      <c r="F20" s="133" t="n">
        <v>8.33</v>
      </c>
      <c r="G20" s="134">
        <f>IF(F20="",0,C20*F20*10)</f>
        <v/>
      </c>
      <c r="H20" s="135" t="inlineStr">
        <is>
          <t>Rev growth σ=5.7%  |  Op margin σ=0.9%  [proxy — lower σ = lower risk = higher score]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8" t="inlineStr">
        <is>
          <t xml:space="preserve">  Valuation vs Median  (P/E)</t>
        </is>
      </c>
      <c r="B22" s="129" t="inlineStr">
        <is>
          <t>P4</t>
        </is>
      </c>
      <c r="C22" s="130" t="n">
        <v>0.1</v>
      </c>
      <c r="D22" s="131" t="inlineStr">
        <is>
          <t>Current -6.4x — P/E negative (earnings/FCF below zero, multiple meaningless)</t>
        </is>
      </c>
      <c r="E22" s="132" t="inlineStr">
        <is>
          <t>LOW</t>
        </is>
      </c>
      <c r="F22" s="133" t="n">
        <v>0</v>
      </c>
      <c r="G22" s="134">
        <f>IF(F22="",0,C22*F22*10)</f>
        <v/>
      </c>
      <c r="H22" s="135" t="inlineStr">
        <is>
          <t>Current -6.4x — P/E negative (earnings/FCF below zero, multiple meaningless)</t>
        </is>
      </c>
    </row>
    <row r="23" ht="18" customHeight="1">
      <c r="A23" s="128" t="inlineStr">
        <is>
          <t xml:space="preserve">  Valuation vs Median  (P/FCF)</t>
        </is>
      </c>
      <c r="B23" s="129" t="inlineStr">
        <is>
          <t>P4</t>
        </is>
      </c>
      <c r="C23" s="130" t="n">
        <v>0.1</v>
      </c>
      <c r="D23" s="131" t="inlineStr">
        <is>
          <t>Current 4.2x  |  5yr avg 6.5x  [-35% vs benchmark]</t>
        </is>
      </c>
      <c r="E23" s="138" t="inlineStr">
        <is>
          <t>HIGH</t>
        </is>
      </c>
      <c r="F23" s="133" t="n">
        <v>11.54</v>
      </c>
      <c r="G23" s="134">
        <f>IF(F23="",0,C23*F23*10)</f>
        <v/>
      </c>
      <c r="H23" s="135" t="inlineStr">
        <is>
          <t>Current 4.2x  |  5yr avg 6.5x  [-35% vs benchmark]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9" t="inlineStr">
        <is>
          <t>TOTAL SCORE  (max = 100.0)</t>
        </is>
      </c>
      <c r="B25" s="140" t="n"/>
      <c r="C25" s="140" t="n"/>
      <c r="D25" s="140" t="n"/>
      <c r="E25" s="140" t="n"/>
      <c r="F25" s="140" t="n"/>
      <c r="G25" s="141">
        <f>G8+G9+G10+G11+G13+G14+G15+G16+G18+G19+G20+G22+G23</f>
        <v/>
      </c>
      <c r="H25" s="142" t="inlineStr">
        <is>
          <t>Floor cap 40.0 applies — see gate warning above.</t>
        </is>
      </c>
    </row>
    <row r="26" ht="18" customHeight="1">
      <c r="A26" s="143" t="inlineStr">
        <is>
          <t>FLOOR-ADJUSTED SCORE  (capped at 40.0)</t>
        </is>
      </c>
      <c r="B26" s="144" t="n"/>
      <c r="C26" s="144" t="n"/>
      <c r="D26" s="144" t="n"/>
      <c r="E26" s="144" t="n"/>
      <c r="F26" s="144" t="n"/>
      <c r="G26" s="145">
        <f>MIN(G25,40.0)</f>
        <v/>
      </c>
      <c r="H26" s="144" t="n"/>
    </row>
    <row r="27">
      <c r="A27" s="42" t="n"/>
      <c r="B27" s="42" t="n"/>
      <c r="C27" s="42" t="n"/>
      <c r="D27" s="42" t="n"/>
      <c r="E27" s="42" t="n"/>
      <c r="F27" s="42" t="n"/>
      <c r="G27" s="42" t="n"/>
      <c r="H27" s="42" t="n"/>
    </row>
    <row r="28" ht="24" customHeight="1">
      <c r="A28" s="146">
        <f>IF(G26="","Score incomplete — fill qualitative tiers above",IF(G26&gt;=80,"STRONG BUY",IF(G26&gt;=65,"BUY",IF(G26&gt;=50,"HOLD",IF(G26&gt;=35,"REDUCE","SELL")))))</f>
        <v/>
      </c>
    </row>
    <row r="29">
      <c r="A29" s="42" t="n"/>
      <c r="B29" s="42" t="n"/>
      <c r="C29" s="42" t="n"/>
      <c r="D29" s="42" t="n"/>
      <c r="E29" s="42" t="n"/>
      <c r="F29" s="42" t="n"/>
      <c r="G29" s="42" t="n"/>
      <c r="H29" s="42" t="n"/>
    </row>
    <row r="30" ht="18" customHeight="1">
      <c r="A30" s="147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30:H30"/>
    <mergeCell ref="A7:H7"/>
    <mergeCell ref="A2:H2"/>
    <mergeCell ref="A28:H28"/>
    <mergeCell ref="A1:H1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2026-05-15T12:02:40Z</dcterms:created>
  <dcterms:modified xsi:type="dcterms:W3CDTF">2026-05-15T12:02:53Z</dcterms:modified>
</cp:coreProperties>
</file>