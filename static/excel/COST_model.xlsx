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center" vertical="center"/>
    </xf>
    <xf numFmtId="0" fontId="32" fillId="18" borderId="1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COST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275235</v>
      </c>
    </row>
    <row r="8">
      <c r="A8" s="3" t="inlineStr">
        <is>
          <t>Gross Profit ($mm)</t>
        </is>
      </c>
      <c r="B8" s="7" t="n">
        <v>35349</v>
      </c>
    </row>
    <row r="9">
      <c r="A9" s="3" t="inlineStr">
        <is>
          <t>EBITDA ($mm)</t>
        </is>
      </c>
      <c r="B9" s="7" t="n">
        <v>13398</v>
      </c>
    </row>
    <row r="10">
      <c r="A10" s="3" t="inlineStr">
        <is>
          <t>EBIT ($mm)</t>
        </is>
      </c>
      <c r="B10" s="7" t="n">
        <v>10383</v>
      </c>
    </row>
    <row r="11">
      <c r="A11" s="3" t="inlineStr">
        <is>
          <t>Net Income ($mm)</t>
        </is>
      </c>
      <c r="B11" s="7" t="n">
        <v>8099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COST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195929</v>
      </c>
      <c r="C5" s="16" t="n">
        <v>226954</v>
      </c>
      <c r="D5" s="16" t="n">
        <v>242290</v>
      </c>
      <c r="E5" s="16" t="n">
        <v>254453</v>
      </c>
      <c r="F5" s="16" t="n">
        <v>275235</v>
      </c>
    </row>
    <row r="6">
      <c r="A6" s="17" t="inlineStr">
        <is>
          <t>(2)  Cost of Revenue (COGS)</t>
        </is>
      </c>
      <c r="B6" s="18" t="n">
        <v>170684</v>
      </c>
      <c r="C6" s="18" t="n">
        <v>199382</v>
      </c>
      <c r="D6" s="18" t="n">
        <v>212586</v>
      </c>
      <c r="E6" s="18" t="n">
        <v>222358</v>
      </c>
      <c r="F6" s="18" t="n">
        <v>239886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18461</v>
      </c>
      <c r="C9" s="18" t="n">
        <v>19779</v>
      </c>
      <c r="D9" s="18" t="n">
        <v>21590</v>
      </c>
      <c r="E9" s="18" t="n">
        <v>22810</v>
      </c>
      <c r="F9" s="18" t="n">
        <v>24966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18537</v>
      </c>
      <c r="C11" s="18" t="n">
        <v>19779</v>
      </c>
      <c r="D11" s="18" t="n">
        <v>21590</v>
      </c>
      <c r="E11" s="18" t="n">
        <v>22810</v>
      </c>
      <c r="F11" s="18" t="n">
        <v>24966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1781</v>
      </c>
      <c r="C14" s="18" t="n">
        <v>1900</v>
      </c>
      <c r="D14" s="18" t="n">
        <v>2077</v>
      </c>
      <c r="E14" s="18" t="n">
        <v>2237</v>
      </c>
      <c r="F14" s="18" t="n">
        <v>2426</v>
      </c>
    </row>
    <row r="15">
      <c r="A15" s="19" t="inlineStr">
        <is>
          <t>(8)  EBIT (Operating Income)</t>
        </is>
      </c>
      <c r="B15" s="24" t="n">
        <v>6708</v>
      </c>
      <c r="C15" s="24" t="n">
        <v>7793</v>
      </c>
      <c r="D15" s="24" t="n">
        <v>8114</v>
      </c>
      <c r="E15" s="24" t="n">
        <v>9285</v>
      </c>
      <c r="F15" s="24" t="n">
        <v>10383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171</v>
      </c>
      <c r="C17" s="18" t="n">
        <v>158</v>
      </c>
      <c r="D17" s="18" t="n">
        <v>160</v>
      </c>
      <c r="E17" s="18" t="n">
        <v>169</v>
      </c>
      <c r="F17" s="18" t="n">
        <v>154</v>
      </c>
    </row>
    <row r="18">
      <c r="A18" s="21" t="inlineStr">
        <is>
          <t xml:space="preserve">     Interest Income</t>
        </is>
      </c>
      <c r="B18" s="18" t="n">
        <v>41</v>
      </c>
      <c r="C18" s="18" t="n">
        <v>61</v>
      </c>
      <c r="D18" s="18" t="n">
        <v>470</v>
      </c>
      <c r="E18" s="18" t="n">
        <v>533</v>
      </c>
      <c r="F18" s="18" t="n">
        <v>505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6680</v>
      </c>
      <c r="C21" s="24" t="n">
        <v>7840</v>
      </c>
      <c r="D21" s="24" t="n">
        <v>8487</v>
      </c>
      <c r="E21" s="24" t="n">
        <v>9740</v>
      </c>
      <c r="F21" s="24" t="n">
        <v>10818</v>
      </c>
    </row>
    <row r="22">
      <c r="A22" s="17" t="inlineStr">
        <is>
          <t>(11) Income Tax Expense</t>
        </is>
      </c>
      <c r="B22" s="18" t="n">
        <v>1601</v>
      </c>
      <c r="C22" s="18" t="n">
        <v>1925</v>
      </c>
      <c r="D22" s="18" t="n">
        <v>2195</v>
      </c>
      <c r="E22" s="18" t="n">
        <v>2373</v>
      </c>
      <c r="F22" s="18" t="n">
        <v>2719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5007</v>
      </c>
      <c r="C24" s="24" t="n">
        <v>5844</v>
      </c>
      <c r="D24" s="24" t="n">
        <v>6292</v>
      </c>
      <c r="E24" s="24" t="n">
        <v>7367</v>
      </c>
      <c r="F24" s="24" t="n">
        <v>8099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195929</v>
      </c>
      <c r="C30" s="16" t="n">
        <v>226954</v>
      </c>
      <c r="D30" s="16" t="n">
        <v>242290</v>
      </c>
      <c r="E30" s="16" t="n">
        <v>254453</v>
      </c>
      <c r="F30" s="16" t="n">
        <v>275235</v>
      </c>
    </row>
    <row r="31">
      <c r="A31" s="17" t="inlineStr">
        <is>
          <t>Cost of Revenue</t>
        </is>
      </c>
      <c r="B31" s="18" t="n">
        <v>170684</v>
      </c>
      <c r="C31" s="18" t="n">
        <v>199382</v>
      </c>
      <c r="D31" s="18" t="n">
        <v>212586</v>
      </c>
      <c r="E31" s="18" t="n">
        <v>222358</v>
      </c>
      <c r="F31" s="18" t="n">
        <v>239886</v>
      </c>
    </row>
    <row r="32">
      <c r="A32" s="26" t="inlineStr">
        <is>
          <t>Gross Profit</t>
        </is>
      </c>
      <c r="B32" s="27" t="n">
        <v>25245</v>
      </c>
      <c r="C32" s="27" t="n">
        <v>27572</v>
      </c>
      <c r="D32" s="27" t="n">
        <v>29704</v>
      </c>
      <c r="E32" s="27" t="n">
        <v>32095</v>
      </c>
      <c r="F32" s="27" t="n">
        <v>35349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18461</v>
      </c>
      <c r="C37" s="18" t="n">
        <v>19779</v>
      </c>
      <c r="D37" s="18" t="n">
        <v>21590</v>
      </c>
      <c r="E37" s="18" t="n">
        <v>22810</v>
      </c>
      <c r="F37" s="18" t="n">
        <v>24966</v>
      </c>
    </row>
    <row r="38">
      <c r="A38" s="17" t="inlineStr">
        <is>
          <t>Other Expenses</t>
        </is>
      </c>
      <c r="B38" s="18" t="n">
        <v>76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18537</v>
      </c>
      <c r="C39" s="27" t="n">
        <v>19779</v>
      </c>
      <c r="D39" s="27" t="n">
        <v>21590</v>
      </c>
      <c r="E39" s="27" t="n">
        <v>22810</v>
      </c>
      <c r="F39" s="27" t="n">
        <v>24966</v>
      </c>
    </row>
    <row r="40">
      <c r="A40" s="17" t="inlineStr">
        <is>
          <t>Cost &amp; Expenses (COGS + Opex)</t>
        </is>
      </c>
      <c r="B40" s="18" t="n">
        <v>189221</v>
      </c>
      <c r="C40" s="18" t="n">
        <v>219161</v>
      </c>
      <c r="D40" s="18" t="n">
        <v>234176</v>
      </c>
      <c r="E40" s="18" t="n">
        <v>245168</v>
      </c>
      <c r="F40" s="18" t="n">
        <v>264852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6708</v>
      </c>
      <c r="C42" s="16" t="n">
        <v>7793</v>
      </c>
      <c r="D42" s="16" t="n">
        <v>8114</v>
      </c>
      <c r="E42" s="16" t="n">
        <v>9285</v>
      </c>
      <c r="F42" s="16" t="n">
        <v>10383</v>
      </c>
    </row>
    <row r="43">
      <c r="A43" s="17" t="inlineStr">
        <is>
          <t>EBIT (FMP field)</t>
        </is>
      </c>
      <c r="B43" s="18" t="n">
        <v>6851</v>
      </c>
      <c r="C43" s="18" t="n">
        <v>7998</v>
      </c>
      <c r="D43" s="18" t="n">
        <v>8647</v>
      </c>
      <c r="E43" s="18" t="n">
        <v>9909</v>
      </c>
      <c r="F43" s="18" t="n">
        <v>10972</v>
      </c>
    </row>
    <row r="44">
      <c r="A44" s="26" t="inlineStr">
        <is>
          <t>EBITDA</t>
        </is>
      </c>
      <c r="B44" s="27" t="n">
        <v>8632</v>
      </c>
      <c r="C44" s="27" t="n">
        <v>9898</v>
      </c>
      <c r="D44" s="27" t="n">
        <v>10724</v>
      </c>
      <c r="E44" s="27" t="n">
        <v>12146</v>
      </c>
      <c r="F44" s="27" t="n">
        <v>13398</v>
      </c>
    </row>
    <row r="45">
      <c r="A45" s="17" t="inlineStr">
        <is>
          <t>Depreciation &amp; Amortisation</t>
        </is>
      </c>
      <c r="B45" s="18" t="n">
        <v>1781</v>
      </c>
      <c r="C45" s="18" t="n">
        <v>1900</v>
      </c>
      <c r="D45" s="18" t="n">
        <v>2077</v>
      </c>
      <c r="E45" s="18" t="n">
        <v>2237</v>
      </c>
      <c r="F45" s="18" t="n">
        <v>2426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41</v>
      </c>
      <c r="C47" s="18" t="n">
        <v>61</v>
      </c>
      <c r="D47" s="18" t="n">
        <v>470</v>
      </c>
      <c r="E47" s="18" t="n">
        <v>533</v>
      </c>
      <c r="F47" s="18" t="n">
        <v>505</v>
      </c>
    </row>
    <row r="48">
      <c r="A48" s="17" t="inlineStr">
        <is>
          <t>Interest Expense</t>
        </is>
      </c>
      <c r="B48" s="18" t="n">
        <v>171</v>
      </c>
      <c r="C48" s="18" t="n">
        <v>158</v>
      </c>
      <c r="D48" s="18" t="n">
        <v>160</v>
      </c>
      <c r="E48" s="18" t="n">
        <v>169</v>
      </c>
      <c r="F48" s="18" t="n">
        <v>154</v>
      </c>
    </row>
    <row r="49">
      <c r="A49" s="17" t="inlineStr">
        <is>
          <t>Net Interest Income</t>
        </is>
      </c>
      <c r="B49" s="18" t="n">
        <v>-130</v>
      </c>
      <c r="C49" s="18" t="n">
        <v>-97</v>
      </c>
      <c r="D49" s="18" t="n">
        <v>310</v>
      </c>
      <c r="E49" s="18" t="n">
        <v>364</v>
      </c>
      <c r="F49" s="18" t="n">
        <v>351</v>
      </c>
    </row>
    <row r="50">
      <c r="A50" s="17" t="inlineStr">
        <is>
          <t>Non-Operating Income (ex-interest)</t>
        </is>
      </c>
      <c r="B50" s="18" t="n">
        <v>-143</v>
      </c>
      <c r="C50" s="18" t="n">
        <v>-205</v>
      </c>
      <c r="D50" s="18" t="n">
        <v>-533</v>
      </c>
      <c r="E50" s="18" t="n">
        <v>-624</v>
      </c>
      <c r="F50" s="18" t="n">
        <v>-589</v>
      </c>
    </row>
    <row r="51">
      <c r="A51" s="17" t="inlineStr">
        <is>
          <t>Total Other Income / (Expenses)</t>
        </is>
      </c>
      <c r="B51" s="18" t="n">
        <v>-28</v>
      </c>
      <c r="C51" s="18" t="n">
        <v>47</v>
      </c>
      <c r="D51" s="18" t="n">
        <v>373</v>
      </c>
      <c r="E51" s="18" t="n">
        <v>455</v>
      </c>
      <c r="F51" s="18" t="n">
        <v>435</v>
      </c>
    </row>
    <row r="52">
      <c r="A52" s="26" t="inlineStr">
        <is>
          <t>EBT / Income Before Tax</t>
        </is>
      </c>
      <c r="B52" s="27" t="n">
        <v>6680</v>
      </c>
      <c r="C52" s="27" t="n">
        <v>7840</v>
      </c>
      <c r="D52" s="27" t="n">
        <v>8487</v>
      </c>
      <c r="E52" s="27" t="n">
        <v>9740</v>
      </c>
      <c r="F52" s="27" t="n">
        <v>10818</v>
      </c>
    </row>
    <row r="53">
      <c r="A53" s="17" t="inlineStr">
        <is>
          <t>Income Tax Expense</t>
        </is>
      </c>
      <c r="B53" s="18" t="n">
        <v>1601</v>
      </c>
      <c r="C53" s="18" t="n">
        <v>1925</v>
      </c>
      <c r="D53" s="18" t="n">
        <v>2195</v>
      </c>
      <c r="E53" s="18" t="n">
        <v>2373</v>
      </c>
      <c r="F53" s="18" t="n">
        <v>2719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5079</v>
      </c>
      <c r="C55" s="18" t="n">
        <v>5915</v>
      </c>
      <c r="D55" s="18" t="n">
        <v>6292</v>
      </c>
      <c r="E55" s="18" t="n">
        <v>7367</v>
      </c>
      <c r="F55" s="18" t="n">
        <v>8099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5007</v>
      </c>
      <c r="C59" s="27" t="n">
        <v>5844</v>
      </c>
      <c r="D59" s="27" t="n">
        <v>6292</v>
      </c>
      <c r="E59" s="27" t="n">
        <v>7367</v>
      </c>
      <c r="F59" s="27" t="n">
        <v>8099</v>
      </c>
    </row>
    <row r="60">
      <c r="A60" s="15" t="inlineStr">
        <is>
          <t>Bottom Line Net Income</t>
        </is>
      </c>
      <c r="B60" s="16" t="n">
        <v>5007</v>
      </c>
      <c r="C60" s="16" t="n">
        <v>5844</v>
      </c>
      <c r="D60" s="16" t="n">
        <v>6292</v>
      </c>
      <c r="E60" s="16" t="n">
        <v>7367</v>
      </c>
      <c r="F60" s="16" t="n">
        <v>8099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11.3</v>
      </c>
      <c r="C62" s="18" t="n">
        <v>13.17</v>
      </c>
      <c r="D62" s="18" t="n">
        <v>14.18</v>
      </c>
      <c r="E62" s="18" t="n">
        <v>16.6</v>
      </c>
      <c r="F62" s="18" t="n">
        <v>18.24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443.09</v>
      </c>
      <c r="C64" s="18" t="n">
        <v>443.65</v>
      </c>
      <c r="D64" s="18" t="n">
        <v>443.85</v>
      </c>
      <c r="E64" s="18" t="n">
        <v>443.91</v>
      </c>
      <c r="F64" s="18" t="n">
        <v>443.99</v>
      </c>
    </row>
    <row r="65">
      <c r="A65" s="17" t="inlineStr">
        <is>
          <t>Shares Outstanding — Diluted (mm)</t>
        </is>
      </c>
      <c r="B65" s="18" t="n">
        <v>444.35</v>
      </c>
      <c r="C65" s="18" t="n">
        <v>444.76</v>
      </c>
      <c r="D65" s="18" t="n">
        <v>444.45</v>
      </c>
      <c r="E65" s="18" t="n">
        <v>444.76</v>
      </c>
      <c r="F65" s="18" t="n">
        <v>444.8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COST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11258</v>
      </c>
      <c r="C5" s="18" t="n">
        <v>10203</v>
      </c>
      <c r="D5" s="18" t="n">
        <v>13700</v>
      </c>
      <c r="E5" s="18" t="n">
        <v>9906</v>
      </c>
      <c r="F5" s="18" t="n">
        <v>14161</v>
      </c>
    </row>
    <row r="6">
      <c r="A6" s="17" t="inlineStr">
        <is>
          <t>(2)  Receivables</t>
        </is>
      </c>
      <c r="B6" s="18" t="n">
        <v>1803</v>
      </c>
      <c r="C6" s="18" t="n">
        <v>2241</v>
      </c>
      <c r="D6" s="18" t="n">
        <v>2285</v>
      </c>
      <c r="E6" s="18" t="n">
        <v>2721</v>
      </c>
      <c r="F6" s="18" t="n">
        <v>3203</v>
      </c>
    </row>
    <row r="7">
      <c r="A7" s="17" t="inlineStr">
        <is>
          <t>(3)  Inventory</t>
        </is>
      </c>
      <c r="B7" s="18" t="n">
        <v>14215</v>
      </c>
      <c r="C7" s="18" t="n">
        <v>17907</v>
      </c>
      <c r="D7" s="18" t="n">
        <v>16651</v>
      </c>
      <c r="E7" s="18" t="n">
        <v>18647</v>
      </c>
      <c r="F7" s="18" t="n">
        <v>18116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29505</v>
      </c>
      <c r="C9" s="24" t="n">
        <v>32696</v>
      </c>
      <c r="D9" s="24" t="n">
        <v>35879</v>
      </c>
      <c r="E9" s="24" t="n">
        <v>34246</v>
      </c>
      <c r="F9" s="24" t="n">
        <v>38380</v>
      </c>
    </row>
    <row r="10">
      <c r="A10" s="17" t="inlineStr">
        <is>
          <t>(6)  PP&amp;E (Net)</t>
        </is>
      </c>
      <c r="B10" s="18" t="n">
        <v>26382</v>
      </c>
      <c r="C10" s="18" t="n">
        <v>27420</v>
      </c>
      <c r="D10" s="18" t="n">
        <v>29397</v>
      </c>
      <c r="E10" s="18" t="n">
        <v>31649</v>
      </c>
      <c r="F10" s="18" t="n">
        <v>34634</v>
      </c>
    </row>
    <row r="11">
      <c r="A11" s="17" t="inlineStr">
        <is>
          <t>(7)  Goodwill</t>
        </is>
      </c>
      <c r="B11" s="18" t="n">
        <v>996</v>
      </c>
      <c r="C11" s="18" t="n">
        <v>993</v>
      </c>
      <c r="D11" s="18" t="n">
        <v>994</v>
      </c>
      <c r="E11" s="18" t="n">
        <v>994</v>
      </c>
      <c r="F11" s="18" t="n">
        <v>994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29763</v>
      </c>
      <c r="C14" s="24" t="n">
        <v>31470</v>
      </c>
      <c r="D14" s="24" t="n">
        <v>33115</v>
      </c>
      <c r="E14" s="24" t="n">
        <v>35585</v>
      </c>
      <c r="F14" s="24" t="n">
        <v>38719</v>
      </c>
    </row>
    <row r="15">
      <c r="A15" s="19" t="inlineStr">
        <is>
          <t>(11) Total Assets</t>
        </is>
      </c>
      <c r="B15" s="24" t="n">
        <v>59268</v>
      </c>
      <c r="C15" s="24" t="n">
        <v>64166</v>
      </c>
      <c r="D15" s="24" t="n">
        <v>68994</v>
      </c>
      <c r="E15" s="24" t="n">
        <v>69831</v>
      </c>
      <c r="F15" s="24" t="n">
        <v>77099</v>
      </c>
    </row>
    <row r="16" ht="6" customHeight="1"/>
    <row r="17">
      <c r="A17" s="17" t="inlineStr">
        <is>
          <t>(12) Accounts Payable</t>
        </is>
      </c>
      <c r="B17" s="18" t="n">
        <v>16278</v>
      </c>
      <c r="C17" s="18" t="n">
        <v>17848</v>
      </c>
      <c r="D17" s="18" t="n">
        <v>17483</v>
      </c>
      <c r="E17" s="18" t="n">
        <v>19421</v>
      </c>
      <c r="F17" s="18" t="n">
        <v>19783</v>
      </c>
    </row>
    <row r="18">
      <c r="A18" s="17" t="inlineStr">
        <is>
          <t>(13) Short-Term Borrowings</t>
        </is>
      </c>
      <c r="B18" s="18" t="n">
        <v>799</v>
      </c>
      <c r="C18" s="18" t="n">
        <v>73</v>
      </c>
      <c r="D18" s="18" t="n">
        <v>1081</v>
      </c>
      <c r="E18" s="18" t="n">
        <v>103</v>
      </c>
      <c r="F18" s="18" t="n">
        <v>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29441</v>
      </c>
      <c r="C21" s="24" t="n">
        <v>31998</v>
      </c>
      <c r="D21" s="24" t="n">
        <v>33583</v>
      </c>
      <c r="E21" s="24" t="n">
        <v>35464</v>
      </c>
      <c r="F21" s="24" t="n">
        <v>37108</v>
      </c>
    </row>
    <row r="22">
      <c r="A22" s="17" t="inlineStr">
        <is>
          <t>(17) Long-Term Debt</t>
        </is>
      </c>
      <c r="B22" s="18" t="n">
        <v>6692</v>
      </c>
      <c r="C22" s="18" t="n">
        <v>6484</v>
      </c>
      <c r="D22" s="18" t="n">
        <v>5377</v>
      </c>
      <c r="E22" s="18" t="n">
        <v>5794</v>
      </c>
      <c r="F22" s="18" t="n">
        <v>5713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41190</v>
      </c>
      <c r="C25" s="24" t="n">
        <v>43519</v>
      </c>
      <c r="D25" s="24" t="n">
        <v>43936</v>
      </c>
      <c r="E25" s="24" t="n">
        <v>46209</v>
      </c>
      <c r="F25" s="24" t="n">
        <v>47935</v>
      </c>
    </row>
    <row r="26" ht="6" customHeight="1"/>
    <row r="27">
      <c r="A27" s="17" t="inlineStr">
        <is>
          <t>(21) Common Stock &amp; APIC</t>
        </is>
      </c>
      <c r="B27" s="18" t="n">
        <v>4</v>
      </c>
      <c r="C27" s="18" t="n">
        <v>2</v>
      </c>
      <c r="D27" s="18" t="n">
        <v>2</v>
      </c>
      <c r="E27" s="18" t="n">
        <v>2</v>
      </c>
      <c r="F27" s="18" t="n">
        <v>2</v>
      </c>
    </row>
    <row r="28">
      <c r="A28" s="17" t="inlineStr">
        <is>
          <t>(22) Retained Earnings</t>
        </is>
      </c>
      <c r="B28" s="18" t="n">
        <v>11666</v>
      </c>
      <c r="C28" s="18" t="n">
        <v>15585</v>
      </c>
      <c r="D28" s="18" t="n">
        <v>19521</v>
      </c>
      <c r="E28" s="18" t="n">
        <v>17619</v>
      </c>
      <c r="F28" s="18" t="n">
        <v>22650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17564</v>
      </c>
      <c r="C30" s="24" t="n">
        <v>20642</v>
      </c>
      <c r="D30" s="24" t="n">
        <v>25058</v>
      </c>
      <c r="E30" s="24" t="n">
        <v>23622</v>
      </c>
      <c r="F30" s="24" t="n">
        <v>29164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11258</v>
      </c>
      <c r="C36" s="18" t="n">
        <v>10203</v>
      </c>
      <c r="D36" s="18" t="n">
        <v>13700</v>
      </c>
      <c r="E36" s="18" t="n">
        <v>9906</v>
      </c>
      <c r="F36" s="18" t="n">
        <v>14161</v>
      </c>
    </row>
    <row r="37">
      <c r="A37" s="17" t="inlineStr">
        <is>
          <t>Short-Term Investments</t>
        </is>
      </c>
      <c r="B37" s="18" t="n">
        <v>917</v>
      </c>
      <c r="C37" s="18" t="n">
        <v>846</v>
      </c>
      <c r="D37" s="18" t="n">
        <v>1534</v>
      </c>
      <c r="E37" s="18" t="n">
        <v>1238</v>
      </c>
      <c r="F37" s="18" t="n">
        <v>1123</v>
      </c>
    </row>
    <row r="38">
      <c r="A38" s="28" t="inlineStr">
        <is>
          <t>Cash &amp; Short-Term Investments</t>
        </is>
      </c>
      <c r="B38" s="29" t="n">
        <v>12175</v>
      </c>
      <c r="C38" s="29" t="n">
        <v>11049</v>
      </c>
      <c r="D38" s="29" t="n">
        <v>15234</v>
      </c>
      <c r="E38" s="29" t="n">
        <v>11144</v>
      </c>
      <c r="F38" s="29" t="n">
        <v>15284</v>
      </c>
    </row>
    <row r="39">
      <c r="A39" s="17" t="inlineStr">
        <is>
          <t>Accounts Receivable (Trade)</t>
        </is>
      </c>
      <c r="B39" s="18" t="n">
        <v>1803</v>
      </c>
      <c r="C39" s="18" t="n">
        <v>2241</v>
      </c>
      <c r="D39" s="18" t="n">
        <v>2285</v>
      </c>
      <c r="E39" s="18" t="n">
        <v>2721</v>
      </c>
      <c r="F39" s="18" t="n">
        <v>3203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1803</v>
      </c>
      <c r="C41" s="29" t="n">
        <v>2241</v>
      </c>
      <c r="D41" s="29" t="n">
        <v>2285</v>
      </c>
      <c r="E41" s="29" t="n">
        <v>2721</v>
      </c>
      <c r="F41" s="29" t="n">
        <v>3203</v>
      </c>
    </row>
    <row r="42">
      <c r="A42" s="17" t="inlineStr">
        <is>
          <t>Inventory</t>
        </is>
      </c>
      <c r="B42" s="18" t="n">
        <v>14215</v>
      </c>
      <c r="C42" s="18" t="n">
        <v>17907</v>
      </c>
      <c r="D42" s="18" t="n">
        <v>16651</v>
      </c>
      <c r="E42" s="18" t="n">
        <v>18647</v>
      </c>
      <c r="F42" s="18" t="n">
        <v>18116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1312</v>
      </c>
      <c r="C44" s="18" t="n">
        <v>1499</v>
      </c>
      <c r="D44" s="18" t="n">
        <v>1709</v>
      </c>
      <c r="E44" s="18" t="n">
        <v>1734</v>
      </c>
      <c r="F44" s="18" t="n">
        <v>1777</v>
      </c>
    </row>
    <row r="45">
      <c r="A45" s="26" t="inlineStr">
        <is>
          <t>Total Current Assets</t>
        </is>
      </c>
      <c r="B45" s="27" t="n">
        <v>29505</v>
      </c>
      <c r="C45" s="27" t="n">
        <v>32696</v>
      </c>
      <c r="D45" s="27" t="n">
        <v>35879</v>
      </c>
      <c r="E45" s="27" t="n">
        <v>34246</v>
      </c>
      <c r="F45" s="27" t="n">
        <v>38380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26382</v>
      </c>
      <c r="C47" s="18" t="n">
        <v>27420</v>
      </c>
      <c r="D47" s="18" t="n">
        <v>29397</v>
      </c>
      <c r="E47" s="18" t="n">
        <v>31649</v>
      </c>
      <c r="F47" s="18" t="n">
        <v>34634</v>
      </c>
    </row>
    <row r="48">
      <c r="A48" s="17" t="inlineStr">
        <is>
          <t>Goodwill</t>
        </is>
      </c>
      <c r="B48" s="18" t="n">
        <v>996</v>
      </c>
      <c r="C48" s="18" t="n">
        <v>993</v>
      </c>
      <c r="D48" s="18" t="n">
        <v>994</v>
      </c>
      <c r="E48" s="18" t="n">
        <v>994</v>
      </c>
      <c r="F48" s="18" t="n">
        <v>994</v>
      </c>
    </row>
    <row r="49">
      <c r="A49" s="17" t="inlineStr">
        <is>
          <t>Intangible Assets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917</v>
      </c>
      <c r="C52" s="18" t="n">
        <v>846</v>
      </c>
      <c r="D52" s="18" t="n">
        <v>1534</v>
      </c>
      <c r="E52" s="18" t="n">
        <v>1238</v>
      </c>
      <c r="F52" s="18" t="n">
        <v>1123</v>
      </c>
    </row>
    <row r="53">
      <c r="A53" s="17" t="inlineStr">
        <is>
          <t>Other Non-Current Assets</t>
        </is>
      </c>
      <c r="B53" s="18" t="n">
        <v>2385</v>
      </c>
      <c r="C53" s="18" t="n">
        <v>3057</v>
      </c>
      <c r="D53" s="18" t="n">
        <v>2724</v>
      </c>
      <c r="E53" s="18" t="n">
        <v>2942</v>
      </c>
      <c r="F53" s="18" t="n">
        <v>3091</v>
      </c>
    </row>
    <row r="54">
      <c r="A54" s="26" t="inlineStr">
        <is>
          <t>Total Non-Current Assets</t>
        </is>
      </c>
      <c r="B54" s="27" t="n">
        <v>29763</v>
      </c>
      <c r="C54" s="27" t="n">
        <v>31470</v>
      </c>
      <c r="D54" s="27" t="n">
        <v>33115</v>
      </c>
      <c r="E54" s="27" t="n">
        <v>35585</v>
      </c>
      <c r="F54" s="27" t="n">
        <v>38719</v>
      </c>
    </row>
    <row r="55">
      <c r="A55" s="13" t="inlineStr">
        <is>
          <t>TOTAL ASSETS</t>
        </is>
      </c>
      <c r="B55" s="30" t="n">
        <v>59268</v>
      </c>
      <c r="C55" s="30" t="n">
        <v>64166</v>
      </c>
      <c r="D55" s="30" t="n">
        <v>68994</v>
      </c>
      <c r="E55" s="30" t="n">
        <v>69831</v>
      </c>
      <c r="F55" s="30" t="n">
        <v>77099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16278</v>
      </c>
      <c r="C57" s="18" t="n">
        <v>17848</v>
      </c>
      <c r="D57" s="18" t="n">
        <v>17483</v>
      </c>
      <c r="E57" s="18" t="n">
        <v>19421</v>
      </c>
      <c r="F57" s="18" t="n">
        <v>19783</v>
      </c>
    </row>
    <row r="58">
      <c r="A58" s="17" t="inlineStr">
        <is>
          <t>Short-Term Debt</t>
        </is>
      </c>
      <c r="B58" s="18" t="n">
        <v>799</v>
      </c>
      <c r="C58" s="18" t="n">
        <v>73</v>
      </c>
      <c r="D58" s="18" t="n">
        <v>1081</v>
      </c>
      <c r="E58" s="18" t="n">
        <v>103</v>
      </c>
      <c r="F58" s="18" t="n">
        <v>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6603</v>
      </c>
      <c r="C61" s="18" t="n">
        <v>7785</v>
      </c>
      <c r="D61" s="18" t="n">
        <v>8591</v>
      </c>
      <c r="E61" s="18" t="n">
        <v>8711</v>
      </c>
      <c r="F61" s="18" t="n">
        <v>9443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29441</v>
      </c>
      <c r="C63" s="27" t="n">
        <v>31998</v>
      </c>
      <c r="D63" s="27" t="n">
        <v>33583</v>
      </c>
      <c r="E63" s="27" t="n">
        <v>35464</v>
      </c>
      <c r="F63" s="27" t="n">
        <v>37108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6692</v>
      </c>
      <c r="C65" s="18" t="n">
        <v>6484</v>
      </c>
      <c r="D65" s="18" t="n">
        <v>5377</v>
      </c>
      <c r="E65" s="18" t="n">
        <v>5794</v>
      </c>
      <c r="F65" s="18" t="n">
        <v>5713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2415</v>
      </c>
      <c r="C69" s="18" t="n">
        <v>2555</v>
      </c>
      <c r="D69" s="18" t="n">
        <v>2550</v>
      </c>
      <c r="E69" s="18" t="n">
        <v>2576</v>
      </c>
      <c r="F69" s="18" t="n">
        <v>2654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41190</v>
      </c>
      <c r="C71" s="30" t="n">
        <v>43519</v>
      </c>
      <c r="D71" s="30" t="n">
        <v>43936</v>
      </c>
      <c r="E71" s="30" t="n">
        <v>46209</v>
      </c>
      <c r="F71" s="30" t="n">
        <v>47935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4</v>
      </c>
      <c r="C73" s="18" t="n">
        <v>2</v>
      </c>
      <c r="D73" s="18" t="n">
        <v>2</v>
      </c>
      <c r="E73" s="18" t="n">
        <v>2</v>
      </c>
      <c r="F73" s="18" t="n">
        <v>2</v>
      </c>
    </row>
    <row r="74">
      <c r="A74" s="17" t="inlineStr">
        <is>
          <t>Retained Earnings</t>
        </is>
      </c>
      <c r="B74" s="18" t="n">
        <v>11666</v>
      </c>
      <c r="C74" s="18" t="n">
        <v>15585</v>
      </c>
      <c r="D74" s="18" t="n">
        <v>19521</v>
      </c>
      <c r="E74" s="18" t="n">
        <v>17619</v>
      </c>
      <c r="F74" s="18" t="n">
        <v>22650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514</v>
      </c>
      <c r="C77" s="18" t="n">
        <v>5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18078</v>
      </c>
      <c r="C78" s="27" t="n">
        <v>20647</v>
      </c>
      <c r="D78" s="27" t="n">
        <v>25058</v>
      </c>
      <c r="E78" s="27" t="n">
        <v>23622</v>
      </c>
      <c r="F78" s="27" t="n">
        <v>29164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COST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8958</v>
      </c>
      <c r="C5" s="24" t="n">
        <v>7392</v>
      </c>
      <c r="D5" s="24" t="n">
        <v>11068</v>
      </c>
      <c r="E5" s="24" t="n">
        <v>11339</v>
      </c>
      <c r="F5" s="24" t="n">
        <v>13335</v>
      </c>
    </row>
    <row r="6">
      <c r="A6" s="17" t="inlineStr">
        <is>
          <t>(2)  Capital Expenditures</t>
        </is>
      </c>
      <c r="B6" s="18" t="n">
        <v>-3588</v>
      </c>
      <c r="C6" s="18" t="n">
        <v>-3891</v>
      </c>
      <c r="D6" s="18" t="n">
        <v>-4323</v>
      </c>
      <c r="E6" s="18" t="n">
        <v>-4710</v>
      </c>
      <c r="F6" s="18" t="n">
        <v>-5498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-120</v>
      </c>
      <c r="C9" s="18" t="n">
        <v>-800</v>
      </c>
      <c r="D9" s="18" t="n">
        <v>-384</v>
      </c>
      <c r="E9" s="18" t="n">
        <v>-708</v>
      </c>
      <c r="F9" s="18" t="n">
        <v>-296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-5748</v>
      </c>
      <c r="C12" s="18" t="n">
        <v>-1498</v>
      </c>
      <c r="D12" s="18" t="n">
        <v>-1251</v>
      </c>
      <c r="E12" s="18" t="n">
        <v>-9041</v>
      </c>
      <c r="F12" s="18" t="n">
        <v>-2183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5370</v>
      </c>
      <c r="C15" s="24" t="n">
        <v>3501</v>
      </c>
      <c r="D15" s="24" t="n">
        <v>6745</v>
      </c>
      <c r="E15" s="24" t="n">
        <v>6629</v>
      </c>
      <c r="F15" s="24" t="n">
        <v>7837</v>
      </c>
    </row>
    <row r="16">
      <c r="A16" s="15" t="inlineStr">
        <is>
          <t xml:space="preserve">     Net Change in Cash</t>
        </is>
      </c>
      <c r="B16" s="16" t="n">
        <v>-1019</v>
      </c>
      <c r="C16" s="16" t="n">
        <v>-1055</v>
      </c>
      <c r="D16" s="16" t="n">
        <v>3497</v>
      </c>
      <c r="E16" s="16" t="n">
        <v>-3794</v>
      </c>
      <c r="F16" s="16" t="n">
        <v>4255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5079</v>
      </c>
      <c r="C21" s="18" t="n">
        <v>5915</v>
      </c>
      <c r="D21" s="18" t="n">
        <v>6292</v>
      </c>
      <c r="E21" s="18" t="n">
        <v>7367</v>
      </c>
      <c r="F21" s="18" t="n">
        <v>8099</v>
      </c>
    </row>
    <row r="22">
      <c r="A22" s="17" t="inlineStr">
        <is>
          <t>Depreciation &amp; Amortisation</t>
        </is>
      </c>
      <c r="B22" s="18" t="n">
        <v>1781</v>
      </c>
      <c r="C22" s="18" t="n">
        <v>1900</v>
      </c>
      <c r="D22" s="18" t="n">
        <v>2077</v>
      </c>
      <c r="E22" s="18" t="n">
        <v>2237</v>
      </c>
      <c r="F22" s="18" t="n">
        <v>2426</v>
      </c>
    </row>
    <row r="23">
      <c r="A23" s="17" t="inlineStr">
        <is>
          <t>Deferred Income Tax</t>
        </is>
      </c>
      <c r="B23" s="18" t="n">
        <v>59</v>
      </c>
      <c r="C23" s="18" t="n">
        <v>-37</v>
      </c>
      <c r="D23" s="18" t="n">
        <v>0</v>
      </c>
      <c r="E23" s="18" t="n">
        <v>0</v>
      </c>
      <c r="F23" s="18" t="n">
        <v>0</v>
      </c>
    </row>
    <row r="24">
      <c r="A24" s="17" t="inlineStr">
        <is>
          <t>Stock-Based Compensation</t>
        </is>
      </c>
      <c r="B24" s="18" t="n">
        <v>665</v>
      </c>
      <c r="C24" s="18" t="n">
        <v>724</v>
      </c>
      <c r="D24" s="18" t="n">
        <v>774</v>
      </c>
      <c r="E24" s="18" t="n">
        <v>818</v>
      </c>
      <c r="F24" s="18" t="n">
        <v>860</v>
      </c>
    </row>
    <row r="25">
      <c r="A25" s="17" t="inlineStr">
        <is>
          <t>Change in Working Capital</t>
        </is>
      </c>
      <c r="B25" s="18" t="n">
        <v>1003</v>
      </c>
      <c r="C25" s="18" t="n">
        <v>-1563</v>
      </c>
      <c r="D25" s="18" t="n">
        <v>1018</v>
      </c>
      <c r="E25" s="18" t="n">
        <v>611</v>
      </c>
      <c r="F25" s="18" t="n">
        <v>1764</v>
      </c>
    </row>
    <row r="26">
      <c r="A26" s="21" t="inlineStr">
        <is>
          <t xml:space="preserve">  — Accounts Receivable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</row>
    <row r="27">
      <c r="A27" s="21" t="inlineStr">
        <is>
          <t xml:space="preserve">  — Inventory</t>
        </is>
      </c>
      <c r="B27" s="18" t="n">
        <v>-1892</v>
      </c>
      <c r="C27" s="18" t="n">
        <v>-4003</v>
      </c>
      <c r="D27" s="18" t="n">
        <v>1228</v>
      </c>
      <c r="E27" s="18" t="n">
        <v>-2068</v>
      </c>
      <c r="F27" s="18" t="n">
        <v>559</v>
      </c>
    </row>
    <row r="28">
      <c r="A28" s="21" t="inlineStr">
        <is>
          <t xml:space="preserve">  — Accounts Payable</t>
        </is>
      </c>
      <c r="B28" s="18" t="n">
        <v>1838</v>
      </c>
      <c r="C28" s="18" t="n">
        <v>1891</v>
      </c>
      <c r="D28" s="18" t="n">
        <v>-382</v>
      </c>
      <c r="E28" s="18" t="n">
        <v>1938</v>
      </c>
      <c r="F28" s="18" t="n">
        <v>404</v>
      </c>
    </row>
    <row r="29">
      <c r="A29" s="21" t="inlineStr">
        <is>
          <t xml:space="preserve">  — Other Working Capital</t>
        </is>
      </c>
      <c r="B29" s="18" t="n">
        <v>1057</v>
      </c>
      <c r="C29" s="18" t="n">
        <v>549</v>
      </c>
      <c r="D29" s="18" t="n">
        <v>172</v>
      </c>
      <c r="E29" s="18" t="n">
        <v>741</v>
      </c>
      <c r="F29" s="18" t="n">
        <v>801</v>
      </c>
    </row>
    <row r="30">
      <c r="A30" s="17" t="inlineStr">
        <is>
          <t>Other Non-Cash Items</t>
        </is>
      </c>
      <c r="B30" s="18" t="n">
        <v>371</v>
      </c>
      <c r="C30" s="18" t="n">
        <v>453</v>
      </c>
      <c r="D30" s="18" t="n">
        <v>907</v>
      </c>
      <c r="E30" s="18" t="n">
        <v>306</v>
      </c>
      <c r="F30" s="18" t="n">
        <v>186</v>
      </c>
    </row>
    <row r="31">
      <c r="A31" s="26" t="inlineStr">
        <is>
          <t>Net Cash from Operations (CFO)</t>
        </is>
      </c>
      <c r="B31" s="27" t="n">
        <v>8958</v>
      </c>
      <c r="C31" s="27" t="n">
        <v>7392</v>
      </c>
      <c r="D31" s="27" t="n">
        <v>11068</v>
      </c>
      <c r="E31" s="27" t="n">
        <v>11339</v>
      </c>
      <c r="F31" s="27" t="n">
        <v>13335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-3588</v>
      </c>
      <c r="C33" s="18" t="n">
        <v>-3891</v>
      </c>
      <c r="D33" s="18" t="n">
        <v>-4323</v>
      </c>
      <c r="E33" s="18" t="n">
        <v>-4710</v>
      </c>
      <c r="F33" s="18" t="n">
        <v>-5498</v>
      </c>
    </row>
    <row r="34">
      <c r="A34" s="21" t="inlineStr">
        <is>
          <t xml:space="preserve">  (Alt: Invest. in PP&amp;E)</t>
        </is>
      </c>
      <c r="B34" s="18" t="n">
        <v>-3588</v>
      </c>
      <c r="C34" s="18" t="n">
        <v>-3891</v>
      </c>
      <c r="D34" s="18" t="n">
        <v>-4323</v>
      </c>
      <c r="E34" s="18" t="n">
        <v>-4710</v>
      </c>
      <c r="F34" s="18" t="n">
        <v>-5498</v>
      </c>
    </row>
    <row r="35">
      <c r="A35" s="17" t="inlineStr">
        <is>
          <t>Acquisitions (Net)</t>
        </is>
      </c>
      <c r="B35" s="18" t="n">
        <v>0</v>
      </c>
      <c r="C35" s="18" t="n">
        <v>-842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-1331</v>
      </c>
      <c r="C36" s="18" t="n">
        <v>-1121</v>
      </c>
      <c r="D36" s="18" t="n">
        <v>-1622</v>
      </c>
      <c r="E36" s="18" t="n">
        <v>-1470</v>
      </c>
      <c r="F36" s="18" t="n">
        <v>-1028</v>
      </c>
    </row>
    <row r="37">
      <c r="A37" s="17" t="inlineStr">
        <is>
          <t>Sales / Maturities of Investments</t>
        </is>
      </c>
      <c r="B37" s="18" t="n">
        <v>1446</v>
      </c>
      <c r="C37" s="18" t="n">
        <v>1145</v>
      </c>
      <c r="D37" s="18" t="n">
        <v>937</v>
      </c>
      <c r="E37" s="18" t="n">
        <v>1790</v>
      </c>
      <c r="F37" s="18" t="n">
        <v>1141</v>
      </c>
    </row>
    <row r="38">
      <c r="A38" s="17" t="inlineStr">
        <is>
          <t>Other Investing Activities</t>
        </is>
      </c>
      <c r="B38" s="18" t="n">
        <v>-62</v>
      </c>
      <c r="C38" s="18" t="n">
        <v>-48</v>
      </c>
      <c r="D38" s="18" t="n">
        <v>36</v>
      </c>
      <c r="E38" s="18" t="n">
        <v>-19</v>
      </c>
      <c r="F38" s="18" t="n">
        <v>74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-120</v>
      </c>
      <c r="C41" s="18" t="n">
        <v>-800</v>
      </c>
      <c r="D41" s="18" t="n">
        <v>-384</v>
      </c>
      <c r="E41" s="18" t="n">
        <v>-708</v>
      </c>
      <c r="F41" s="18" t="n">
        <v>-296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-496</v>
      </c>
      <c r="C44" s="18" t="n">
        <v>-439</v>
      </c>
      <c r="D44" s="18" t="n">
        <v>-676</v>
      </c>
      <c r="E44" s="18" t="n">
        <v>-700</v>
      </c>
      <c r="F44" s="18" t="n">
        <v>-903</v>
      </c>
    </row>
    <row r="45">
      <c r="A45" s="17" t="inlineStr">
        <is>
          <t>Dividends Paid</t>
        </is>
      </c>
      <c r="B45" s="18" t="n">
        <v>-5748</v>
      </c>
      <c r="C45" s="18" t="n">
        <v>-1498</v>
      </c>
      <c r="D45" s="18" t="n">
        <v>-1251</v>
      </c>
      <c r="E45" s="18" t="n">
        <v>-9041</v>
      </c>
      <c r="F45" s="18" t="n">
        <v>-2183</v>
      </c>
    </row>
    <row r="46">
      <c r="A46" s="17" t="inlineStr">
        <is>
          <t>Other Financing Activities</t>
        </is>
      </c>
      <c r="B46" s="18" t="n">
        <v>-124</v>
      </c>
      <c r="C46" s="18" t="n">
        <v>-704</v>
      </c>
      <c r="D46" s="18" t="n">
        <v>-303</v>
      </c>
      <c r="E46" s="18" t="n">
        <v>-315</v>
      </c>
      <c r="F46" s="18" t="n">
        <v>-393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46</v>
      </c>
      <c r="C49" s="18" t="n">
        <v>-249</v>
      </c>
      <c r="D49" s="18" t="n">
        <v>15</v>
      </c>
      <c r="E49" s="18" t="n">
        <v>40</v>
      </c>
      <c r="F49" s="18" t="n">
        <v>6</v>
      </c>
    </row>
    <row r="50">
      <c r="A50" s="15" t="inlineStr">
        <is>
          <t>Net Change in Cash</t>
        </is>
      </c>
      <c r="B50" s="16" t="n">
        <v>-1019</v>
      </c>
      <c r="C50" s="16" t="n">
        <v>-1055</v>
      </c>
      <c r="D50" s="16" t="n">
        <v>3497</v>
      </c>
      <c r="E50" s="16" t="n">
        <v>-3794</v>
      </c>
      <c r="F50" s="16" t="n">
        <v>4255</v>
      </c>
    </row>
    <row r="51">
      <c r="A51" s="17" t="inlineStr">
        <is>
          <t>Cash at Beginning of Period</t>
        </is>
      </c>
      <c r="B51" s="18" t="n">
        <v>12277</v>
      </c>
      <c r="C51" s="18" t="n">
        <v>11258</v>
      </c>
      <c r="D51" s="18" t="n">
        <v>10203</v>
      </c>
      <c r="E51" s="18" t="n">
        <v>13700</v>
      </c>
      <c r="F51" s="18" t="n">
        <v>9906</v>
      </c>
    </row>
    <row r="52">
      <c r="A52" s="26" t="inlineStr">
        <is>
          <t>Cash at End of Period</t>
        </is>
      </c>
      <c r="B52" s="27" t="n">
        <v>11258</v>
      </c>
      <c r="C52" s="27" t="n">
        <v>10203</v>
      </c>
      <c r="D52" s="27" t="n">
        <v>13700</v>
      </c>
      <c r="E52" s="27" t="n">
        <v>9906</v>
      </c>
      <c r="F52" s="27" t="n">
        <v>14161</v>
      </c>
    </row>
    <row r="53">
      <c r="A53" s="26" t="inlineStr">
        <is>
          <t>Free Cash Flow</t>
        </is>
      </c>
      <c r="B53" s="27" t="n">
        <v>5370</v>
      </c>
      <c r="C53" s="27" t="n">
        <v>3501</v>
      </c>
      <c r="D53" s="27" t="n">
        <v>6745</v>
      </c>
      <c r="E53" s="27" t="n">
        <v>6629</v>
      </c>
      <c r="F53" s="27" t="n">
        <v>7837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COST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444.35</v>
      </c>
      <c r="C61" s="18" t="n">
        <v>444.76</v>
      </c>
      <c r="D61" s="18" t="n">
        <v>444.45</v>
      </c>
      <c r="E61" s="18" t="n">
        <v>444.76</v>
      </c>
      <c r="F61" s="18" t="n">
        <v>444.8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COST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109564</v>
      </c>
      <c r="C5" s="18" t="n">
        <v>101463</v>
      </c>
      <c r="D5" s="18" t="n">
        <v>96175</v>
      </c>
      <c r="E5" s="18" t="n">
        <v>85629</v>
      </c>
      <c r="F5" s="18" t="n">
        <v>77277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COST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465369.81435</v>
      </c>
      <c r="C5" s="44" t="inlineStr">
        <is>
          <t>FMP marketCap  |  price $1048.95</t>
        </is>
      </c>
    </row>
    <row r="6">
      <c r="A6" s="17" t="inlineStr">
        <is>
          <t>Debt  (gross book value, $mm)</t>
        </is>
      </c>
      <c r="B6" s="43" t="n">
        <v>5713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0.0447</v>
      </c>
      <c r="C12" s="44" t="inlineStr">
        <is>
          <t>FRED series DGS10  |  latest: 2026-05-14</t>
        </is>
      </c>
    </row>
    <row r="13">
      <c r="A13" s="47" t="inlineStr">
        <is>
          <t>► Selected Rf  (override if needed)</t>
        </is>
      </c>
      <c r="B13" s="48" t="n">
        <v>0.0447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0.908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0.9379999999999999</v>
      </c>
      <c r="C17" s="44" t="inlineStr">
        <is>
          <t>Mean-reversion toward market beta of 1.0</t>
        </is>
      </c>
    </row>
    <row r="18">
      <c r="A18" s="17" t="inlineStr">
        <is>
          <t>Damodaran industry unlevered  (Discount Stores)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0.01x,  t = 25.1%)</t>
        </is>
      </c>
      <c r="B19" s="50" t="n">
        <v>1.009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0.952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67.40000000000001</v>
      </c>
      <c r="C33" s="44" t="inlineStr">
        <is>
          <t>EBIT $10383mm  /  Int Exp $154mm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67.4x  →  AAA</t>
        </is>
      </c>
    </row>
    <row r="35">
      <c r="A35" s="17" t="inlineStr">
        <is>
          <t>Synthetic Rd  (Rf + Damodaran default spread)</t>
        </is>
      </c>
      <c r="B35" s="46" t="n">
        <v>0.0501</v>
      </c>
      <c r="C35" s="44" t="inlineStr">
        <is>
          <t>Rf 4.47% + spread 0.54%</t>
        </is>
      </c>
    </row>
    <row r="36">
      <c r="A36" s="17" t="inlineStr">
        <is>
          <t>Accounting Rd  (Gross int exp / Avg gross debt)</t>
        </is>
      </c>
      <c r="B36" s="46" t="n">
        <v>0.02652885443583118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$351mm  (int inc $505mm &gt; int exp $154mm)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0.0383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0.2513</v>
      </c>
      <c r="C41" s="44" t="inlineStr">
        <is>
          <t>FMP: $2719mm  /  $10818mm</t>
        </is>
      </c>
    </row>
    <row r="42">
      <c r="A42" s="47" t="inlineStr">
        <is>
          <t>► Selected tax rate  (user override)</t>
        </is>
      </c>
      <c r="B42" s="48" t="n">
        <v>0.2513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(E/V × Re)  +  (D/V × Rd × (1 − t))</t>
        </is>
      </c>
      <c r="B45" s="55">
        <f>B8*B28+B9*B38*(1-B42)</f>
        <v/>
      </c>
      <c r="C45" s="56" t="inlineStr">
        <is>
          <t>Used as discount rate in DCF tab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COST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0.0883</v>
      </c>
      <c r="H7" s="71" t="n">
        <v>0.07870000000000001</v>
      </c>
      <c r="I7" s="71" t="n">
        <v>0.0761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0.0553</v>
      </c>
      <c r="H8" s="71" t="n">
        <v>0.0553</v>
      </c>
      <c r="I8" s="71" t="n">
        <v>0.0553</v>
      </c>
      <c r="J8" s="72">
        <f>I8</f>
        <v/>
      </c>
      <c r="K8" s="72">
        <f>I8</f>
        <v/>
      </c>
      <c r="L8" s="73" t="n">
        <v>0.0487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299547.5</v>
      </c>
      <c r="H15" s="77" t="n">
        <v>323107.2</v>
      </c>
      <c r="I15" s="77" t="n">
        <v>347682.6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295,590 — 305,204</t>
        </is>
      </c>
      <c r="H16" s="82" t="inlineStr">
        <is>
          <t>310,801 — 334,421</t>
        </is>
      </c>
      <c r="I16" s="82" t="inlineStr">
        <is>
          <t>347,489 — 347,876</t>
        </is>
      </c>
      <c r="J16" s="82" t="inlineStr">
        <is>
          <t>356,807 — 376,344</t>
        </is>
      </c>
      <c r="K16" s="82" t="inlineStr">
        <is>
          <t>375,514 — 396,075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24</v>
      </c>
      <c r="H17" s="84" t="n">
        <v>24</v>
      </c>
      <c r="I17" s="84" t="n">
        <v>17</v>
      </c>
      <c r="J17" s="85" t="n">
        <v>8</v>
      </c>
      <c r="K17" s="85" t="n">
        <v>9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16570.9</v>
      </c>
      <c r="H20" s="77" t="n">
        <v>17874.2</v>
      </c>
      <c r="I20" s="77" t="n">
        <v>19233.7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16,352 — 16,884</t>
        </is>
      </c>
      <c r="H21" s="82" t="inlineStr">
        <is>
          <t>17,193 — 18,500</t>
        </is>
      </c>
      <c r="I21" s="82" t="inlineStr">
        <is>
          <t>19,223 — 19,244</t>
        </is>
      </c>
      <c r="J21" s="82" t="inlineStr">
        <is>
          <t>19,738 — 20,819</t>
        </is>
      </c>
      <c r="K21" s="82" t="inlineStr">
        <is>
          <t>20,773 — 21,911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WACC!B45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0.03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MEDIUM (6.6%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15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MEDIUM (6.6%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0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444.8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1048.95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COST  |  Master Prompt v2  |  16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User-supplied via web form</t>
        </is>
      </c>
      <c r="E8" s="123" t="inlineStr">
        <is>
          <t>HIGH</t>
        </is>
      </c>
      <c r="F8" s="124">
        <f>IF(E8="HIGH",10,IF(E8="MOD-HIGH",7,IF(E8="MOD-LOW",3,IF(E8="LOW",0,""))))</f>
        <v/>
      </c>
      <c r="G8" s="125">
        <f>IF(F8="",0,C8*F8*10)</f>
        <v/>
      </c>
      <c r="H8" s="126" t="inlineStr">
        <is>
          <t>User-supplied via web form</t>
        </is>
      </c>
    </row>
    <row r="9" ht="18" customHeight="1">
      <c r="A9" s="119" t="inlineStr">
        <is>
          <t xml:space="preserve">  Moat Profile</t>
        </is>
      </c>
      <c r="B9" s="120" t="inlineStr">
        <is>
          <t>P1</t>
        </is>
      </c>
      <c r="C9" s="121" t="n">
        <v>0.1</v>
      </c>
      <c r="D9" s="122" t="inlineStr">
        <is>
          <t>GM 12.8% ✗ (&gt;40%)  |  GM trend +0.7% ✗ (&gt;+1pp)  |  ROIC-WACC +35.5% ✓ (&gt;+5pp)  |  Rev consistency σ=4.1% ✓ (&lt;8%)  [2/4 indicators positive — proxy score]</t>
        </is>
      </c>
      <c r="E9" s="127" t="inlineStr">
        <is>
          <t>MOD-LOW</t>
        </is>
      </c>
      <c r="F9" s="124" t="n">
        <v>5</v>
      </c>
      <c r="G9" s="125">
        <f>IF(F9="",0,C9*F9*10)</f>
        <v/>
      </c>
      <c r="H9" s="126" t="inlineStr">
        <is>
          <t>GM 12.8% ✗ (&gt;40%)  |  GM trend +0.7% ✗ (&gt;+1pp)  |  ROIC-WACC +35.5% ✓ (&gt;+5pp)  |  Rev consistency σ=4.1% ✓ (&lt;8%)  [2/4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User-supplied via web form</t>
        </is>
      </c>
      <c r="E10" s="128" t="inlineStr">
        <is>
          <t>MOD-HIGH</t>
        </is>
      </c>
      <c r="F10" s="124">
        <f>IF(E10="HIGH",10,IF(E10="MOD-HIGH",7,IF(E10="MOD-LOW",3,IF(E10="LOW",0,""))))</f>
        <v/>
      </c>
      <c r="G10" s="125">
        <f>IF(F10="",0,C10*F10*10)</f>
        <v/>
      </c>
      <c r="H10" s="126" t="inlineStr">
        <is>
          <t>User-supplied via web form</t>
        </is>
      </c>
    </row>
    <row r="11" ht="18" customHeight="1">
      <c r="A11" s="119" t="inlineStr">
        <is>
          <t xml:space="preserve">  Management</t>
        </is>
      </c>
      <c r="B11" s="120" t="inlineStr">
        <is>
          <t>P1</t>
        </is>
      </c>
      <c r="C11" s="121" t="n">
        <v>0.075</v>
      </c>
      <c r="D11" s="122" t="inlineStr">
        <is>
          <t>ROIC trend +2.9% ✓ (&gt;=-2pp)  |  GM maintained +0.7% ✓  |  Op margin +0.3% ✓ (≥-2pp)  |  Capital returns HIGH ✓  |  Share count +0.1%/yr ✓ (≤+2%/yr)  |  Goodwill/Equity 3% ✓ (&lt;40%)  [6/6 indicators positive — proxy score]</t>
        </is>
      </c>
      <c r="E11" s="123" t="inlineStr">
        <is>
          <t>HIGH</t>
        </is>
      </c>
      <c r="F11" s="124" t="n">
        <v>10</v>
      </c>
      <c r="G11" s="125">
        <f>IF(F11="",0,C11*F11*10)</f>
        <v/>
      </c>
      <c r="H11" s="126" t="inlineStr">
        <is>
          <t>ROIC trend +2.9% ✓ (&gt;=-2pp)  |  GM maintained +0.7% ✓  |  Op margin +0.3% ✓ (≥-2pp)  |  Capital returns HIGH ✓  |  Share count +0.1%/yr ✓ (≤+2%/yr)  |  Goodwill/Equity 3% ✓ (&lt;40%)  [6/6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19" t="inlineStr">
        <is>
          <t xml:space="preserve">  Revenue 3yr CAGR</t>
        </is>
      </c>
      <c r="B13" s="120" t="inlineStr">
        <is>
          <t>P2</t>
        </is>
      </c>
      <c r="C13" s="121" t="n">
        <v>0.1</v>
      </c>
      <c r="D13" s="122" t="inlineStr">
        <is>
          <t>6.6%</t>
        </is>
      </c>
      <c r="E13" s="128" t="inlineStr">
        <is>
          <t>MOD-HIGH</t>
        </is>
      </c>
      <c r="F13" s="124" t="n">
        <v>8.640000000000001</v>
      </c>
      <c r="G13" s="125">
        <f>IF(F13="",0,C13*F13*10)</f>
        <v/>
      </c>
      <c r="H13" s="126" t="inlineStr">
        <is>
          <t>6.6%</t>
        </is>
      </c>
    </row>
    <row r="14" ht="18" customHeight="1">
      <c r="A14" s="119" t="inlineStr">
        <is>
          <t xml:space="preserve">  Cash Quality  (FCF / Net Income)</t>
        </is>
      </c>
      <c r="B14" s="120" t="inlineStr">
        <is>
          <t>P2</t>
        </is>
      </c>
      <c r="C14" s="121" t="n">
        <v>0.1</v>
      </c>
      <c r="D14" s="122" t="inlineStr">
        <is>
          <t>97%</t>
        </is>
      </c>
      <c r="E14" s="123" t="inlineStr">
        <is>
          <t>HIGH</t>
        </is>
      </c>
      <c r="F14" s="124" t="n">
        <v>11.01</v>
      </c>
      <c r="G14" s="125">
        <f>IF(F14="",0,C14*F14*10)</f>
        <v/>
      </c>
      <c r="H14" s="126" t="inlineStr">
        <is>
          <t>97%</t>
        </is>
      </c>
    </row>
    <row r="15" ht="18" customHeight="1">
      <c r="A15" s="119" t="inlineStr">
        <is>
          <t xml:space="preserve">  Capital Returns</t>
        </is>
      </c>
      <c r="B15" s="120" t="inlineStr">
        <is>
          <t>P2</t>
        </is>
      </c>
      <c r="C15" s="121" t="n">
        <v>0.05</v>
      </c>
      <c r="D15" s="122" t="inlineStr">
        <is>
          <t>$903mm latest FY — 5yr+ consistent equity-funded  [payout 12% of FCF — low, building cash]</t>
        </is>
      </c>
      <c r="E15" s="123" t="inlineStr">
        <is>
          <t>HIGH</t>
        </is>
      </c>
      <c r="F15" s="124" t="n">
        <v>10</v>
      </c>
      <c r="G15" s="125">
        <f>IF(F15="",0,C15*F15*10)</f>
        <v/>
      </c>
      <c r="H15" s="126" t="inlineStr">
        <is>
          <t>$903mm latest FY — 5yr+ consistent equity-funded  [payout 12% of FCF — low, building cash]</t>
        </is>
      </c>
    </row>
    <row r="16" ht="18" customHeight="1">
      <c r="A16" s="119" t="inlineStr">
        <is>
          <t xml:space="preserve">  ROIC</t>
        </is>
      </c>
      <c r="B16" s="120" t="inlineStr">
        <is>
          <t>P2</t>
        </is>
      </c>
      <c r="C16" s="121" t="n">
        <v>0.075</v>
      </c>
      <c r="D16" s="122" t="inlineStr">
        <is>
          <t>37.0%  [through-cycle: 70/30 latest+5yr median, latest 37.5% → smoothed 37.0%]</t>
        </is>
      </c>
      <c r="E16" s="123" t="inlineStr">
        <is>
          <t>HIGH</t>
        </is>
      </c>
      <c r="F16" s="124" t="n">
        <v>12</v>
      </c>
      <c r="G16" s="125">
        <f>IF(F16="",0,C16*F16*10)</f>
        <v/>
      </c>
      <c r="H16" s="126" t="inlineStr">
        <is>
          <t>37.0%  [through-cycle: 70/30 latest+5yr median, latest 37.5% → smoothed 37.0%]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19" t="inlineStr">
        <is>
          <t xml:space="preserve">  Credit Risk  (D / EBITDA)</t>
        </is>
      </c>
      <c r="B18" s="120" t="inlineStr">
        <is>
          <t>P3</t>
        </is>
      </c>
      <c r="C18" s="121" t="n">
        <v>0.05</v>
      </c>
      <c r="D18" s="122" t="inlineStr">
        <is>
          <t>Net cash $8,448mm — no net leverage  [through-cycle: 70/30 latest+5yr median, latest 0.4x → smoothed 0.5x]</t>
        </is>
      </c>
      <c r="E18" s="123" t="inlineStr">
        <is>
          <t>HIGH</t>
        </is>
      </c>
      <c r="F18" s="124" t="n">
        <v>12</v>
      </c>
      <c r="G18" s="125">
        <f>IF(F18="",0,C18*F18*10)</f>
        <v/>
      </c>
      <c r="H18" s="126" t="inlineStr">
        <is>
          <t>Net cash $8,448mm — no net leverage  [through-cycle: 70/30 latest+5yr median, latest 0.4x → smoothed 0.5x]</t>
        </is>
      </c>
    </row>
    <row r="19" ht="18" customHeight="1">
      <c r="A19" s="119" t="inlineStr">
        <is>
          <t xml:space="preserve">  Interest Cover  (EBIT / Interest)</t>
        </is>
      </c>
      <c r="B19" s="120" t="inlineStr">
        <is>
          <t>P3</t>
        </is>
      </c>
      <c r="C19" s="121" t="n">
        <v>0.075</v>
      </c>
      <c r="D19" s="122" t="inlineStr">
        <is>
          <t>67.4x</t>
        </is>
      </c>
      <c r="E19" s="123" t="inlineStr">
        <is>
          <t>HIGH</t>
        </is>
      </c>
      <c r="F19" s="124" t="n">
        <v>12</v>
      </c>
      <c r="G19" s="125">
        <f>IF(F19="",0,C19*F19*10)</f>
        <v/>
      </c>
      <c r="H19" s="126" t="inlineStr">
        <is>
          <t>67.4x</t>
        </is>
      </c>
    </row>
    <row r="20" ht="18" customHeight="1">
      <c r="A20" s="119" t="inlineStr">
        <is>
          <t xml:space="preserve">  Execution Risk</t>
        </is>
      </c>
      <c r="B20" s="120" t="inlineStr">
        <is>
          <t>P3</t>
        </is>
      </c>
      <c r="C20" s="121" t="n">
        <v>0.05</v>
      </c>
      <c r="D20" s="122" t="inlineStr">
        <is>
          <t>Rev growth σ=4.1%  |  Op margin σ=0.2%  [proxy — lower σ = lower risk = higher score]</t>
        </is>
      </c>
      <c r="E20" s="123" t="inlineStr">
        <is>
          <t>HIGH</t>
        </is>
      </c>
      <c r="F20" s="124" t="n">
        <v>10</v>
      </c>
      <c r="G20" s="125">
        <f>IF(F20="",0,C20*F20*10)</f>
        <v/>
      </c>
      <c r="H20" s="126" t="inlineStr">
        <is>
          <t>Rev growth σ=4.1%  |  Op margin σ=0.2%  [proxy — lower σ = lower risk = higher score]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19" t="inlineStr">
        <is>
          <t xml:space="preserve">  Valuation vs Median  (P/E)</t>
        </is>
      </c>
      <c r="B22" s="120" t="inlineStr">
        <is>
          <t>P4</t>
        </is>
      </c>
      <c r="C22" s="121" t="n">
        <v>0.1</v>
      </c>
      <c r="D22" s="122" t="inlineStr">
        <is>
          <t>Current 51.7x  |  5yr avg 44.9x  |  DCF-implied 17.6x  [+194% vs benchmark]</t>
        </is>
      </c>
      <c r="E22" s="129" t="inlineStr">
        <is>
          <t>LOW</t>
        </is>
      </c>
      <c r="F22" s="124" t="n">
        <v>0</v>
      </c>
      <c r="G22" s="125">
        <f>IF(F22="",0,C22*F22*10)</f>
        <v/>
      </c>
      <c r="H22" s="126" t="inlineStr">
        <is>
          <t>Current 51.7x  |  5yr avg 44.9x  |  DCF-implied 17.6x  [+194% vs benchmark]</t>
        </is>
      </c>
    </row>
    <row r="23" ht="18" customHeight="1">
      <c r="A23" s="119" t="inlineStr">
        <is>
          <t xml:space="preserve">  Valuation vs Median  (P/FCF)</t>
        </is>
      </c>
      <c r="B23" s="120" t="inlineStr">
        <is>
          <t>P4</t>
        </is>
      </c>
      <c r="C23" s="121" t="n">
        <v>0.1</v>
      </c>
      <c r="D23" s="122" t="inlineStr">
        <is>
          <t>Current 53.4x  |  5yr avg 50.8x  |  DCF-implied 18.2x  [+193% vs benchmark]</t>
        </is>
      </c>
      <c r="E23" s="129" t="inlineStr">
        <is>
          <t>LOW</t>
        </is>
      </c>
      <c r="F23" s="124" t="n">
        <v>0</v>
      </c>
      <c r="G23" s="125">
        <f>IF(F23="",0,C23*F23*10)</f>
        <v/>
      </c>
      <c r="H23" s="126" t="inlineStr">
        <is>
          <t>Current 53.4x  |  5yr avg 50.8x  |  DCF-implied 18.2x  [+193% vs benchmark]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0" t="inlineStr">
        <is>
          <t>TOTAL SCORE  (max = 100.0)</t>
        </is>
      </c>
      <c r="B25" s="131" t="n"/>
      <c r="C25" s="131" t="n"/>
      <c r="D25" s="131" t="n"/>
      <c r="E25" s="131" t="n"/>
      <c r="F25" s="131" t="n"/>
      <c r="G25" s="132">
        <f>G8+G9+G10+G11+G13+G14+G15+G16+G18+G19+G20+G22+G23</f>
        <v/>
      </c>
      <c r="H25" s="133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4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2026-05-16T03:56:05Z</dcterms:created>
  <dcterms:modified xsi:type="dcterms:W3CDTF">2026-05-16T03:56:19Z</dcterms:modified>
</cp:coreProperties>
</file>