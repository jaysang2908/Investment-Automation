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8" borderId="1" applyAlignment="1" pivotButton="0" quotePrefix="0" xfId="0">
      <alignment horizontal="center" vertical="center"/>
    </xf>
    <xf numFmtId="0" fontId="32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HCA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75600</v>
      </c>
    </row>
    <row r="8">
      <c r="A8" s="3" t="inlineStr">
        <is>
          <t>Gross Profit ($mm)</t>
        </is>
      </c>
      <c r="B8" s="7" t="n">
        <v>31374</v>
      </c>
    </row>
    <row r="9">
      <c r="A9" s="3" t="inlineStr">
        <is>
          <t>EBITDA ($mm)</t>
        </is>
      </c>
      <c r="B9" s="7" t="n">
        <v>15603</v>
      </c>
    </row>
    <row r="10">
      <c r="A10" s="3" t="inlineStr">
        <is>
          <t>EBIT ($mm)</t>
        </is>
      </c>
      <c r="B10" s="7" t="n">
        <v>11965</v>
      </c>
    </row>
    <row r="11">
      <c r="A11" s="3" t="inlineStr">
        <is>
          <t>Net Income ($mm)</t>
        </is>
      </c>
      <c r="B11" s="7" t="n">
        <v>6784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58752</v>
      </c>
      <c r="C5" s="16" t="n">
        <v>60233</v>
      </c>
      <c r="D5" s="16" t="n">
        <v>64968</v>
      </c>
      <c r="E5" s="16" t="n">
        <v>70603</v>
      </c>
      <c r="F5" s="16" t="n">
        <v>75600</v>
      </c>
    </row>
    <row r="6">
      <c r="A6" s="17" t="inlineStr">
        <is>
          <t>(2)  Cost of Revenue (COGS)</t>
        </is>
      </c>
      <c r="B6" s="18" t="n">
        <v>36260</v>
      </c>
      <c r="C6" s="18" t="n">
        <v>37056</v>
      </c>
      <c r="D6" s="18" t="n">
        <v>39389</v>
      </c>
      <c r="E6" s="18" t="n">
        <v>41925</v>
      </c>
      <c r="F6" s="18" t="n">
        <v>44226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26779</v>
      </c>
      <c r="C9" s="18" t="n">
        <v>27685</v>
      </c>
      <c r="D9" s="18" t="n">
        <v>29487</v>
      </c>
      <c r="E9" s="18" t="n">
        <v>31170</v>
      </c>
      <c r="F9" s="18" t="n">
        <v>7997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12814</v>
      </c>
      <c r="C11" s="18" t="n">
        <v>14124</v>
      </c>
      <c r="D11" s="18" t="n">
        <v>15952</v>
      </c>
      <c r="E11" s="18" t="n">
        <v>18131</v>
      </c>
      <c r="F11" s="18" t="n">
        <v>19409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2853</v>
      </c>
      <c r="C14" s="18" t="n">
        <v>2969</v>
      </c>
      <c r="D14" s="18" t="n">
        <v>3077</v>
      </c>
      <c r="E14" s="18" t="n">
        <v>3312</v>
      </c>
      <c r="F14" s="18" t="n">
        <v>3523</v>
      </c>
    </row>
    <row r="15">
      <c r="A15" s="19" t="inlineStr">
        <is>
          <t>(8)  EBIT (Operating Income)</t>
        </is>
      </c>
      <c r="B15" s="24" t="n">
        <v>9678</v>
      </c>
      <c r="C15" s="24" t="n">
        <v>9053</v>
      </c>
      <c r="D15" s="24" t="n">
        <v>9627</v>
      </c>
      <c r="E15" s="24" t="n">
        <v>10547</v>
      </c>
      <c r="F15" s="24" t="n">
        <v>11965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1529</v>
      </c>
      <c r="C17" s="18" t="n">
        <v>1739</v>
      </c>
      <c r="D17" s="18" t="n">
        <v>1938</v>
      </c>
      <c r="E17" s="18" t="n">
        <v>2061</v>
      </c>
      <c r="F17" s="18" t="n">
        <v>2248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9833</v>
      </c>
      <c r="C21" s="24" t="n">
        <v>8580</v>
      </c>
      <c r="D21" s="24" t="n">
        <v>7706</v>
      </c>
      <c r="E21" s="24" t="n">
        <v>8523</v>
      </c>
      <c r="F21" s="24" t="n">
        <v>9832</v>
      </c>
    </row>
    <row r="22">
      <c r="A22" s="17" t="inlineStr">
        <is>
          <t>(11) Income Tax Expense</t>
        </is>
      </c>
      <c r="B22" s="18" t="n">
        <v>2112</v>
      </c>
      <c r="C22" s="18" t="n">
        <v>1746</v>
      </c>
      <c r="D22" s="18" t="n">
        <v>1615</v>
      </c>
      <c r="E22" s="18" t="n">
        <v>1866</v>
      </c>
      <c r="F22" s="18" t="n">
        <v>2050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6956</v>
      </c>
      <c r="C24" s="24" t="n">
        <v>5643</v>
      </c>
      <c r="D24" s="24" t="n">
        <v>5242</v>
      </c>
      <c r="E24" s="24" t="n">
        <v>5760</v>
      </c>
      <c r="F24" s="24" t="n">
        <v>6784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58752</v>
      </c>
      <c r="C30" s="16" t="n">
        <v>60233</v>
      </c>
      <c r="D30" s="16" t="n">
        <v>64968</v>
      </c>
      <c r="E30" s="16" t="n">
        <v>70603</v>
      </c>
      <c r="F30" s="16" t="n">
        <v>75600</v>
      </c>
    </row>
    <row r="31">
      <c r="A31" s="17" t="inlineStr">
        <is>
          <t>Cost of Revenue</t>
        </is>
      </c>
      <c r="B31" s="18" t="n">
        <v>36260</v>
      </c>
      <c r="C31" s="18" t="n">
        <v>37056</v>
      </c>
      <c r="D31" s="18" t="n">
        <v>39389</v>
      </c>
      <c r="E31" s="18" t="n">
        <v>41925</v>
      </c>
      <c r="F31" s="18" t="n">
        <v>44226</v>
      </c>
    </row>
    <row r="32">
      <c r="A32" s="26" t="inlineStr">
        <is>
          <t>Gross Profit</t>
        </is>
      </c>
      <c r="B32" s="27" t="n">
        <v>22492</v>
      </c>
      <c r="C32" s="27" t="n">
        <v>23177</v>
      </c>
      <c r="D32" s="27" t="n">
        <v>25579</v>
      </c>
      <c r="E32" s="27" t="n">
        <v>28678</v>
      </c>
      <c r="F32" s="27" t="n">
        <v>31374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26779</v>
      </c>
      <c r="C35" s="18" t="n">
        <v>27685</v>
      </c>
      <c r="D35" s="18" t="n">
        <v>29487</v>
      </c>
      <c r="E35" s="18" t="n">
        <v>31170</v>
      </c>
      <c r="F35" s="18" t="n">
        <v>7997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26779</v>
      </c>
      <c r="C37" s="18" t="n">
        <v>27685</v>
      </c>
      <c r="D37" s="18" t="n">
        <v>29487</v>
      </c>
      <c r="E37" s="18" t="n">
        <v>31170</v>
      </c>
      <c r="F37" s="18" t="n">
        <v>7997</v>
      </c>
    </row>
    <row r="38">
      <c r="A38" s="17" t="inlineStr">
        <is>
          <t>Other Expenses</t>
        </is>
      </c>
      <c r="B38" s="18" t="n">
        <v>-13965</v>
      </c>
      <c r="C38" s="18" t="n">
        <v>-13561</v>
      </c>
      <c r="D38" s="18" t="n">
        <v>-13535</v>
      </c>
      <c r="E38" s="18" t="n">
        <v>-13039</v>
      </c>
      <c r="F38" s="18" t="n">
        <v>11412</v>
      </c>
    </row>
    <row r="39">
      <c r="A39" s="26" t="inlineStr">
        <is>
          <t>Total Operating Expenses</t>
        </is>
      </c>
      <c r="B39" s="27" t="n">
        <v>12814</v>
      </c>
      <c r="C39" s="27" t="n">
        <v>14124</v>
      </c>
      <c r="D39" s="27" t="n">
        <v>15952</v>
      </c>
      <c r="E39" s="27" t="n">
        <v>18131</v>
      </c>
      <c r="F39" s="27" t="n">
        <v>19409</v>
      </c>
    </row>
    <row r="40">
      <c r="A40" s="17" t="inlineStr">
        <is>
          <t>Cost &amp; Expenses (COGS + Opex)</t>
        </is>
      </c>
      <c r="B40" s="18" t="n">
        <v>49074</v>
      </c>
      <c r="C40" s="18" t="n">
        <v>51180</v>
      </c>
      <c r="D40" s="18" t="n">
        <v>55341</v>
      </c>
      <c r="E40" s="18" t="n">
        <v>60056</v>
      </c>
      <c r="F40" s="18" t="n">
        <v>63635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9678</v>
      </c>
      <c r="C42" s="16" t="n">
        <v>9053</v>
      </c>
      <c r="D42" s="16" t="n">
        <v>9627</v>
      </c>
      <c r="E42" s="16" t="n">
        <v>10547</v>
      </c>
      <c r="F42" s="16" t="n">
        <v>11965</v>
      </c>
    </row>
    <row r="43">
      <c r="A43" s="17" t="inlineStr">
        <is>
          <t>EBIT (FMP field)</t>
        </is>
      </c>
      <c r="B43" s="18" t="n">
        <v>11399</v>
      </c>
      <c r="C43" s="18" t="n">
        <v>10321</v>
      </c>
      <c r="D43" s="18" t="n">
        <v>9644</v>
      </c>
      <c r="E43" s="18" t="n">
        <v>10584</v>
      </c>
      <c r="F43" s="18" t="n">
        <v>12080</v>
      </c>
    </row>
    <row r="44">
      <c r="A44" s="26" t="inlineStr">
        <is>
          <t>EBITDA</t>
        </is>
      </c>
      <c r="B44" s="27" t="n">
        <v>14252</v>
      </c>
      <c r="C44" s="27" t="n">
        <v>13290</v>
      </c>
      <c r="D44" s="27" t="n">
        <v>12721</v>
      </c>
      <c r="E44" s="27" t="n">
        <v>13896</v>
      </c>
      <c r="F44" s="27" t="n">
        <v>15603</v>
      </c>
    </row>
    <row r="45">
      <c r="A45" s="17" t="inlineStr">
        <is>
          <t>Depreciation &amp; Amortisation</t>
        </is>
      </c>
      <c r="B45" s="18" t="n">
        <v>2853</v>
      </c>
      <c r="C45" s="18" t="n">
        <v>2969</v>
      </c>
      <c r="D45" s="18" t="n">
        <v>3077</v>
      </c>
      <c r="E45" s="18" t="n">
        <v>3312</v>
      </c>
      <c r="F45" s="18" t="n">
        <v>3523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1529</v>
      </c>
      <c r="C48" s="18" t="n">
        <v>1739</v>
      </c>
      <c r="D48" s="18" t="n">
        <v>1938</v>
      </c>
      <c r="E48" s="18" t="n">
        <v>2061</v>
      </c>
      <c r="F48" s="18" t="n">
        <v>2248</v>
      </c>
    </row>
    <row r="49">
      <c r="A49" s="17" t="inlineStr">
        <is>
          <t>Net Interest Income</t>
        </is>
      </c>
      <c r="B49" s="18" t="n">
        <v>-1529</v>
      </c>
      <c r="C49" s="18" t="n">
        <v>-1739</v>
      </c>
      <c r="D49" s="18" t="n">
        <v>-1938</v>
      </c>
      <c r="E49" s="18" t="n">
        <v>-2061</v>
      </c>
      <c r="F49" s="18" t="n">
        <v>-2248</v>
      </c>
    </row>
    <row r="50">
      <c r="A50" s="17" t="inlineStr">
        <is>
          <t>Non-Operating Income (ex-interest)</t>
        </is>
      </c>
      <c r="B50" s="18" t="n">
        <v>-1721</v>
      </c>
      <c r="C50" s="18" t="n">
        <v>-1268</v>
      </c>
      <c r="D50" s="18" t="n">
        <v>-17</v>
      </c>
      <c r="E50" s="18" t="n">
        <v>-37</v>
      </c>
      <c r="F50" s="18" t="n">
        <v>-115</v>
      </c>
    </row>
    <row r="51">
      <c r="A51" s="17" t="inlineStr">
        <is>
          <t>Total Other Income / (Expenses)</t>
        </is>
      </c>
      <c r="B51" s="18" t="n">
        <v>155</v>
      </c>
      <c r="C51" s="18" t="n">
        <v>-473</v>
      </c>
      <c r="D51" s="18" t="n">
        <v>-1921</v>
      </c>
      <c r="E51" s="18" t="n">
        <v>-2024</v>
      </c>
      <c r="F51" s="18" t="n">
        <v>-2133</v>
      </c>
    </row>
    <row r="52">
      <c r="A52" s="26" t="inlineStr">
        <is>
          <t>EBT / Income Before Tax</t>
        </is>
      </c>
      <c r="B52" s="27" t="n">
        <v>9833</v>
      </c>
      <c r="C52" s="27" t="n">
        <v>8580</v>
      </c>
      <c r="D52" s="27" t="n">
        <v>7706</v>
      </c>
      <c r="E52" s="27" t="n">
        <v>8523</v>
      </c>
      <c r="F52" s="27" t="n">
        <v>9832</v>
      </c>
    </row>
    <row r="53">
      <c r="A53" s="17" t="inlineStr">
        <is>
          <t>Income Tax Expense</t>
        </is>
      </c>
      <c r="B53" s="18" t="n">
        <v>2112</v>
      </c>
      <c r="C53" s="18" t="n">
        <v>1746</v>
      </c>
      <c r="D53" s="18" t="n">
        <v>1615</v>
      </c>
      <c r="E53" s="18" t="n">
        <v>1866</v>
      </c>
      <c r="F53" s="18" t="n">
        <v>2050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7721</v>
      </c>
      <c r="C55" s="18" t="n">
        <v>6834</v>
      </c>
      <c r="D55" s="18" t="n">
        <v>6091</v>
      </c>
      <c r="E55" s="18" t="n">
        <v>6657</v>
      </c>
      <c r="F55" s="18" t="n">
        <v>7782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6956</v>
      </c>
      <c r="C59" s="27" t="n">
        <v>5643</v>
      </c>
      <c r="D59" s="27" t="n">
        <v>5242</v>
      </c>
      <c r="E59" s="27" t="n">
        <v>5760</v>
      </c>
      <c r="F59" s="27" t="n">
        <v>6784</v>
      </c>
    </row>
    <row r="60">
      <c r="A60" s="15" t="inlineStr">
        <is>
          <t>Bottom Line Net Income</t>
        </is>
      </c>
      <c r="B60" s="16" t="n">
        <v>6956</v>
      </c>
      <c r="C60" s="16" t="n">
        <v>5643</v>
      </c>
      <c r="D60" s="16" t="n">
        <v>5242</v>
      </c>
      <c r="E60" s="16" t="n">
        <v>5760</v>
      </c>
      <c r="F60" s="16" t="n">
        <v>6784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21.51</v>
      </c>
      <c r="C62" s="18" t="n">
        <v>19.44</v>
      </c>
      <c r="D62" s="18" t="n">
        <v>19.24</v>
      </c>
      <c r="E62" s="18" t="n">
        <v>22.27</v>
      </c>
      <c r="F62" s="18" t="n">
        <v>28.62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323.31</v>
      </c>
      <c r="C64" s="18" t="n">
        <v>290.35</v>
      </c>
      <c r="D64" s="18" t="n">
        <v>272.4</v>
      </c>
      <c r="E64" s="18" t="n">
        <v>258.6</v>
      </c>
      <c r="F64" s="18" t="n">
        <v>230.71</v>
      </c>
    </row>
    <row r="65">
      <c r="A65" s="17" t="inlineStr">
        <is>
          <t>Shares Outstanding — Diluted (mm)</t>
        </is>
      </c>
      <c r="B65" s="18" t="n">
        <v>328.75</v>
      </c>
      <c r="C65" s="18" t="n">
        <v>294.67</v>
      </c>
      <c r="D65" s="18" t="n">
        <v>276.41</v>
      </c>
      <c r="E65" s="18" t="n">
        <v>261.81</v>
      </c>
      <c r="F65" s="18" t="n">
        <v>230.71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1451</v>
      </c>
      <c r="C5" s="18" t="n">
        <v>908</v>
      </c>
      <c r="D5" s="18" t="n">
        <v>935</v>
      </c>
      <c r="E5" s="18" t="n">
        <v>1933</v>
      </c>
      <c r="F5" s="18" t="n">
        <v>1040</v>
      </c>
    </row>
    <row r="6">
      <c r="A6" s="17" t="inlineStr">
        <is>
          <t>(2)  Receivables</t>
        </is>
      </c>
      <c r="B6" s="18" t="n">
        <v>8095</v>
      </c>
      <c r="C6" s="18" t="n">
        <v>8891</v>
      </c>
      <c r="D6" s="18" t="n">
        <v>9958</v>
      </c>
      <c r="E6" s="18" t="n">
        <v>10751</v>
      </c>
      <c r="F6" s="18" t="n">
        <v>10867</v>
      </c>
    </row>
    <row r="7">
      <c r="A7" s="17" t="inlineStr">
        <is>
          <t>(3)  Inventory</t>
        </is>
      </c>
      <c r="B7" s="18" t="n">
        <v>1986</v>
      </c>
      <c r="C7" s="18" t="n">
        <v>2068</v>
      </c>
      <c r="D7" s="18" t="n">
        <v>2021</v>
      </c>
      <c r="E7" s="18" t="n">
        <v>1738</v>
      </c>
      <c r="F7" s="18" t="n">
        <v>1652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13542</v>
      </c>
      <c r="C9" s="24" t="n">
        <v>13643</v>
      </c>
      <c r="D9" s="24" t="n">
        <v>14927</v>
      </c>
      <c r="E9" s="24" t="n">
        <v>16414</v>
      </c>
      <c r="F9" s="24" t="n">
        <v>13559</v>
      </c>
    </row>
    <row r="10">
      <c r="A10" s="17" t="inlineStr">
        <is>
          <t>(6)  PP&amp;E (Net)</t>
        </is>
      </c>
      <c r="B10" s="18" t="n">
        <v>26176</v>
      </c>
      <c r="C10" s="18" t="n">
        <v>27640</v>
      </c>
      <c r="D10" s="18" t="n">
        <v>29922</v>
      </c>
      <c r="E10" s="18" t="n">
        <v>31545</v>
      </c>
      <c r="F10" s="18" t="n">
        <v>31141</v>
      </c>
    </row>
    <row r="11">
      <c r="A11" s="17" t="inlineStr">
        <is>
          <t>(7)  Goodwill</t>
        </is>
      </c>
      <c r="B11" s="18" t="n">
        <v>9137</v>
      </c>
      <c r="C11" s="18" t="n">
        <v>9294</v>
      </c>
      <c r="D11" s="18" t="n">
        <v>9606</v>
      </c>
      <c r="E11" s="18" t="n">
        <v>9770</v>
      </c>
      <c r="F11" s="18" t="n">
        <v>0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37200</v>
      </c>
      <c r="C14" s="24" t="n">
        <v>38795</v>
      </c>
      <c r="D14" s="24" t="n">
        <v>41284</v>
      </c>
      <c r="E14" s="24" t="n">
        <v>43099</v>
      </c>
      <c r="F14" s="24" t="n">
        <v>47161</v>
      </c>
    </row>
    <row r="15">
      <c r="A15" s="19" t="inlineStr">
        <is>
          <t>(11) Total Assets</t>
        </is>
      </c>
      <c r="B15" s="24" t="n">
        <v>50742</v>
      </c>
      <c r="C15" s="24" t="n">
        <v>52438</v>
      </c>
      <c r="D15" s="24" t="n">
        <v>56211</v>
      </c>
      <c r="E15" s="24" t="n">
        <v>59513</v>
      </c>
      <c r="F15" s="24" t="n">
        <v>60720</v>
      </c>
    </row>
    <row r="16" ht="6" customHeight="1"/>
    <row r="17">
      <c r="A17" s="17" t="inlineStr">
        <is>
          <t>(12) Accounts Payable</t>
        </is>
      </c>
      <c r="B17" s="18" t="n">
        <v>4111</v>
      </c>
      <c r="C17" s="18" t="n">
        <v>4239</v>
      </c>
      <c r="D17" s="18" t="n">
        <v>4233</v>
      </c>
      <c r="E17" s="18" t="n">
        <v>4276</v>
      </c>
      <c r="F17" s="18" t="n">
        <v>4659</v>
      </c>
    </row>
    <row r="18">
      <c r="A18" s="17" t="inlineStr">
        <is>
          <t>(13) Short-Term Borrowings</t>
        </is>
      </c>
      <c r="B18" s="18" t="n">
        <v>237</v>
      </c>
      <c r="C18" s="18" t="n">
        <v>370</v>
      </c>
      <c r="D18" s="18" t="n">
        <v>2424</v>
      </c>
      <c r="E18" s="18" t="n">
        <v>4698</v>
      </c>
      <c r="F18" s="18" t="n">
        <v>6742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9582</v>
      </c>
      <c r="C21" s="24" t="n">
        <v>9902</v>
      </c>
      <c r="D21" s="24" t="n">
        <v>12655</v>
      </c>
      <c r="E21" s="24" t="n">
        <v>15177</v>
      </c>
      <c r="F21" s="24" t="n">
        <v>16350</v>
      </c>
    </row>
    <row r="22">
      <c r="A22" s="17" t="inlineStr">
        <is>
          <t>(17) Long-Term Debt</t>
        </is>
      </c>
      <c r="B22" s="18" t="n">
        <v>33765</v>
      </c>
      <c r="C22" s="18" t="n">
        <v>37135</v>
      </c>
      <c r="D22" s="18" t="n">
        <v>37169</v>
      </c>
      <c r="E22" s="18" t="n">
        <v>38333</v>
      </c>
      <c r="F22" s="18" t="n">
        <v>41603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49253</v>
      </c>
      <c r="C25" s="24" t="n">
        <v>52511</v>
      </c>
      <c r="D25" s="24" t="n">
        <v>55151</v>
      </c>
      <c r="E25" s="24" t="n">
        <v>58958</v>
      </c>
      <c r="F25" s="24" t="n">
        <v>63491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3</v>
      </c>
      <c r="D27" s="18" t="n">
        <v>3</v>
      </c>
      <c r="E27" s="18" t="n">
        <v>3</v>
      </c>
      <c r="F27" s="18" t="n">
        <v>2</v>
      </c>
    </row>
    <row r="28">
      <c r="A28" s="17" t="inlineStr">
        <is>
          <t>(22) Retained Earnings</t>
        </is>
      </c>
      <c r="B28" s="18" t="n">
        <v>-532</v>
      </c>
      <c r="C28" s="18" t="n">
        <v>-2280</v>
      </c>
      <c r="D28" s="18" t="n">
        <v>-1352</v>
      </c>
      <c r="E28" s="18" t="n">
        <v>-2115</v>
      </c>
      <c r="F28" s="18" t="n">
        <v>-5724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-933</v>
      </c>
      <c r="C30" s="24" t="n">
        <v>-2767</v>
      </c>
      <c r="D30" s="24" t="n">
        <v>-1774</v>
      </c>
      <c r="E30" s="24" t="n">
        <v>-2499</v>
      </c>
      <c r="F30" s="24" t="n">
        <v>-6027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1451</v>
      </c>
      <c r="C36" s="18" t="n">
        <v>908</v>
      </c>
      <c r="D36" s="18" t="n">
        <v>935</v>
      </c>
      <c r="E36" s="18" t="n">
        <v>1933</v>
      </c>
      <c r="F36" s="18" t="n">
        <v>1040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88</v>
      </c>
      <c r="F37" s="18" t="n">
        <v>0</v>
      </c>
    </row>
    <row r="38">
      <c r="A38" s="28" t="inlineStr">
        <is>
          <t>Cash &amp; Short-Term Investments</t>
        </is>
      </c>
      <c r="B38" s="29" t="n">
        <v>1451</v>
      </c>
      <c r="C38" s="29" t="n">
        <v>908</v>
      </c>
      <c r="D38" s="29" t="n">
        <v>935</v>
      </c>
      <c r="E38" s="29" t="n">
        <v>2021</v>
      </c>
      <c r="F38" s="29" t="n">
        <v>1040</v>
      </c>
    </row>
    <row r="39">
      <c r="A39" s="17" t="inlineStr">
        <is>
          <t>Accounts Receivable (Trade)</t>
        </is>
      </c>
      <c r="B39" s="18" t="n">
        <v>8095</v>
      </c>
      <c r="C39" s="18" t="n">
        <v>8891</v>
      </c>
      <c r="D39" s="18" t="n">
        <v>9958</v>
      </c>
      <c r="E39" s="18" t="n">
        <v>10751</v>
      </c>
      <c r="F39" s="18" t="n">
        <v>10867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8095</v>
      </c>
      <c r="C41" s="29" t="n">
        <v>8891</v>
      </c>
      <c r="D41" s="29" t="n">
        <v>9958</v>
      </c>
      <c r="E41" s="29" t="n">
        <v>10751</v>
      </c>
      <c r="F41" s="29" t="n">
        <v>10867</v>
      </c>
    </row>
    <row r="42">
      <c r="A42" s="17" t="inlineStr">
        <is>
          <t>Inventory</t>
        </is>
      </c>
      <c r="B42" s="18" t="n">
        <v>1986</v>
      </c>
      <c r="C42" s="18" t="n">
        <v>2068</v>
      </c>
      <c r="D42" s="18" t="n">
        <v>2021</v>
      </c>
      <c r="E42" s="18" t="n">
        <v>1738</v>
      </c>
      <c r="F42" s="18" t="n">
        <v>1652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2010</v>
      </c>
      <c r="C44" s="18" t="n">
        <v>1776</v>
      </c>
      <c r="D44" s="18" t="n">
        <v>2013</v>
      </c>
      <c r="E44" s="18" t="n">
        <v>1904</v>
      </c>
      <c r="F44" s="18" t="n">
        <v>0</v>
      </c>
    </row>
    <row r="45">
      <c r="A45" s="26" t="inlineStr">
        <is>
          <t>Total Current Assets</t>
        </is>
      </c>
      <c r="B45" s="27" t="n">
        <v>13542</v>
      </c>
      <c r="C45" s="27" t="n">
        <v>13643</v>
      </c>
      <c r="D45" s="27" t="n">
        <v>14927</v>
      </c>
      <c r="E45" s="27" t="n">
        <v>16414</v>
      </c>
      <c r="F45" s="27" t="n">
        <v>13559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26176</v>
      </c>
      <c r="C47" s="18" t="n">
        <v>27640</v>
      </c>
      <c r="D47" s="18" t="n">
        <v>29922</v>
      </c>
      <c r="E47" s="18" t="n">
        <v>31545</v>
      </c>
      <c r="F47" s="18" t="n">
        <v>31141</v>
      </c>
    </row>
    <row r="48">
      <c r="A48" s="17" t="inlineStr">
        <is>
          <t>Goodwill</t>
        </is>
      </c>
      <c r="B48" s="18" t="n">
        <v>9137</v>
      </c>
      <c r="C48" s="18" t="n">
        <v>9294</v>
      </c>
      <c r="D48" s="18" t="n">
        <v>9606</v>
      </c>
      <c r="E48" s="18" t="n">
        <v>9770</v>
      </c>
      <c r="F48" s="18" t="n">
        <v>0</v>
      </c>
    </row>
    <row r="49">
      <c r="A49" s="17" t="inlineStr">
        <is>
          <t>Intangible Assets</t>
        </is>
      </c>
      <c r="B49" s="18" t="n">
        <v>403</v>
      </c>
      <c r="C49" s="18" t="n">
        <v>359</v>
      </c>
      <c r="D49" s="18" t="n">
        <v>339</v>
      </c>
      <c r="E49" s="18" t="n">
        <v>323</v>
      </c>
      <c r="F49" s="18" t="n">
        <v>10293</v>
      </c>
    </row>
    <row r="50">
      <c r="A50" s="17" t="inlineStr">
        <is>
          <t>Long-Term Investments</t>
        </is>
      </c>
      <c r="B50" s="18" t="n">
        <v>886</v>
      </c>
      <c r="C50" s="18" t="n">
        <v>1204</v>
      </c>
      <c r="D50" s="18" t="n">
        <v>1233</v>
      </c>
      <c r="E50" s="18" t="n">
        <v>1231</v>
      </c>
      <c r="F50" s="18" t="n">
        <v>633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886</v>
      </c>
      <c r="C52" s="18" t="n">
        <v>1204</v>
      </c>
      <c r="D52" s="18" t="n">
        <v>1233</v>
      </c>
      <c r="E52" s="18" t="n">
        <v>1319</v>
      </c>
      <c r="F52" s="18" t="n">
        <v>633</v>
      </c>
    </row>
    <row r="53">
      <c r="A53" s="17" t="inlineStr">
        <is>
          <t>Other Non-Current Assets</t>
        </is>
      </c>
      <c r="B53" s="18" t="n">
        <v>598</v>
      </c>
      <c r="C53" s="18" t="n">
        <v>298</v>
      </c>
      <c r="D53" s="18" t="n">
        <v>184</v>
      </c>
      <c r="E53" s="18" t="n">
        <v>230</v>
      </c>
      <c r="F53" s="18" t="n">
        <v>5094</v>
      </c>
    </row>
    <row r="54">
      <c r="A54" s="26" t="inlineStr">
        <is>
          <t>Total Non-Current Assets</t>
        </is>
      </c>
      <c r="B54" s="27" t="n">
        <v>37200</v>
      </c>
      <c r="C54" s="27" t="n">
        <v>38795</v>
      </c>
      <c r="D54" s="27" t="n">
        <v>41284</v>
      </c>
      <c r="E54" s="27" t="n">
        <v>43099</v>
      </c>
      <c r="F54" s="27" t="n">
        <v>47161</v>
      </c>
    </row>
    <row r="55">
      <c r="A55" s="13" t="inlineStr">
        <is>
          <t>TOTAL ASSETS</t>
        </is>
      </c>
      <c r="B55" s="30" t="n">
        <v>50742</v>
      </c>
      <c r="C55" s="30" t="n">
        <v>52438</v>
      </c>
      <c r="D55" s="30" t="n">
        <v>56211</v>
      </c>
      <c r="E55" s="30" t="n">
        <v>59513</v>
      </c>
      <c r="F55" s="30" t="n">
        <v>60720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4111</v>
      </c>
      <c r="C57" s="18" t="n">
        <v>4239</v>
      </c>
      <c r="D57" s="18" t="n">
        <v>4233</v>
      </c>
      <c r="E57" s="18" t="n">
        <v>4276</v>
      </c>
      <c r="F57" s="18" t="n">
        <v>4659</v>
      </c>
    </row>
    <row r="58">
      <c r="A58" s="17" t="inlineStr">
        <is>
          <t>Short-Term Debt</t>
        </is>
      </c>
      <c r="B58" s="18" t="n">
        <v>237</v>
      </c>
      <c r="C58" s="18" t="n">
        <v>370</v>
      </c>
      <c r="D58" s="18" t="n">
        <v>2424</v>
      </c>
      <c r="E58" s="18" t="n">
        <v>4698</v>
      </c>
      <c r="F58" s="18" t="n">
        <v>6742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549</v>
      </c>
      <c r="C61" s="18" t="n">
        <v>794</v>
      </c>
      <c r="D61" s="18" t="n">
        <v>867</v>
      </c>
      <c r="E61" s="18" t="n">
        <v>910</v>
      </c>
      <c r="F61" s="18" t="n">
        <v>2424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9582</v>
      </c>
      <c r="C63" s="27" t="n">
        <v>9902</v>
      </c>
      <c r="D63" s="27" t="n">
        <v>12655</v>
      </c>
      <c r="E63" s="27" t="n">
        <v>15177</v>
      </c>
      <c r="F63" s="27" t="n">
        <v>16350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33765</v>
      </c>
      <c r="C65" s="18" t="n">
        <v>37135</v>
      </c>
      <c r="D65" s="18" t="n">
        <v>37169</v>
      </c>
      <c r="E65" s="18" t="n">
        <v>38333</v>
      </c>
      <c r="F65" s="18" t="n">
        <v>41603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3574</v>
      </c>
      <c r="C69" s="18" t="n">
        <v>3143</v>
      </c>
      <c r="D69" s="18" t="n">
        <v>3424</v>
      </c>
      <c r="E69" s="18" t="n">
        <v>3585</v>
      </c>
      <c r="F69" s="18" t="n">
        <v>3685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49253</v>
      </c>
      <c r="C71" s="30" t="n">
        <v>52511</v>
      </c>
      <c r="D71" s="30" t="n">
        <v>55151</v>
      </c>
      <c r="E71" s="30" t="n">
        <v>58958</v>
      </c>
      <c r="F71" s="30" t="n">
        <v>63491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3</v>
      </c>
      <c r="D73" s="18" t="n">
        <v>3</v>
      </c>
      <c r="E73" s="18" t="n">
        <v>3</v>
      </c>
      <c r="F73" s="18" t="n">
        <v>2</v>
      </c>
    </row>
    <row r="74">
      <c r="A74" s="17" t="inlineStr">
        <is>
          <t>Retained Earnings</t>
        </is>
      </c>
      <c r="B74" s="18" t="n">
        <v>-532</v>
      </c>
      <c r="C74" s="18" t="n">
        <v>-2280</v>
      </c>
      <c r="D74" s="18" t="n">
        <v>-1352</v>
      </c>
      <c r="E74" s="18" t="n">
        <v>-2115</v>
      </c>
      <c r="F74" s="18" t="n">
        <v>-5724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2422</v>
      </c>
      <c r="C77" s="18" t="n">
        <v>2694</v>
      </c>
      <c r="D77" s="18" t="n">
        <v>2834</v>
      </c>
      <c r="E77" s="18" t="n">
        <v>3054</v>
      </c>
      <c r="F77" s="18" t="n">
        <v>3256</v>
      </c>
    </row>
    <row r="78">
      <c r="A78" s="26" t="inlineStr">
        <is>
          <t>Total Equity (inc. Minority)</t>
        </is>
      </c>
      <c r="B78" s="27" t="n">
        <v>1489</v>
      </c>
      <c r="C78" s="27" t="n">
        <v>-73</v>
      </c>
      <c r="D78" s="27" t="n">
        <v>1060</v>
      </c>
      <c r="E78" s="27" t="n">
        <v>555</v>
      </c>
      <c r="F78" s="27" t="n">
        <v>-2771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8959</v>
      </c>
      <c r="C5" s="24" t="n">
        <v>8522</v>
      </c>
      <c r="D5" s="24" t="n">
        <v>9431</v>
      </c>
      <c r="E5" s="24" t="n">
        <v>10514</v>
      </c>
      <c r="F5" s="24" t="n">
        <v>12636</v>
      </c>
    </row>
    <row r="6">
      <c r="A6" s="17" t="inlineStr">
        <is>
          <t>(2)  Capital Expenditures</t>
        </is>
      </c>
      <c r="B6" s="18" t="n">
        <v>-3577</v>
      </c>
      <c r="C6" s="18" t="n">
        <v>-4395</v>
      </c>
      <c r="D6" s="18" t="n">
        <v>-4744</v>
      </c>
      <c r="E6" s="18" t="n">
        <v>-4875</v>
      </c>
      <c r="F6" s="18" t="n">
        <v>-4944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3255</v>
      </c>
      <c r="C9" s="18" t="n">
        <v>3287</v>
      </c>
      <c r="D9" s="18" t="n">
        <v>1295</v>
      </c>
      <c r="E9" s="18" t="n">
        <v>3205</v>
      </c>
      <c r="F9" s="18" t="n">
        <v>3208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-624</v>
      </c>
      <c r="C12" s="18" t="n">
        <v>-653</v>
      </c>
      <c r="D12" s="18" t="n">
        <v>-661</v>
      </c>
      <c r="E12" s="18" t="n">
        <v>-690</v>
      </c>
      <c r="F12" s="18" t="n">
        <v>-679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5382</v>
      </c>
      <c r="C15" s="24" t="n">
        <v>4127</v>
      </c>
      <c r="D15" s="24" t="n">
        <v>4687</v>
      </c>
      <c r="E15" s="24" t="n">
        <v>5639</v>
      </c>
      <c r="F15" s="24" t="n">
        <v>7692</v>
      </c>
    </row>
    <row r="16">
      <c r="A16" s="15" t="inlineStr">
        <is>
          <t xml:space="preserve">     Net Change in Cash</t>
        </is>
      </c>
      <c r="B16" s="16" t="n">
        <v>-342</v>
      </c>
      <c r="C16" s="16" t="n">
        <v>-543</v>
      </c>
      <c r="D16" s="16" t="n">
        <v>27</v>
      </c>
      <c r="E16" s="16" t="n">
        <v>998</v>
      </c>
      <c r="F16" s="16" t="n">
        <v>-893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7721</v>
      </c>
      <c r="C21" s="18" t="n">
        <v>6834</v>
      </c>
      <c r="D21" s="18" t="n">
        <v>5242</v>
      </c>
      <c r="E21" s="18" t="n">
        <v>6657</v>
      </c>
      <c r="F21" s="18" t="n">
        <v>6784</v>
      </c>
    </row>
    <row r="22">
      <c r="A22" s="17" t="inlineStr">
        <is>
          <t>Depreciation &amp; Amortisation</t>
        </is>
      </c>
      <c r="B22" s="18" t="n">
        <v>2853</v>
      </c>
      <c r="C22" s="18" t="n">
        <v>2969</v>
      </c>
      <c r="D22" s="18" t="n">
        <v>3077</v>
      </c>
      <c r="E22" s="18" t="n">
        <v>3312</v>
      </c>
      <c r="F22" s="18" t="n">
        <v>3523</v>
      </c>
    </row>
    <row r="23">
      <c r="A23" s="17" t="inlineStr">
        <is>
          <t>Deferred Income Tax</t>
        </is>
      </c>
      <c r="B23" s="18" t="n">
        <v>-70</v>
      </c>
      <c r="C23" s="18" t="n">
        <v>571</v>
      </c>
      <c r="D23" s="18" t="n">
        <v>229</v>
      </c>
      <c r="E23" s="18" t="n">
        <v>22</v>
      </c>
      <c r="F23" s="18" t="n">
        <v>0</v>
      </c>
    </row>
    <row r="24">
      <c r="A24" s="17" t="inlineStr">
        <is>
          <t>Stock-Based Compensation</t>
        </is>
      </c>
      <c r="B24" s="18" t="n">
        <v>440</v>
      </c>
      <c r="C24" s="18" t="n">
        <v>341</v>
      </c>
      <c r="D24" s="18" t="n">
        <v>262</v>
      </c>
      <c r="E24" s="18" t="n">
        <v>360</v>
      </c>
      <c r="F24" s="18" t="n">
        <v>0</v>
      </c>
    </row>
    <row r="25">
      <c r="A25" s="17" t="inlineStr">
        <is>
          <t>Change in Working Capital</t>
        </is>
      </c>
      <c r="B25" s="18" t="n">
        <v>-503</v>
      </c>
      <c r="C25" s="18" t="n">
        <v>-1152</v>
      </c>
      <c r="D25" s="18" t="n">
        <v>-457</v>
      </c>
      <c r="E25" s="18" t="n">
        <v>-106</v>
      </c>
      <c r="F25" s="18" t="n">
        <v>728</v>
      </c>
    </row>
    <row r="26">
      <c r="A26" s="21" t="inlineStr">
        <is>
          <t xml:space="preserve">  — Accounts Receivable</t>
        </is>
      </c>
      <c r="B26" s="18" t="n">
        <v>-962</v>
      </c>
      <c r="C26" s="18" t="n">
        <v>-797</v>
      </c>
      <c r="D26" s="18" t="n">
        <v>0</v>
      </c>
      <c r="E26" s="18" t="n">
        <v>-799</v>
      </c>
      <c r="F26" s="18" t="n">
        <v>-94</v>
      </c>
    </row>
    <row r="27">
      <c r="A27" s="21" t="inlineStr">
        <is>
          <t xml:space="preserve">  — Inventory</t>
        </is>
      </c>
      <c r="B27" s="18" t="n">
        <v>-540</v>
      </c>
      <c r="C27" s="18" t="n">
        <v>-59</v>
      </c>
      <c r="D27" s="18" t="n">
        <v>0</v>
      </c>
      <c r="E27" s="18" t="n">
        <v>334</v>
      </c>
      <c r="F27" s="18" t="n">
        <v>-154</v>
      </c>
    </row>
    <row r="28">
      <c r="A28" s="21" t="inlineStr">
        <is>
          <t xml:space="preserve">  — Accounts Payable</t>
        </is>
      </c>
      <c r="B28" s="18" t="n">
        <v>999</v>
      </c>
      <c r="C28" s="18" t="n">
        <v>-296</v>
      </c>
      <c r="D28" s="18" t="n">
        <v>0</v>
      </c>
      <c r="E28" s="18" t="n">
        <v>359</v>
      </c>
      <c r="F28" s="18" t="n">
        <v>666</v>
      </c>
    </row>
    <row r="29">
      <c r="A29" s="21" t="inlineStr">
        <is>
          <t xml:space="preserve">  — Other Working Capital</t>
        </is>
      </c>
      <c r="B29" s="18" t="n">
        <v>0</v>
      </c>
      <c r="C29" s="18" t="n">
        <v>0</v>
      </c>
      <c r="D29" s="18" t="n">
        <v>-457</v>
      </c>
      <c r="E29" s="18" t="n">
        <v>0</v>
      </c>
      <c r="F29" s="18" t="n">
        <v>310</v>
      </c>
    </row>
    <row r="30">
      <c r="A30" s="17" t="inlineStr">
        <is>
          <t>Other Non-Cash Items</t>
        </is>
      </c>
      <c r="B30" s="18" t="n">
        <v>-1482</v>
      </c>
      <c r="C30" s="18" t="n">
        <v>-1041</v>
      </c>
      <c r="D30" s="18" t="n">
        <v>1078</v>
      </c>
      <c r="E30" s="18" t="n">
        <v>269</v>
      </c>
      <c r="F30" s="18" t="n">
        <v>1601</v>
      </c>
    </row>
    <row r="31">
      <c r="A31" s="26" t="inlineStr">
        <is>
          <t>Net Cash from Operations (CFO)</t>
        </is>
      </c>
      <c r="B31" s="27" t="n">
        <v>8959</v>
      </c>
      <c r="C31" s="27" t="n">
        <v>8522</v>
      </c>
      <c r="D31" s="27" t="n">
        <v>9431</v>
      </c>
      <c r="E31" s="27" t="n">
        <v>10514</v>
      </c>
      <c r="F31" s="27" t="n">
        <v>12636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-3577</v>
      </c>
      <c r="C33" s="18" t="n">
        <v>-4395</v>
      </c>
      <c r="D33" s="18" t="n">
        <v>-4744</v>
      </c>
      <c r="E33" s="18" t="n">
        <v>-4875</v>
      </c>
      <c r="F33" s="18" t="n">
        <v>-4944</v>
      </c>
    </row>
    <row r="34">
      <c r="A34" s="21" t="inlineStr">
        <is>
          <t xml:space="preserve">  (Alt: Invest. in PP&amp;E)</t>
        </is>
      </c>
      <c r="B34" s="18" t="n">
        <v>-3577</v>
      </c>
      <c r="C34" s="18" t="n">
        <v>-4395</v>
      </c>
      <c r="D34" s="18" t="n">
        <v>-4744</v>
      </c>
      <c r="E34" s="18" t="n">
        <v>-4875</v>
      </c>
      <c r="F34" s="18" t="n">
        <v>-4944</v>
      </c>
    </row>
    <row r="35">
      <c r="A35" s="17" t="inlineStr">
        <is>
          <t>Acquisitions (Net)</t>
        </is>
      </c>
      <c r="B35" s="18" t="n">
        <v>1055</v>
      </c>
      <c r="C35" s="18" t="n">
        <v>1013</v>
      </c>
      <c r="D35" s="18" t="n">
        <v>-442</v>
      </c>
      <c r="E35" s="18" t="n">
        <v>0</v>
      </c>
      <c r="F35" s="18" t="n">
        <v>-128</v>
      </c>
    </row>
    <row r="36">
      <c r="A36" s="17" t="inlineStr">
        <is>
          <t>Purchases of Investments</t>
        </is>
      </c>
      <c r="B36" s="18" t="n">
        <v>-117</v>
      </c>
      <c r="C36" s="18" t="n">
        <v>-14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Sales / Maturities of Investments</t>
        </is>
      </c>
      <c r="B37" s="18" t="n">
        <v>117</v>
      </c>
      <c r="C37" s="18" t="n">
        <v>14</v>
      </c>
      <c r="D37" s="18" t="n">
        <v>0</v>
      </c>
      <c r="E37" s="18" t="n">
        <v>0</v>
      </c>
      <c r="F37" s="18" t="n">
        <v>72</v>
      </c>
    </row>
    <row r="38">
      <c r="A38" s="17" t="inlineStr">
        <is>
          <t>Other Investing Activities</t>
        </is>
      </c>
      <c r="B38" s="18" t="n">
        <v>-121</v>
      </c>
      <c r="C38" s="18" t="n">
        <v>-7</v>
      </c>
      <c r="D38" s="18" t="n">
        <v>-131</v>
      </c>
      <c r="E38" s="18" t="n">
        <v>-58</v>
      </c>
      <c r="F38" s="18" t="n">
        <v>12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3255</v>
      </c>
      <c r="C41" s="18" t="n">
        <v>3287</v>
      </c>
      <c r="D41" s="18" t="n">
        <v>1295</v>
      </c>
      <c r="E41" s="18" t="n">
        <v>3205</v>
      </c>
      <c r="F41" s="18" t="n">
        <v>3208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-8215</v>
      </c>
      <c r="C44" s="18" t="n">
        <v>-7000</v>
      </c>
      <c r="D44" s="18" t="n">
        <v>-3811</v>
      </c>
      <c r="E44" s="18" t="n">
        <v>-6042</v>
      </c>
      <c r="F44" s="18" t="n">
        <v>-10067</v>
      </c>
    </row>
    <row r="45">
      <c r="A45" s="17" t="inlineStr">
        <is>
          <t>Dividends Paid</t>
        </is>
      </c>
      <c r="B45" s="18" t="n">
        <v>-624</v>
      </c>
      <c r="C45" s="18" t="n">
        <v>-653</v>
      </c>
      <c r="D45" s="18" t="n">
        <v>-661</v>
      </c>
      <c r="E45" s="18" t="n">
        <v>-690</v>
      </c>
      <c r="F45" s="18" t="n">
        <v>-679</v>
      </c>
    </row>
    <row r="46">
      <c r="A46" s="17" t="inlineStr">
        <is>
          <t>Other Financing Activities</t>
        </is>
      </c>
      <c r="B46" s="18" t="n">
        <v>-1071</v>
      </c>
      <c r="C46" s="18" t="n">
        <v>-1290</v>
      </c>
      <c r="D46" s="18" t="n">
        <v>-917</v>
      </c>
      <c r="E46" s="18" t="n">
        <v>-1055</v>
      </c>
      <c r="F46" s="18" t="n">
        <v>-1012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</v>
      </c>
      <c r="C49" s="18" t="n">
        <v>-20</v>
      </c>
      <c r="D49" s="18" t="n">
        <v>7</v>
      </c>
      <c r="E49" s="18" t="n">
        <v>-1</v>
      </c>
      <c r="F49" s="18" t="n">
        <v>9</v>
      </c>
    </row>
    <row r="50">
      <c r="A50" s="15" t="inlineStr">
        <is>
          <t>Net Change in Cash</t>
        </is>
      </c>
      <c r="B50" s="16" t="n">
        <v>-342</v>
      </c>
      <c r="C50" s="16" t="n">
        <v>-543</v>
      </c>
      <c r="D50" s="16" t="n">
        <v>27</v>
      </c>
      <c r="E50" s="16" t="n">
        <v>998</v>
      </c>
      <c r="F50" s="16" t="n">
        <v>-893</v>
      </c>
    </row>
    <row r="51">
      <c r="A51" s="17" t="inlineStr">
        <is>
          <t>Cash at Beginning of Period</t>
        </is>
      </c>
      <c r="B51" s="18" t="n">
        <v>1793</v>
      </c>
      <c r="C51" s="18" t="n">
        <v>1451</v>
      </c>
      <c r="D51" s="18" t="n">
        <v>908</v>
      </c>
      <c r="E51" s="18" t="n">
        <v>935</v>
      </c>
      <c r="F51" s="18" t="n">
        <v>1933</v>
      </c>
    </row>
    <row r="52">
      <c r="A52" s="26" t="inlineStr">
        <is>
          <t>Cash at End of Period</t>
        </is>
      </c>
      <c r="B52" s="27" t="n">
        <v>1451</v>
      </c>
      <c r="C52" s="27" t="n">
        <v>908</v>
      </c>
      <c r="D52" s="27" t="n">
        <v>935</v>
      </c>
      <c r="E52" s="27" t="n">
        <v>1933</v>
      </c>
      <c r="F52" s="27" t="n">
        <v>1040</v>
      </c>
    </row>
    <row r="53">
      <c r="A53" s="26" t="inlineStr">
        <is>
          <t>Free Cash Flow</t>
        </is>
      </c>
      <c r="B53" s="27" t="n">
        <v>5382</v>
      </c>
      <c r="C53" s="27" t="n">
        <v>4127</v>
      </c>
      <c r="D53" s="27" t="n">
        <v>4687</v>
      </c>
      <c r="E53" s="27" t="n">
        <v>5639</v>
      </c>
      <c r="F53" s="27" t="n">
        <v>7692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328.75</v>
      </c>
      <c r="C61" s="18" t="n">
        <v>294.67</v>
      </c>
      <c r="D61" s="18" t="n">
        <v>276.41</v>
      </c>
      <c r="E61" s="18" t="n">
        <v>261.81</v>
      </c>
      <c r="F61" s="18" t="n">
        <v>230.71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1864</v>
      </c>
      <c r="C5" s="18" t="n">
        <v>1682</v>
      </c>
      <c r="D5" s="18" t="n">
        <v>1509</v>
      </c>
      <c r="E5" s="18" t="n">
        <v>1317</v>
      </c>
      <c r="F5" s="18" t="n">
        <v>1336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HCA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95990.16800000001</v>
      </c>
      <c r="C5" s="44" t="inlineStr">
        <is>
          <t>FMP marketCap  |  price $432.7</t>
        </is>
      </c>
    </row>
    <row r="6">
      <c r="A6" s="17" t="inlineStr">
        <is>
          <t>Debt  (gross book value, $mm)</t>
        </is>
      </c>
      <c r="B6" s="43" t="n">
        <v>48345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1.19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1.127</v>
      </c>
      <c r="C17" s="44" t="inlineStr">
        <is>
          <t>Mean-reversion toward market beta of 1.0</t>
        </is>
      </c>
    </row>
    <row r="18">
      <c r="A18" s="17" t="inlineStr">
        <is>
          <t>Damodaran industry unlevered  (Medical - Care Facilities)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0.50x,  t = 20.9%)</t>
        </is>
      </c>
      <c r="B19" s="50" t="n">
        <v>1.399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1.239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5.3</v>
      </c>
      <c r="C33" s="44" t="inlineStr">
        <is>
          <t>EBIT $11965mm  /  Int Exp $2248mm</t>
        </is>
      </c>
    </row>
    <row r="34">
      <c r="A34" s="17" t="inlineStr">
        <is>
          <t>Synthetic rating  (Damodaran ICR table)</t>
        </is>
      </c>
      <c r="B34" s="53" t="inlineStr">
        <is>
          <t>A-</t>
        </is>
      </c>
      <c r="C34" s="44" t="inlineStr">
        <is>
          <t>ICR 5.3x  →  A-</t>
        </is>
      </c>
    </row>
    <row r="35">
      <c r="A35" s="17" t="inlineStr">
        <is>
          <t>Synthetic Rd  (Rf + Damodaran default spread)</t>
        </is>
      </c>
      <c r="B35" s="46" t="n">
        <v>0.0578</v>
      </c>
      <c r="C35" s="44" t="inlineStr">
        <is>
          <t>Rf 4.46% + spread 1.32%</t>
        </is>
      </c>
    </row>
    <row r="36">
      <c r="A36" s="17" t="inlineStr">
        <is>
          <t>Accounting Rd  (Gross int exp / Avg gross debt)</t>
        </is>
      </c>
      <c r="B36" s="46" t="n">
        <v>0.04920329189283838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0.0535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0.2085</v>
      </c>
      <c r="C40" s="44" t="inlineStr">
        <is>
          <t>FMP: $2050mm  /  $9832mm</t>
        </is>
      </c>
    </row>
    <row r="41">
      <c r="A41" s="47" t="inlineStr">
        <is>
          <t>► Selected tax rate  (user override)</t>
        </is>
      </c>
      <c r="B41" s="48" t="n">
        <v>0.2085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HCA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0.0388</v>
      </c>
      <c r="H7" s="71" t="n">
        <v>0.0482</v>
      </c>
      <c r="I7" s="71" t="n">
        <v>0.0543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0.2124</v>
      </c>
      <c r="H8" s="71" t="n">
        <v>0.2124</v>
      </c>
      <c r="I8" s="71" t="n">
        <v>0.2124</v>
      </c>
      <c r="J8" s="72">
        <f>I8</f>
        <v/>
      </c>
      <c r="K8" s="72">
        <f>I8</f>
        <v/>
      </c>
      <c r="L8" s="73" t="n">
        <v>0.2064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78532.89999999999</v>
      </c>
      <c r="H15" s="77" t="n">
        <v>82321.60000000001</v>
      </c>
      <c r="I15" s="77" t="n">
        <v>86788.7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77,101 — 79,795</t>
        </is>
      </c>
      <c r="H16" s="82" t="inlineStr">
        <is>
          <t>81,459 — 83,977</t>
        </is>
      </c>
      <c r="I16" s="82" t="inlineStr">
        <is>
          <t>86,691 — 86,887</t>
        </is>
      </c>
      <c r="J16" s="82" t="inlineStr">
        <is>
          <t>90,686 — 93,802</t>
        </is>
      </c>
      <c r="K16" s="82" t="inlineStr">
        <is>
          <t>98,248 — 101,624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18</v>
      </c>
      <c r="H17" s="84" t="n">
        <v>18</v>
      </c>
      <c r="I17" s="84" t="n">
        <v>10</v>
      </c>
      <c r="J17" s="85" t="n">
        <v>5</v>
      </c>
      <c r="K17" s="85" t="n">
        <v>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16684.1</v>
      </c>
      <c r="H20" s="77" t="n">
        <v>17489</v>
      </c>
      <c r="I20" s="77" t="n">
        <v>18438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16,380 — 16,952</t>
        </is>
      </c>
      <c r="H21" s="82" t="inlineStr">
        <is>
          <t>17,306 — 17,841</t>
        </is>
      </c>
      <c r="I21" s="82" t="inlineStr">
        <is>
          <t>18,417 — 18,459</t>
        </is>
      </c>
      <c r="J21" s="82" t="inlineStr">
        <is>
          <t>19,266 — 19,928</t>
        </is>
      </c>
      <c r="K21" s="82" t="inlineStr">
        <is>
          <t>20,872 — 21,590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(7.9%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(7.9%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3256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230.7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432.7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HCA  |  Master Prompt v2  |  15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41.5% ✓ (&gt;40%)  |  GM trend +3.0% ✓ (&gt;+1pp)  |  ROIC-WACC +19.0% ✓ (&gt;+5pp)  |  Rev consistency σ=2.4% ✓ (&lt;8%)  [4/4 indicators positive — proxy score]</t>
        </is>
      </c>
      <c r="E9" s="131" t="inlineStr">
        <is>
          <t>HIGH</t>
        </is>
      </c>
      <c r="F9" s="132" t="n">
        <v>10</v>
      </c>
      <c r="G9" s="133">
        <f>IF(F9="",0,C9*F9*10)</f>
        <v/>
      </c>
      <c r="H9" s="134" t="inlineStr">
        <is>
          <t>GM 41.5% ✓ (&gt;40%)  |  GM trend +3.0% ✓ (&gt;+1pp)  |  ROIC-WACC +19.0% ✓ (&gt;+5pp)  |  Rev consistency σ=2.4% ✓ (&lt;8%)  [4/4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+1.6% ✓ (≥-2pp)  |  GM maintained +3.0% ✓  |  Op margin +0.8% ✓ (≥-2pp)  |  Capital returns MOD-LOW ✗  |  Share count -8.1%/yr ✓ (net buyback)  [4/5 indicators positive — proxy score]</t>
        </is>
      </c>
      <c r="E11" s="135" t="inlineStr">
        <is>
          <t>MOD-HIGH</t>
        </is>
      </c>
      <c r="F11" s="132" t="n">
        <v>8</v>
      </c>
      <c r="G11" s="133">
        <f>IF(F11="",0,C11*F11*10)</f>
        <v/>
      </c>
      <c r="H11" s="134" t="inlineStr">
        <is>
          <t>ROIC trend +1.6% ✓ (≥-2pp)  |  GM maintained +3.0% ✓  |  Op margin +0.8% ✓ (≥-2pp)  |  Capital returns MOD-LOW ✗  |  Share count -8.1%/yr ✓ (net buyback)  [4/5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7.9%</t>
        </is>
      </c>
      <c r="E13" s="135" t="inlineStr">
        <is>
          <t>MOD-HIGH</t>
        </is>
      </c>
      <c r="F13" s="132" t="n">
        <v>9.869999999999999</v>
      </c>
      <c r="G13" s="133">
        <f>IF(F13="",0,C13*F13*10)</f>
        <v/>
      </c>
      <c r="H13" s="134" t="inlineStr">
        <is>
          <t>7.9%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106%  [through-cycle: 70/30 latest+5yr median, latest 113.4% → smoothed 106.2%]</t>
        </is>
      </c>
      <c r="E14" s="131" t="inlineStr">
        <is>
          <t>HIGH</t>
        </is>
      </c>
      <c r="F14" s="132" t="n">
        <v>12</v>
      </c>
      <c r="G14" s="133">
        <f>IF(F14="",0,C14*F14*10)</f>
        <v/>
      </c>
      <c r="H14" s="134" t="inlineStr">
        <is>
          <t>106%  [through-cycle: 70/30 latest+5yr median, latest 113.4% → smoothed 106.2%]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$10,067mm latest FY — debt-funded  [payout 131% of FCF — &gt; 100%, unsustainable]</t>
        </is>
      </c>
      <c r="E15" s="136" t="inlineStr">
        <is>
          <t>MOD-LOW</t>
        </is>
      </c>
      <c r="F15" s="132" t="n">
        <v>0.5</v>
      </c>
      <c r="G15" s="133">
        <f>IF(F15="",0,C15*F15*10)</f>
        <v/>
      </c>
      <c r="H15" s="134" t="inlineStr">
        <is>
          <t>$10,067mm latest FY — debt-funded  [payout 131% of FCF — &gt; 100%, unsustainable]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22.5%</t>
        </is>
      </c>
      <c r="E16" s="131" t="inlineStr">
        <is>
          <t>HIGH</t>
        </is>
      </c>
      <c r="F16" s="132" t="n">
        <v>10.92</v>
      </c>
      <c r="G16" s="133">
        <f>IF(F16="",0,C16*F16*10)</f>
        <v/>
      </c>
      <c r="H16" s="134" t="inlineStr">
        <is>
          <t>22.5%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3.1x</t>
        </is>
      </c>
      <c r="E18" s="136" t="inlineStr">
        <is>
          <t>MOD-LOW</t>
        </is>
      </c>
      <c r="F18" s="132" t="n">
        <v>6.74</v>
      </c>
      <c r="G18" s="133">
        <f>IF(F18="",0,C18*F18*10)</f>
        <v/>
      </c>
      <c r="H18" s="134" t="inlineStr">
        <is>
          <t>3.1x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5.3x</t>
        </is>
      </c>
      <c r="E19" s="135" t="inlineStr">
        <is>
          <t>MOD-HIGH</t>
        </is>
      </c>
      <c r="F19" s="132" t="n">
        <v>7.66</v>
      </c>
      <c r="G19" s="133">
        <f>IF(F19="",0,C19*F19*10)</f>
        <v/>
      </c>
      <c r="H19" s="134" t="inlineStr">
        <is>
          <t>5.3x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σ=2.4%  |  Op margin σ=0.6%  [proxy — lower σ = lower risk = higher score]</t>
        </is>
      </c>
      <c r="E20" s="131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σ=2.4%  |  Op margin σ=0.6%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15.9x  |  5yr avg 13.5x  |  DCF-implied 19.5x  [+18% vs benchmark]</t>
        </is>
      </c>
      <c r="E22" s="136" t="inlineStr">
        <is>
          <t>MOD-LOW</t>
        </is>
      </c>
      <c r="F22" s="132" t="n">
        <v>4.16</v>
      </c>
      <c r="G22" s="133">
        <f>IF(F22="",0,C22*F22*10)</f>
        <v/>
      </c>
      <c r="H22" s="134" t="inlineStr">
        <is>
          <t>Current 15.9x  |  5yr avg 13.5x  |  DCF-implied 19.5x  [+18% vs benchmark]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14.0x  |  5yr avg 15.2x  |  DCF-implied 17.2x  [-8% vs benchmark]</t>
        </is>
      </c>
      <c r="E23" s="135" t="inlineStr">
        <is>
          <t>MOD-HIGH</t>
        </is>
      </c>
      <c r="F23" s="132" t="n">
        <v>8.18</v>
      </c>
      <c r="G23" s="133">
        <f>IF(F23="",0,C23*F23*10)</f>
        <v/>
      </c>
      <c r="H23" s="134" t="inlineStr">
        <is>
          <t>Current 14.0x  |  5yr avg 15.2x  |  DCF-implied 17.2x  [-8%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2026-05-15T12:03:38Z</dcterms:created>
  <dcterms:modified xsi:type="dcterms:W3CDTF">2026-05-15T12:03:51Z</dcterms:modified>
</cp:coreProperties>
</file>