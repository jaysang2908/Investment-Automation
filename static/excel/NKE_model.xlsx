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NKE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46309</v>
      </c>
    </row>
    <row r="8">
      <c r="A8" s="3" t="inlineStr">
        <is>
          <t>Gross Profit ($mm)</t>
        </is>
      </c>
      <c r="B8" s="7" t="n">
        <v>19790</v>
      </c>
    </row>
    <row r="9">
      <c r="A9" s="3" t="inlineStr">
        <is>
          <t>EBITDA ($mm)</t>
        </is>
      </c>
      <c r="B9" s="7" t="n">
        <v>4510</v>
      </c>
    </row>
    <row r="10">
      <c r="A10" s="3" t="inlineStr">
        <is>
          <t>EBIT ($mm)</t>
        </is>
      </c>
      <c r="B10" s="7" t="n">
        <v>3702</v>
      </c>
    </row>
    <row r="11">
      <c r="A11" s="3" t="inlineStr">
        <is>
          <t>Net Income ($mm)</t>
        </is>
      </c>
      <c r="B11" s="7" t="n">
        <v>3219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44538</v>
      </c>
      <c r="C5" s="16" t="n">
        <v>46710</v>
      </c>
      <c r="D5" s="16" t="n">
        <v>51217</v>
      </c>
      <c r="E5" s="16" t="n">
        <v>51362</v>
      </c>
      <c r="F5" s="16" t="n">
        <v>46309</v>
      </c>
    </row>
    <row r="6">
      <c r="A6" s="17" t="inlineStr">
        <is>
          <t>(2)  Cost of Revenue (COGS)</t>
        </is>
      </c>
      <c r="B6" s="18" t="n">
        <v>24576</v>
      </c>
      <c r="C6" s="18" t="n">
        <v>25231</v>
      </c>
      <c r="D6" s="18" t="n">
        <v>28925</v>
      </c>
      <c r="E6" s="18" t="n">
        <v>28475</v>
      </c>
      <c r="F6" s="18" t="n">
        <v>26519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13025</v>
      </c>
      <c r="C9" s="18" t="n">
        <v>14804</v>
      </c>
      <c r="D9" s="18" t="n">
        <v>16377</v>
      </c>
      <c r="E9" s="18" t="n">
        <v>16576</v>
      </c>
      <c r="F9" s="18" t="n">
        <v>16088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13025</v>
      </c>
      <c r="C11" s="18" t="n">
        <v>14804</v>
      </c>
      <c r="D11" s="18" t="n">
        <v>16377</v>
      </c>
      <c r="E11" s="18" t="n">
        <v>16576</v>
      </c>
      <c r="F11" s="18" t="n">
        <v>16088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797</v>
      </c>
      <c r="C14" s="18" t="n">
        <v>840</v>
      </c>
      <c r="D14" s="18" t="n">
        <v>859</v>
      </c>
      <c r="E14" s="18" t="n">
        <v>844</v>
      </c>
      <c r="F14" s="18" t="n">
        <v>808</v>
      </c>
    </row>
    <row r="15">
      <c r="A15" s="19" t="inlineStr">
        <is>
          <t>(8)  EBIT (Operating Income)</t>
        </is>
      </c>
      <c r="B15" s="24" t="n">
        <v>6937</v>
      </c>
      <c r="C15" s="24" t="n">
        <v>6675</v>
      </c>
      <c r="D15" s="24" t="n">
        <v>5915</v>
      </c>
      <c r="E15" s="24" t="n">
        <v>6311</v>
      </c>
      <c r="F15" s="24" t="n">
        <v>3702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289</v>
      </c>
      <c r="C17" s="18" t="n">
        <v>292</v>
      </c>
      <c r="D17" s="18" t="n">
        <v>283</v>
      </c>
      <c r="E17" s="18" t="n">
        <v>261</v>
      </c>
      <c r="F17" s="18" t="n">
        <v>289</v>
      </c>
    </row>
    <row r="18">
      <c r="A18" s="21" t="inlineStr">
        <is>
          <t xml:space="preserve">     Interest Income</t>
        </is>
      </c>
      <c r="B18" s="18" t="n">
        <v>34</v>
      </c>
      <c r="C18" s="18" t="n">
        <v>94</v>
      </c>
      <c r="D18" s="18" t="n">
        <v>297</v>
      </c>
      <c r="E18" s="18" t="n">
        <v>430</v>
      </c>
      <c r="F18" s="18" t="n">
        <v>404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6661</v>
      </c>
      <c r="C21" s="24" t="n">
        <v>6651</v>
      </c>
      <c r="D21" s="24" t="n">
        <v>6201</v>
      </c>
      <c r="E21" s="24" t="n">
        <v>6700</v>
      </c>
      <c r="F21" s="24" t="n">
        <v>3885</v>
      </c>
    </row>
    <row r="22">
      <c r="A22" s="17" t="inlineStr">
        <is>
          <t>(11) Income Tax Expense</t>
        </is>
      </c>
      <c r="B22" s="18" t="n">
        <v>934</v>
      </c>
      <c r="C22" s="18" t="n">
        <v>605</v>
      </c>
      <c r="D22" s="18" t="n">
        <v>1131</v>
      </c>
      <c r="E22" s="18" t="n">
        <v>1000</v>
      </c>
      <c r="F22" s="18" t="n">
        <v>666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5727</v>
      </c>
      <c r="C24" s="24" t="n">
        <v>6046</v>
      </c>
      <c r="D24" s="24" t="n">
        <v>5070</v>
      </c>
      <c r="E24" s="24" t="n">
        <v>5700</v>
      </c>
      <c r="F24" s="24" t="n">
        <v>3219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44538</v>
      </c>
      <c r="C30" s="16" t="n">
        <v>46710</v>
      </c>
      <c r="D30" s="16" t="n">
        <v>51217</v>
      </c>
      <c r="E30" s="16" t="n">
        <v>51362</v>
      </c>
      <c r="F30" s="16" t="n">
        <v>46309</v>
      </c>
    </row>
    <row r="31">
      <c r="A31" s="17" t="inlineStr">
        <is>
          <t>Cost of Revenue</t>
        </is>
      </c>
      <c r="B31" s="18" t="n">
        <v>24576</v>
      </c>
      <c r="C31" s="18" t="n">
        <v>25231</v>
      </c>
      <c r="D31" s="18" t="n">
        <v>28925</v>
      </c>
      <c r="E31" s="18" t="n">
        <v>28475</v>
      </c>
      <c r="F31" s="18" t="n">
        <v>26519</v>
      </c>
    </row>
    <row r="32">
      <c r="A32" s="26" t="inlineStr">
        <is>
          <t>Gross Profit</t>
        </is>
      </c>
      <c r="B32" s="27" t="n">
        <v>19962</v>
      </c>
      <c r="C32" s="27" t="n">
        <v>21479</v>
      </c>
      <c r="D32" s="27" t="n">
        <v>22292</v>
      </c>
      <c r="E32" s="27" t="n">
        <v>22887</v>
      </c>
      <c r="F32" s="27" t="n">
        <v>19790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9911</v>
      </c>
      <c r="C35" s="18" t="n">
        <v>10954</v>
      </c>
      <c r="D35" s="18" t="n">
        <v>12317</v>
      </c>
      <c r="E35" s="18" t="n">
        <v>12291</v>
      </c>
      <c r="F35" s="18" t="n">
        <v>11399</v>
      </c>
    </row>
    <row r="36">
      <c r="A36" s="17" t="inlineStr">
        <is>
          <t>Selling &amp; Marketing</t>
        </is>
      </c>
      <c r="B36" s="18" t="n">
        <v>3114</v>
      </c>
      <c r="C36" s="18" t="n">
        <v>3850</v>
      </c>
      <c r="D36" s="18" t="n">
        <v>4060</v>
      </c>
      <c r="E36" s="18" t="n">
        <v>4285</v>
      </c>
      <c r="F36" s="18" t="n">
        <v>4689</v>
      </c>
    </row>
    <row r="37">
      <c r="A37" s="17" t="inlineStr">
        <is>
          <t>SG&amp;A (Combined)</t>
        </is>
      </c>
      <c r="B37" s="18" t="n">
        <v>13025</v>
      </c>
      <c r="C37" s="18" t="n">
        <v>14804</v>
      </c>
      <c r="D37" s="18" t="n">
        <v>16377</v>
      </c>
      <c r="E37" s="18" t="n">
        <v>16576</v>
      </c>
      <c r="F37" s="18" t="n">
        <v>16088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13025</v>
      </c>
      <c r="C39" s="27" t="n">
        <v>14804</v>
      </c>
      <c r="D39" s="27" t="n">
        <v>16377</v>
      </c>
      <c r="E39" s="27" t="n">
        <v>16576</v>
      </c>
      <c r="F39" s="27" t="n">
        <v>16088</v>
      </c>
    </row>
    <row r="40">
      <c r="A40" s="17" t="inlineStr">
        <is>
          <t>Cost &amp; Expenses (COGS + Opex)</t>
        </is>
      </c>
      <c r="B40" s="18" t="n">
        <v>37601</v>
      </c>
      <c r="C40" s="18" t="n">
        <v>40035</v>
      </c>
      <c r="D40" s="18" t="n">
        <v>45302</v>
      </c>
      <c r="E40" s="18" t="n">
        <v>45051</v>
      </c>
      <c r="F40" s="18" t="n">
        <v>42607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6937</v>
      </c>
      <c r="C42" s="16" t="n">
        <v>6675</v>
      </c>
      <c r="D42" s="16" t="n">
        <v>5915</v>
      </c>
      <c r="E42" s="16" t="n">
        <v>6311</v>
      </c>
      <c r="F42" s="16" t="n">
        <v>3702</v>
      </c>
    </row>
    <row r="43">
      <c r="A43" s="17" t="inlineStr">
        <is>
          <t>EBIT (FMP field)</t>
        </is>
      </c>
      <c r="B43" s="18" t="n">
        <v>6937</v>
      </c>
      <c r="C43" s="18" t="n">
        <v>6675</v>
      </c>
      <c r="D43" s="18" t="n">
        <v>5915</v>
      </c>
      <c r="E43" s="18" t="n">
        <v>6311</v>
      </c>
      <c r="F43" s="18" t="n">
        <v>3702</v>
      </c>
    </row>
    <row r="44">
      <c r="A44" s="26" t="inlineStr">
        <is>
          <t>EBITDA</t>
        </is>
      </c>
      <c r="B44" s="27" t="n">
        <v>7734</v>
      </c>
      <c r="C44" s="27" t="n">
        <v>7515</v>
      </c>
      <c r="D44" s="27" t="n">
        <v>6774</v>
      </c>
      <c r="E44" s="27" t="n">
        <v>7155</v>
      </c>
      <c r="F44" s="27" t="n">
        <v>4510</v>
      </c>
    </row>
    <row r="45">
      <c r="A45" s="17" t="inlineStr">
        <is>
          <t>Depreciation &amp; Amortisation</t>
        </is>
      </c>
      <c r="B45" s="18" t="n">
        <v>797</v>
      </c>
      <c r="C45" s="18" t="n">
        <v>840</v>
      </c>
      <c r="D45" s="18" t="n">
        <v>859</v>
      </c>
      <c r="E45" s="18" t="n">
        <v>844</v>
      </c>
      <c r="F45" s="18" t="n">
        <v>808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34</v>
      </c>
      <c r="C47" s="18" t="n">
        <v>94</v>
      </c>
      <c r="D47" s="18" t="n">
        <v>297</v>
      </c>
      <c r="E47" s="18" t="n">
        <v>430</v>
      </c>
      <c r="F47" s="18" t="n">
        <v>404</v>
      </c>
    </row>
    <row r="48">
      <c r="A48" s="17" t="inlineStr">
        <is>
          <t>Interest Expense</t>
        </is>
      </c>
      <c r="B48" s="18" t="n">
        <v>289</v>
      </c>
      <c r="C48" s="18" t="n">
        <v>292</v>
      </c>
      <c r="D48" s="18" t="n">
        <v>283</v>
      </c>
      <c r="E48" s="18" t="n">
        <v>261</v>
      </c>
      <c r="F48" s="18" t="n">
        <v>289</v>
      </c>
    </row>
    <row r="49">
      <c r="A49" s="17" t="inlineStr">
        <is>
          <t>Net Interest Income</t>
        </is>
      </c>
      <c r="B49" s="18" t="n">
        <v>-255</v>
      </c>
      <c r="C49" s="18" t="n">
        <v>-198</v>
      </c>
      <c r="D49" s="18" t="n">
        <v>14</v>
      </c>
      <c r="E49" s="18" t="n">
        <v>169</v>
      </c>
      <c r="F49" s="18" t="n">
        <v>115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-276</v>
      </c>
      <c r="C51" s="18" t="n">
        <v>-24</v>
      </c>
      <c r="D51" s="18" t="n">
        <v>286</v>
      </c>
      <c r="E51" s="18" t="n">
        <v>389</v>
      </c>
      <c r="F51" s="18" t="n">
        <v>183</v>
      </c>
    </row>
    <row r="52">
      <c r="A52" s="26" t="inlineStr">
        <is>
          <t>EBT / Income Before Tax</t>
        </is>
      </c>
      <c r="B52" s="27" t="n">
        <v>6661</v>
      </c>
      <c r="C52" s="27" t="n">
        <v>6651</v>
      </c>
      <c r="D52" s="27" t="n">
        <v>6201</v>
      </c>
      <c r="E52" s="27" t="n">
        <v>6700</v>
      </c>
      <c r="F52" s="27" t="n">
        <v>3885</v>
      </c>
    </row>
    <row r="53">
      <c r="A53" s="17" t="inlineStr">
        <is>
          <t>Income Tax Expense</t>
        </is>
      </c>
      <c r="B53" s="18" t="n">
        <v>934</v>
      </c>
      <c r="C53" s="18" t="n">
        <v>605</v>
      </c>
      <c r="D53" s="18" t="n">
        <v>1131</v>
      </c>
      <c r="E53" s="18" t="n">
        <v>1000</v>
      </c>
      <c r="F53" s="18" t="n">
        <v>666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5727</v>
      </c>
      <c r="C55" s="18" t="n">
        <v>6046</v>
      </c>
      <c r="D55" s="18" t="n">
        <v>5070</v>
      </c>
      <c r="E55" s="18" t="n">
        <v>5700</v>
      </c>
      <c r="F55" s="18" t="n">
        <v>3219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5727</v>
      </c>
      <c r="C59" s="27" t="n">
        <v>6046</v>
      </c>
      <c r="D59" s="27" t="n">
        <v>5070</v>
      </c>
      <c r="E59" s="27" t="n">
        <v>5700</v>
      </c>
      <c r="F59" s="27" t="n">
        <v>3219</v>
      </c>
    </row>
    <row r="60">
      <c r="A60" s="15" t="inlineStr">
        <is>
          <t>Bottom Line Net Income</t>
        </is>
      </c>
      <c r="B60" s="16" t="n">
        <v>5727</v>
      </c>
      <c r="C60" s="16" t="n">
        <v>6046</v>
      </c>
      <c r="D60" s="16" t="n">
        <v>5070</v>
      </c>
      <c r="E60" s="16" t="n">
        <v>5700</v>
      </c>
      <c r="F60" s="16" t="n">
        <v>3219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3.64</v>
      </c>
      <c r="C62" s="18" t="n">
        <v>3.83</v>
      </c>
      <c r="D62" s="18" t="n">
        <v>3.27</v>
      </c>
      <c r="E62" s="18" t="n">
        <v>3.76</v>
      </c>
      <c r="F62" s="18" t="n">
        <v>2.17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1573</v>
      </c>
      <c r="C64" s="18" t="n">
        <v>1578.8</v>
      </c>
      <c r="D64" s="18" t="n">
        <v>1551.6</v>
      </c>
      <c r="E64" s="18" t="n">
        <v>1517.6</v>
      </c>
      <c r="F64" s="18" t="n">
        <v>1484.9</v>
      </c>
    </row>
    <row r="65">
      <c r="A65" s="17" t="inlineStr">
        <is>
          <t>Shares Outstanding — Diluted (mm)</t>
        </is>
      </c>
      <c r="B65" s="18" t="n">
        <v>1609.4</v>
      </c>
      <c r="C65" s="18" t="n">
        <v>1610.8</v>
      </c>
      <c r="D65" s="18" t="n">
        <v>1569.8</v>
      </c>
      <c r="E65" s="18" t="n">
        <v>1529.7</v>
      </c>
      <c r="F65" s="18" t="n">
        <v>1487.6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9889</v>
      </c>
      <c r="C5" s="18" t="n">
        <v>8574</v>
      </c>
      <c r="D5" s="18" t="n">
        <v>7441</v>
      </c>
      <c r="E5" s="18" t="n">
        <v>9860</v>
      </c>
      <c r="F5" s="18" t="n">
        <v>7464</v>
      </c>
    </row>
    <row r="6">
      <c r="A6" s="17" t="inlineStr">
        <is>
          <t>(2)  Receivables</t>
        </is>
      </c>
      <c r="B6" s="18" t="n">
        <v>4463</v>
      </c>
      <c r="C6" s="18" t="n">
        <v>4667</v>
      </c>
      <c r="D6" s="18" t="n">
        <v>4131</v>
      </c>
      <c r="E6" s="18" t="n">
        <v>4427</v>
      </c>
      <c r="F6" s="18" t="n">
        <v>4717</v>
      </c>
    </row>
    <row r="7">
      <c r="A7" s="17" t="inlineStr">
        <is>
          <t>(3)  Inventory</t>
        </is>
      </c>
      <c r="B7" s="18" t="n">
        <v>6854</v>
      </c>
      <c r="C7" s="18" t="n">
        <v>8420</v>
      </c>
      <c r="D7" s="18" t="n">
        <v>8454</v>
      </c>
      <c r="E7" s="18" t="n">
        <v>7519</v>
      </c>
      <c r="F7" s="18" t="n">
        <v>7489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26291</v>
      </c>
      <c r="C9" s="24" t="n">
        <v>28213</v>
      </c>
      <c r="D9" s="24" t="n">
        <v>25202</v>
      </c>
      <c r="E9" s="24" t="n">
        <v>25382</v>
      </c>
      <c r="F9" s="24" t="n">
        <v>23362</v>
      </c>
    </row>
    <row r="10">
      <c r="A10" s="17" t="inlineStr">
        <is>
          <t>(6)  PP&amp;E (Net)</t>
        </is>
      </c>
      <c r="B10" s="18" t="n">
        <v>8017</v>
      </c>
      <c r="C10" s="18" t="n">
        <v>7717</v>
      </c>
      <c r="D10" s="18" t="n">
        <v>8004</v>
      </c>
      <c r="E10" s="18" t="n">
        <v>7718</v>
      </c>
      <c r="F10" s="18" t="n">
        <v>7540</v>
      </c>
    </row>
    <row r="11">
      <c r="A11" s="17" t="inlineStr">
        <is>
          <t>(7)  Goodwill</t>
        </is>
      </c>
      <c r="B11" s="18" t="n">
        <v>242</v>
      </c>
      <c r="C11" s="18" t="n">
        <v>284</v>
      </c>
      <c r="D11" s="18" t="n">
        <v>281</v>
      </c>
      <c r="E11" s="18" t="n">
        <v>240</v>
      </c>
      <c r="F11" s="18" t="n">
        <v>240</v>
      </c>
    </row>
    <row r="12">
      <c r="A12" s="17" t="inlineStr">
        <is>
          <t>(8)  Deferred Tax Assets</t>
        </is>
      </c>
      <c r="B12" s="18" t="n">
        <v>2921</v>
      </c>
      <c r="C12" s="18" t="n">
        <v>3821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11449</v>
      </c>
      <c r="C14" s="24" t="n">
        <v>12108</v>
      </c>
      <c r="D14" s="24" t="n">
        <v>12329</v>
      </c>
      <c r="E14" s="24" t="n">
        <v>12728</v>
      </c>
      <c r="F14" s="24" t="n">
        <v>13217</v>
      </c>
    </row>
    <row r="15">
      <c r="A15" s="19" t="inlineStr">
        <is>
          <t>(11) Total Assets</t>
        </is>
      </c>
      <c r="B15" s="24" t="n">
        <v>37740</v>
      </c>
      <c r="C15" s="24" t="n">
        <v>40321</v>
      </c>
      <c r="D15" s="24" t="n">
        <v>37531</v>
      </c>
      <c r="E15" s="24" t="n">
        <v>38110</v>
      </c>
      <c r="F15" s="24" t="n">
        <v>36579</v>
      </c>
    </row>
    <row r="16" ht="6" customHeight="1"/>
    <row r="17">
      <c r="A17" s="17" t="inlineStr">
        <is>
          <t>(12) Accounts Payable</t>
        </is>
      </c>
      <c r="B17" s="18" t="n">
        <v>2836</v>
      </c>
      <c r="C17" s="18" t="n">
        <v>3358</v>
      </c>
      <c r="D17" s="18" t="n">
        <v>2862</v>
      </c>
      <c r="E17" s="18" t="n">
        <v>2851</v>
      </c>
      <c r="F17" s="18" t="n">
        <v>3479</v>
      </c>
    </row>
    <row r="18">
      <c r="A18" s="17" t="inlineStr">
        <is>
          <t>(13) Short-Term Borrowings</t>
        </is>
      </c>
      <c r="B18" s="18" t="n">
        <v>2</v>
      </c>
      <c r="C18" s="18" t="n">
        <v>510</v>
      </c>
      <c r="D18" s="18" t="n">
        <v>6</v>
      </c>
      <c r="E18" s="18" t="n">
        <v>1006</v>
      </c>
      <c r="F18" s="18" t="n">
        <v>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9674</v>
      </c>
      <c r="C21" s="24" t="n">
        <v>10730</v>
      </c>
      <c r="D21" s="24" t="n">
        <v>9256</v>
      </c>
      <c r="E21" s="24" t="n">
        <v>10593</v>
      </c>
      <c r="F21" s="24" t="n">
        <v>10566</v>
      </c>
    </row>
    <row r="22">
      <c r="A22" s="17" t="inlineStr">
        <is>
          <t>(17) Long-Term Debt</t>
        </is>
      </c>
      <c r="B22" s="18" t="n">
        <v>9413</v>
      </c>
      <c r="C22" s="18" t="n">
        <v>8920</v>
      </c>
      <c r="D22" s="18" t="n">
        <v>8927</v>
      </c>
      <c r="E22" s="18" t="n">
        <v>7903</v>
      </c>
      <c r="F22" s="18" t="n">
        <v>7961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24973</v>
      </c>
      <c r="C25" s="24" t="n">
        <v>25040</v>
      </c>
      <c r="D25" s="24" t="n">
        <v>23527</v>
      </c>
      <c r="E25" s="24" t="n">
        <v>23680</v>
      </c>
      <c r="F25" s="24" t="n">
        <v>23366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3</v>
      </c>
    </row>
    <row r="28">
      <c r="A28" s="17" t="inlineStr">
        <is>
          <t>(22) Retained Earnings</t>
        </is>
      </c>
      <c r="B28" s="18" t="n">
        <v>3179</v>
      </c>
      <c r="C28" s="18" t="n">
        <v>3476</v>
      </c>
      <c r="D28" s="18" t="n">
        <v>1358</v>
      </c>
      <c r="E28" s="18" t="n">
        <v>965</v>
      </c>
      <c r="F28" s="18" t="n">
        <v>-727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12767</v>
      </c>
      <c r="C30" s="24" t="n">
        <v>15281</v>
      </c>
      <c r="D30" s="24" t="n">
        <v>14004</v>
      </c>
      <c r="E30" s="24" t="n">
        <v>14430</v>
      </c>
      <c r="F30" s="24" t="n">
        <v>13213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9889</v>
      </c>
      <c r="C36" s="18" t="n">
        <v>8574</v>
      </c>
      <c r="D36" s="18" t="n">
        <v>7441</v>
      </c>
      <c r="E36" s="18" t="n">
        <v>9860</v>
      </c>
      <c r="F36" s="18" t="n">
        <v>7464</v>
      </c>
    </row>
    <row r="37">
      <c r="A37" s="17" t="inlineStr">
        <is>
          <t>Short-Term Investments</t>
        </is>
      </c>
      <c r="B37" s="18" t="n">
        <v>3587</v>
      </c>
      <c r="C37" s="18" t="n">
        <v>4423</v>
      </c>
      <c r="D37" s="18" t="n">
        <v>3234</v>
      </c>
      <c r="E37" s="18" t="n">
        <v>1722</v>
      </c>
      <c r="F37" s="18" t="n">
        <v>1687</v>
      </c>
    </row>
    <row r="38">
      <c r="A38" s="28" t="inlineStr">
        <is>
          <t>Cash &amp; Short-Term Investments</t>
        </is>
      </c>
      <c r="B38" s="29" t="n">
        <v>13476</v>
      </c>
      <c r="C38" s="29" t="n">
        <v>12997</v>
      </c>
      <c r="D38" s="29" t="n">
        <v>10675</v>
      </c>
      <c r="E38" s="29" t="n">
        <v>11582</v>
      </c>
      <c r="F38" s="29" t="n">
        <v>9151</v>
      </c>
    </row>
    <row r="39">
      <c r="A39" s="17" t="inlineStr">
        <is>
          <t>Accounts Receivable (Trade)</t>
        </is>
      </c>
      <c r="B39" s="18" t="n">
        <v>4463</v>
      </c>
      <c r="C39" s="18" t="n">
        <v>4667</v>
      </c>
      <c r="D39" s="18" t="n">
        <v>4131</v>
      </c>
      <c r="E39" s="18" t="n">
        <v>4427</v>
      </c>
      <c r="F39" s="18" t="n">
        <v>4717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4463</v>
      </c>
      <c r="C41" s="29" t="n">
        <v>4667</v>
      </c>
      <c r="D41" s="29" t="n">
        <v>4131</v>
      </c>
      <c r="E41" s="29" t="n">
        <v>4427</v>
      </c>
      <c r="F41" s="29" t="n">
        <v>4717</v>
      </c>
    </row>
    <row r="42">
      <c r="A42" s="17" t="inlineStr">
        <is>
          <t>Inventory</t>
        </is>
      </c>
      <c r="B42" s="18" t="n">
        <v>6854</v>
      </c>
      <c r="C42" s="18" t="n">
        <v>8420</v>
      </c>
      <c r="D42" s="18" t="n">
        <v>8454</v>
      </c>
      <c r="E42" s="18" t="n">
        <v>7519</v>
      </c>
      <c r="F42" s="18" t="n">
        <v>7489</v>
      </c>
    </row>
    <row r="43">
      <c r="A43" s="17" t="inlineStr">
        <is>
          <t>Prepaids</t>
        </is>
      </c>
      <c r="B43" s="18" t="n">
        <v>1498</v>
      </c>
      <c r="C43" s="18" t="n">
        <v>2129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1942</v>
      </c>
      <c r="E44" s="18" t="n">
        <v>1854</v>
      </c>
      <c r="F44" s="18" t="n">
        <v>2005</v>
      </c>
    </row>
    <row r="45">
      <c r="A45" s="26" t="inlineStr">
        <is>
          <t>Total Current Assets</t>
        </is>
      </c>
      <c r="B45" s="27" t="n">
        <v>26291</v>
      </c>
      <c r="C45" s="27" t="n">
        <v>28213</v>
      </c>
      <c r="D45" s="27" t="n">
        <v>25202</v>
      </c>
      <c r="E45" s="27" t="n">
        <v>25382</v>
      </c>
      <c r="F45" s="27" t="n">
        <v>23362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8017</v>
      </c>
      <c r="C47" s="18" t="n">
        <v>7717</v>
      </c>
      <c r="D47" s="18" t="n">
        <v>8004</v>
      </c>
      <c r="E47" s="18" t="n">
        <v>7718</v>
      </c>
      <c r="F47" s="18" t="n">
        <v>7540</v>
      </c>
    </row>
    <row r="48">
      <c r="A48" s="17" t="inlineStr">
        <is>
          <t>Goodwill</t>
        </is>
      </c>
      <c r="B48" s="18" t="n">
        <v>242</v>
      </c>
      <c r="C48" s="18" t="n">
        <v>284</v>
      </c>
      <c r="D48" s="18" t="n">
        <v>281</v>
      </c>
      <c r="E48" s="18" t="n">
        <v>240</v>
      </c>
      <c r="F48" s="18" t="n">
        <v>240</v>
      </c>
    </row>
    <row r="49">
      <c r="A49" s="17" t="inlineStr">
        <is>
          <t>Intangible Assets</t>
        </is>
      </c>
      <c r="B49" s="18" t="n">
        <v>269</v>
      </c>
      <c r="C49" s="18" t="n">
        <v>286</v>
      </c>
      <c r="D49" s="18" t="n">
        <v>274</v>
      </c>
      <c r="E49" s="18" t="n">
        <v>259</v>
      </c>
      <c r="F49" s="18" t="n">
        <v>259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2921</v>
      </c>
      <c r="C51" s="18" t="n">
        <v>3821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3587</v>
      </c>
      <c r="C52" s="18" t="n">
        <v>4423</v>
      </c>
      <c r="D52" s="18" t="n">
        <v>3234</v>
      </c>
      <c r="E52" s="18" t="n">
        <v>1722</v>
      </c>
      <c r="F52" s="18" t="n">
        <v>1687</v>
      </c>
    </row>
    <row r="53">
      <c r="A53" s="17" t="inlineStr">
        <is>
          <t>Other Non-Current Assets</t>
        </is>
      </c>
      <c r="B53" s="18" t="n">
        <v>0</v>
      </c>
      <c r="C53" s="18" t="n">
        <v>0</v>
      </c>
      <c r="D53" s="18" t="n">
        <v>3770</v>
      </c>
      <c r="E53" s="18" t="n">
        <v>4511</v>
      </c>
      <c r="F53" s="18" t="n">
        <v>5178</v>
      </c>
    </row>
    <row r="54">
      <c r="A54" s="26" t="inlineStr">
        <is>
          <t>Total Non-Current Assets</t>
        </is>
      </c>
      <c r="B54" s="27" t="n">
        <v>11449</v>
      </c>
      <c r="C54" s="27" t="n">
        <v>12108</v>
      </c>
      <c r="D54" s="27" t="n">
        <v>12329</v>
      </c>
      <c r="E54" s="27" t="n">
        <v>12728</v>
      </c>
      <c r="F54" s="27" t="n">
        <v>13217</v>
      </c>
    </row>
    <row r="55">
      <c r="A55" s="13" t="inlineStr">
        <is>
          <t>TOTAL ASSETS</t>
        </is>
      </c>
      <c r="B55" s="30" t="n">
        <v>37740</v>
      </c>
      <c r="C55" s="30" t="n">
        <v>40321</v>
      </c>
      <c r="D55" s="30" t="n">
        <v>37531</v>
      </c>
      <c r="E55" s="30" t="n">
        <v>38110</v>
      </c>
      <c r="F55" s="30" t="n">
        <v>36579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2836</v>
      </c>
      <c r="C57" s="18" t="n">
        <v>3358</v>
      </c>
      <c r="D57" s="18" t="n">
        <v>2862</v>
      </c>
      <c r="E57" s="18" t="n">
        <v>2851</v>
      </c>
      <c r="F57" s="18" t="n">
        <v>3479</v>
      </c>
    </row>
    <row r="58">
      <c r="A58" s="17" t="inlineStr">
        <is>
          <t>Short-Term Debt</t>
        </is>
      </c>
      <c r="B58" s="18" t="n">
        <v>2</v>
      </c>
      <c r="C58" s="18" t="n">
        <v>510</v>
      </c>
      <c r="D58" s="18" t="n">
        <v>6</v>
      </c>
      <c r="E58" s="18" t="n">
        <v>1006</v>
      </c>
      <c r="F58" s="18" t="n">
        <v>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2907</v>
      </c>
      <c r="C61" s="18" t="n">
        <v>3205</v>
      </c>
      <c r="D61" s="18" t="n">
        <v>3283</v>
      </c>
      <c r="E61" s="18" t="n">
        <v>3151</v>
      </c>
      <c r="F61" s="18" t="n">
        <v>3560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9674</v>
      </c>
      <c r="C63" s="27" t="n">
        <v>10730</v>
      </c>
      <c r="D63" s="27" t="n">
        <v>9256</v>
      </c>
      <c r="E63" s="27" t="n">
        <v>10593</v>
      </c>
      <c r="F63" s="27" t="n">
        <v>10566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9413</v>
      </c>
      <c r="C65" s="18" t="n">
        <v>8920</v>
      </c>
      <c r="D65" s="18" t="n">
        <v>8927</v>
      </c>
      <c r="E65" s="18" t="n">
        <v>7903</v>
      </c>
      <c r="F65" s="18" t="n">
        <v>7961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2955</v>
      </c>
      <c r="C68" s="18" t="n">
        <v>2613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0</v>
      </c>
      <c r="C69" s="18" t="n">
        <v>0</v>
      </c>
      <c r="D69" s="18" t="n">
        <v>2558</v>
      </c>
      <c r="E69" s="18" t="n">
        <v>2618</v>
      </c>
      <c r="F69" s="18" t="n">
        <v>2289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24973</v>
      </c>
      <c r="C71" s="30" t="n">
        <v>25040</v>
      </c>
      <c r="D71" s="30" t="n">
        <v>23527</v>
      </c>
      <c r="E71" s="30" t="n">
        <v>23680</v>
      </c>
      <c r="F71" s="30" t="n">
        <v>23366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3</v>
      </c>
    </row>
    <row r="74">
      <c r="A74" s="17" t="inlineStr">
        <is>
          <t>Retained Earnings</t>
        </is>
      </c>
      <c r="B74" s="18" t="n">
        <v>3179</v>
      </c>
      <c r="C74" s="18" t="n">
        <v>3476</v>
      </c>
      <c r="D74" s="18" t="n">
        <v>1358</v>
      </c>
      <c r="E74" s="18" t="n">
        <v>965</v>
      </c>
      <c r="F74" s="18" t="n">
        <v>-727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12767</v>
      </c>
      <c r="C78" s="27" t="n">
        <v>15281</v>
      </c>
      <c r="D78" s="27" t="n">
        <v>14004</v>
      </c>
      <c r="E78" s="27" t="n">
        <v>14430</v>
      </c>
      <c r="F78" s="27" t="n">
        <v>13213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6657</v>
      </c>
      <c r="C5" s="24" t="n">
        <v>5188</v>
      </c>
      <c r="D5" s="24" t="n">
        <v>5841</v>
      </c>
      <c r="E5" s="24" t="n">
        <v>7429</v>
      </c>
      <c r="F5" s="24" t="n">
        <v>3698</v>
      </c>
    </row>
    <row r="6">
      <c r="A6" s="17" t="inlineStr">
        <is>
          <t>(2)  Capital Expenditures</t>
        </is>
      </c>
      <c r="B6" s="18" t="n">
        <v>-695</v>
      </c>
      <c r="C6" s="18" t="n">
        <v>-758</v>
      </c>
      <c r="D6" s="18" t="n">
        <v>-969</v>
      </c>
      <c r="E6" s="18" t="n">
        <v>-812</v>
      </c>
      <c r="F6" s="18" t="n">
        <v>-430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-249</v>
      </c>
      <c r="C9" s="18" t="n">
        <v>15</v>
      </c>
      <c r="D9" s="18" t="n">
        <v>-504</v>
      </c>
      <c r="E9" s="18" t="n">
        <v>0</v>
      </c>
      <c r="F9" s="18" t="n">
        <v>-1001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-1638</v>
      </c>
      <c r="C12" s="18" t="n">
        <v>-1837</v>
      </c>
      <c r="D12" s="18" t="n">
        <v>-2012</v>
      </c>
      <c r="E12" s="18" t="n">
        <v>-2169</v>
      </c>
      <c r="F12" s="18" t="n">
        <v>-2300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5962</v>
      </c>
      <c r="C15" s="24" t="n">
        <v>4430</v>
      </c>
      <c r="D15" s="24" t="n">
        <v>4872</v>
      </c>
      <c r="E15" s="24" t="n">
        <v>6617</v>
      </c>
      <c r="F15" s="24" t="n">
        <v>3268</v>
      </c>
    </row>
    <row r="16">
      <c r="A16" s="15" t="inlineStr">
        <is>
          <t xml:space="preserve">     Net Change in Cash</t>
        </is>
      </c>
      <c r="B16" s="16" t="n">
        <v>1541</v>
      </c>
      <c r="C16" s="16" t="n">
        <v>-1315</v>
      </c>
      <c r="D16" s="16" t="n">
        <v>-1133</v>
      </c>
      <c r="E16" s="16" t="n">
        <v>2419</v>
      </c>
      <c r="F16" s="16" t="n">
        <v>-2396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5727</v>
      </c>
      <c r="C21" s="18" t="n">
        <v>6046</v>
      </c>
      <c r="D21" s="18" t="n">
        <v>5070</v>
      </c>
      <c r="E21" s="18" t="n">
        <v>5700</v>
      </c>
      <c r="F21" s="18" t="n">
        <v>3219</v>
      </c>
    </row>
    <row r="22">
      <c r="A22" s="17" t="inlineStr">
        <is>
          <t>Depreciation &amp; Amortisation</t>
        </is>
      </c>
      <c r="B22" s="18" t="n">
        <v>797</v>
      </c>
      <c r="C22" s="18" t="n">
        <v>840</v>
      </c>
      <c r="D22" s="18" t="n">
        <v>859</v>
      </c>
      <c r="E22" s="18" t="n">
        <v>844</v>
      </c>
      <c r="F22" s="18" t="n">
        <v>808</v>
      </c>
    </row>
    <row r="23">
      <c r="A23" s="17" t="inlineStr">
        <is>
          <t>Deferred Income Tax</t>
        </is>
      </c>
      <c r="B23" s="18" t="n">
        <v>-385</v>
      </c>
      <c r="C23" s="18" t="n">
        <v>-650</v>
      </c>
      <c r="D23" s="18" t="n">
        <v>-117</v>
      </c>
      <c r="E23" s="18" t="n">
        <v>-497</v>
      </c>
      <c r="F23" s="18" t="n">
        <v>-288</v>
      </c>
    </row>
    <row r="24">
      <c r="A24" s="17" t="inlineStr">
        <is>
          <t>Stock-Based Compensation</t>
        </is>
      </c>
      <c r="B24" s="18" t="n">
        <v>611</v>
      </c>
      <c r="C24" s="18" t="n">
        <v>638</v>
      </c>
      <c r="D24" s="18" t="n">
        <v>755</v>
      </c>
      <c r="E24" s="18" t="n">
        <v>804</v>
      </c>
      <c r="F24" s="18" t="n">
        <v>709</v>
      </c>
    </row>
    <row r="25">
      <c r="A25" s="17" t="inlineStr">
        <is>
          <t>Change in Working Capital</t>
        </is>
      </c>
      <c r="B25" s="18" t="n">
        <v>45</v>
      </c>
      <c r="C25" s="18" t="n">
        <v>-1660</v>
      </c>
      <c r="D25" s="18" t="n">
        <v>-513</v>
      </c>
      <c r="E25" s="18" t="n">
        <v>716</v>
      </c>
      <c r="F25" s="18" t="n">
        <v>-787</v>
      </c>
    </row>
    <row r="26">
      <c r="A26" s="21" t="inlineStr">
        <is>
          <t xml:space="preserve">  — Accounts Receivable</t>
        </is>
      </c>
      <c r="B26" s="18" t="n">
        <v>-1606</v>
      </c>
      <c r="C26" s="18" t="n">
        <v>-504</v>
      </c>
      <c r="D26" s="18" t="n">
        <v>489</v>
      </c>
      <c r="E26" s="18" t="n">
        <v>-329</v>
      </c>
      <c r="F26" s="18" t="n">
        <v>-257</v>
      </c>
    </row>
    <row r="27">
      <c r="A27" s="21" t="inlineStr">
        <is>
          <t xml:space="preserve">  — Inventory</t>
        </is>
      </c>
      <c r="B27" s="18" t="n">
        <v>507</v>
      </c>
      <c r="C27" s="18" t="n">
        <v>-1676</v>
      </c>
      <c r="D27" s="18" t="n">
        <v>-133</v>
      </c>
      <c r="E27" s="18" t="n">
        <v>908</v>
      </c>
      <c r="F27" s="18" t="n">
        <v>120</v>
      </c>
    </row>
    <row r="28">
      <c r="A28" s="21" t="inlineStr">
        <is>
          <t xml:space="preserve">  — Accounts Payable</t>
        </is>
      </c>
      <c r="B28" s="18" t="n">
        <v>1326</v>
      </c>
      <c r="C28" s="18" t="n">
        <v>1365</v>
      </c>
      <c r="D28" s="18" t="n">
        <v>-225</v>
      </c>
      <c r="E28" s="18" t="n">
        <v>397</v>
      </c>
      <c r="F28" s="18" t="n">
        <v>-426</v>
      </c>
    </row>
    <row r="29">
      <c r="A29" s="21" t="inlineStr">
        <is>
          <t xml:space="preserve">  — Other Working Capital</t>
        </is>
      </c>
      <c r="B29" s="18" t="n">
        <v>-182</v>
      </c>
      <c r="C29" s="18" t="n">
        <v>-845</v>
      </c>
      <c r="D29" s="18" t="n">
        <v>-644</v>
      </c>
      <c r="E29" s="18" t="n">
        <v>-260</v>
      </c>
      <c r="F29" s="18" t="n">
        <v>-224</v>
      </c>
    </row>
    <row r="30">
      <c r="A30" s="17" t="inlineStr">
        <is>
          <t>Other Non-Cash Items</t>
        </is>
      </c>
      <c r="B30" s="18" t="n">
        <v>-138</v>
      </c>
      <c r="C30" s="18" t="n">
        <v>-26</v>
      </c>
      <c r="D30" s="18" t="n">
        <v>-213</v>
      </c>
      <c r="E30" s="18" t="n">
        <v>-138</v>
      </c>
      <c r="F30" s="18" t="n">
        <v>37</v>
      </c>
    </row>
    <row r="31">
      <c r="A31" s="26" t="inlineStr">
        <is>
          <t>Net Cash from Operations (CFO)</t>
        </is>
      </c>
      <c r="B31" s="27" t="n">
        <v>6657</v>
      </c>
      <c r="C31" s="27" t="n">
        <v>5188</v>
      </c>
      <c r="D31" s="27" t="n">
        <v>5841</v>
      </c>
      <c r="E31" s="27" t="n">
        <v>7429</v>
      </c>
      <c r="F31" s="27" t="n">
        <v>3698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-695</v>
      </c>
      <c r="C33" s="18" t="n">
        <v>-758</v>
      </c>
      <c r="D33" s="18" t="n">
        <v>-969</v>
      </c>
      <c r="E33" s="18" t="n">
        <v>-812</v>
      </c>
      <c r="F33" s="18" t="n">
        <v>-430</v>
      </c>
    </row>
    <row r="34">
      <c r="A34" s="21" t="inlineStr">
        <is>
          <t xml:space="preserve">  (Alt: Invest. in PP&amp;E)</t>
        </is>
      </c>
      <c r="B34" s="18" t="n">
        <v>-695</v>
      </c>
      <c r="C34" s="18" t="n">
        <v>-758</v>
      </c>
      <c r="D34" s="18" t="n">
        <v>-969</v>
      </c>
      <c r="E34" s="18" t="n">
        <v>-812</v>
      </c>
      <c r="F34" s="18" t="n">
        <v>-430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-9961</v>
      </c>
      <c r="C36" s="18" t="n">
        <v>-12913</v>
      </c>
      <c r="D36" s="18" t="n">
        <v>-6059</v>
      </c>
      <c r="E36" s="18" t="n">
        <v>-4767</v>
      </c>
      <c r="F36" s="18" t="n">
        <v>-3234</v>
      </c>
    </row>
    <row r="37">
      <c r="A37" s="17" t="inlineStr">
        <is>
          <t>Sales / Maturities of Investments</t>
        </is>
      </c>
      <c r="B37" s="18" t="n">
        <v>6685</v>
      </c>
      <c r="C37" s="18" t="n">
        <v>12166</v>
      </c>
      <c r="D37" s="18" t="n">
        <v>7540</v>
      </c>
      <c r="E37" s="18" t="n">
        <v>6488</v>
      </c>
      <c r="F37" s="18" t="n">
        <v>3381</v>
      </c>
    </row>
    <row r="38">
      <c r="A38" s="17" t="inlineStr">
        <is>
          <t>Other Investing Activities</t>
        </is>
      </c>
      <c r="B38" s="18" t="n">
        <v>171</v>
      </c>
      <c r="C38" s="18" t="n">
        <v>-19</v>
      </c>
      <c r="D38" s="18" t="n">
        <v>52</v>
      </c>
      <c r="E38" s="18" t="n">
        <v>-15</v>
      </c>
      <c r="F38" s="18" t="n">
        <v>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-249</v>
      </c>
      <c r="C41" s="18" t="n">
        <v>15</v>
      </c>
      <c r="D41" s="18" t="n">
        <v>-504</v>
      </c>
      <c r="E41" s="18" t="n">
        <v>0</v>
      </c>
      <c r="F41" s="18" t="n">
        <v>-1001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-608</v>
      </c>
      <c r="C44" s="18" t="n">
        <v>-4014</v>
      </c>
      <c r="D44" s="18" t="n">
        <v>-5480</v>
      </c>
      <c r="E44" s="18" t="n">
        <v>-4250</v>
      </c>
      <c r="F44" s="18" t="n">
        <v>-2985</v>
      </c>
    </row>
    <row r="45">
      <c r="A45" s="17" t="inlineStr">
        <is>
          <t>Dividends Paid</t>
        </is>
      </c>
      <c r="B45" s="18" t="n">
        <v>-1638</v>
      </c>
      <c r="C45" s="18" t="n">
        <v>-1837</v>
      </c>
      <c r="D45" s="18" t="n">
        <v>-2012</v>
      </c>
      <c r="E45" s="18" t="n">
        <v>-2169</v>
      </c>
      <c r="F45" s="18" t="n">
        <v>-2300</v>
      </c>
    </row>
    <row r="46">
      <c r="A46" s="17" t="inlineStr">
        <is>
          <t>Other Financing Activities</t>
        </is>
      </c>
      <c r="B46" s="18" t="n">
        <v>1036</v>
      </c>
      <c r="C46" s="18" t="n">
        <v>1000</v>
      </c>
      <c r="D46" s="18" t="n">
        <v>-102</v>
      </c>
      <c r="E46" s="18" t="n">
        <v>531</v>
      </c>
      <c r="F46" s="18" t="n">
        <v>466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143</v>
      </c>
      <c r="C49" s="18" t="n">
        <v>-143</v>
      </c>
      <c r="D49" s="18" t="n">
        <v>-91</v>
      </c>
      <c r="E49" s="18" t="n">
        <v>-16</v>
      </c>
      <c r="F49" s="18" t="n">
        <v>1</v>
      </c>
    </row>
    <row r="50">
      <c r="A50" s="15" t="inlineStr">
        <is>
          <t>Net Change in Cash</t>
        </is>
      </c>
      <c r="B50" s="16" t="n">
        <v>1541</v>
      </c>
      <c r="C50" s="16" t="n">
        <v>-1315</v>
      </c>
      <c r="D50" s="16" t="n">
        <v>-1133</v>
      </c>
      <c r="E50" s="16" t="n">
        <v>2419</v>
      </c>
      <c r="F50" s="16" t="n">
        <v>-2396</v>
      </c>
    </row>
    <row r="51">
      <c r="A51" s="17" t="inlineStr">
        <is>
          <t>Cash at Beginning of Period</t>
        </is>
      </c>
      <c r="B51" s="18" t="n">
        <v>8348</v>
      </c>
      <c r="C51" s="18" t="n">
        <v>9889</v>
      </c>
      <c r="D51" s="18" t="n">
        <v>8574</v>
      </c>
      <c r="E51" s="18" t="n">
        <v>7441</v>
      </c>
      <c r="F51" s="18" t="n">
        <v>9860</v>
      </c>
    </row>
    <row r="52">
      <c r="A52" s="26" t="inlineStr">
        <is>
          <t>Cash at End of Period</t>
        </is>
      </c>
      <c r="B52" s="27" t="n">
        <v>9889</v>
      </c>
      <c r="C52" s="27" t="n">
        <v>8574</v>
      </c>
      <c r="D52" s="27" t="n">
        <v>7441</v>
      </c>
      <c r="E52" s="27" t="n">
        <v>9860</v>
      </c>
      <c r="F52" s="27" t="n">
        <v>7464</v>
      </c>
    </row>
    <row r="53">
      <c r="A53" s="26" t="inlineStr">
        <is>
          <t>Free Cash Flow</t>
        </is>
      </c>
      <c r="B53" s="27" t="n">
        <v>5962</v>
      </c>
      <c r="C53" s="27" t="n">
        <v>4430</v>
      </c>
      <c r="D53" s="27" t="n">
        <v>4872</v>
      </c>
      <c r="E53" s="27" t="n">
        <v>6617</v>
      </c>
      <c r="F53" s="27" t="n">
        <v>3268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1609.4</v>
      </c>
      <c r="C61" s="18" t="n">
        <v>1610.8</v>
      </c>
      <c r="D61" s="18" t="n">
        <v>1569.8</v>
      </c>
      <c r="E61" s="18" t="n">
        <v>1529.7</v>
      </c>
      <c r="F61" s="18" t="n">
        <v>1487.6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NKE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74</v>
      </c>
      <c r="C5" s="18" t="n">
        <v>155</v>
      </c>
      <c r="D5" s="18" t="n">
        <v>239</v>
      </c>
      <c r="E5" s="18" t="n">
        <v>153</v>
      </c>
      <c r="F5" s="18" t="n">
        <v>14380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NKE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65499.426749</v>
      </c>
      <c r="C5" s="44" t="inlineStr">
        <is>
          <t>FMP marketCap  |  price $44.305</t>
        </is>
      </c>
    </row>
    <row r="6">
      <c r="A6" s="17" t="inlineStr">
        <is>
          <t>Debt  (gross book value, $mm)</t>
        </is>
      </c>
      <c r="B6" s="43" t="n">
        <v>7966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1.124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1.083</v>
      </c>
      <c r="C17" s="44" t="inlineStr">
        <is>
          <t>Mean-reversion toward market beta of 1.0</t>
        </is>
      </c>
    </row>
    <row r="18">
      <c r="A18" s="17" t="inlineStr">
        <is>
          <t>Damodaran industry unlevered  (Apparel - Footwear &amp; Accessories)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0.12x,  t = 17.1%)</t>
        </is>
      </c>
      <c r="B19" s="50" t="n">
        <v>1.101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1.103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12.8</v>
      </c>
      <c r="C33" s="44" t="inlineStr">
        <is>
          <t>EBIT $3702mm  /  Int Exp $289mm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12.8x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0.03425185185185185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$115mm  (int inc $404mm &gt; int exp $289mm)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0.0454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0.1714</v>
      </c>
      <c r="C41" s="44" t="inlineStr">
        <is>
          <t>FMP: $666mm  /  $3885mm</t>
        </is>
      </c>
    </row>
    <row r="42">
      <c r="A42" s="47" t="inlineStr">
        <is>
          <t>► Selected tax rate  (user override)</t>
        </is>
      </c>
      <c r="B42" s="48" t="n">
        <v>0.1714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NKE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-0.0011</v>
      </c>
      <c r="H7" s="71" t="n">
        <v>0.0056</v>
      </c>
      <c r="I7" s="71" t="n">
        <v>0.0444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0.1407</v>
      </c>
      <c r="H8" s="71" t="n">
        <v>0.1407</v>
      </c>
      <c r="I8" s="71" t="n">
        <v>0.1407</v>
      </c>
      <c r="J8" s="72">
        <f>I8</f>
        <v/>
      </c>
      <c r="K8" s="72">
        <f>I8</f>
        <v/>
      </c>
      <c r="L8" s="73" t="n">
        <v>0.0974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46256.6</v>
      </c>
      <c r="H15" s="77" t="n">
        <v>46517.9</v>
      </c>
      <c r="I15" s="77" t="n">
        <v>48582.2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46,077 — 46,686</t>
        </is>
      </c>
      <c r="H16" s="82" t="inlineStr">
        <is>
          <t>45,028 — 48,207</t>
        </is>
      </c>
      <c r="I16" s="82" t="inlineStr">
        <is>
          <t>48,529 — 48,635</t>
        </is>
      </c>
      <c r="J16" s="82" t="inlineStr">
        <is>
          <t>51,029 — 53,571</t>
        </is>
      </c>
      <c r="K16" s="82" t="inlineStr">
        <is>
          <t>56,803 — 59,632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27</v>
      </c>
      <c r="H17" s="84" t="n">
        <v>27</v>
      </c>
      <c r="I17" s="84" t="n">
        <v>27</v>
      </c>
      <c r="J17" s="84" t="n">
        <v>13</v>
      </c>
      <c r="K17" s="84" t="n">
        <v>14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6508.2</v>
      </c>
      <c r="H20" s="77" t="n">
        <v>6545</v>
      </c>
      <c r="I20" s="77" t="n">
        <v>6835.4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6,483 — 6,569</t>
        </is>
      </c>
      <c r="H21" s="82" t="inlineStr">
        <is>
          <t>6,335 — 6,783</t>
        </is>
      </c>
      <c r="I21" s="82" t="inlineStr">
        <is>
          <t>6,828 — 6,843</t>
        </is>
      </c>
      <c r="J21" s="82" t="inlineStr">
        <is>
          <t>7,180 — 7,537</t>
        </is>
      </c>
      <c r="K21" s="82" t="inlineStr">
        <is>
          <t>7,992 — 8,390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(0.0%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19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(0.0% 3yr avg rev growth).  Bear 15x / Base 19x / Bull 23x.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1487.6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44.3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NKE  |  Master Prompt v2  |  26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42.7% ✓ (&gt;40%)  |  GM trend -3.2% ✗ (&gt;+1pp)  |  ROIC-WACC +13.8% ✓ (&gt;+5pp)  |  Rev consistency σ=7.2%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42.7% ✓ (&gt;40%)  |  GM trend -3.2% ✗ (&gt;+1pp)  |  ROIC-WACC +13.8% ✓ (&gt;+5pp)  |  Rev consistency σ=7.2%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-15.2% ✗ (&gt;=-2pp)  |  GM maintained -3.2% ✗  |  Op margin -6.3% ✗ (≥-2pp)  |  Capital returns HIGH ✓  |  Share count -1.4%/yr ✓ (net buyback)  |  Goodwill/Equity 2% ✓ (&lt;40%)  [3/6 indicators positive — proxy score]</t>
        </is>
      </c>
      <c r="E11" s="134" t="inlineStr">
        <is>
          <t>MOD-LOW</t>
        </is>
      </c>
      <c r="F11" s="131" t="n">
        <v>5</v>
      </c>
      <c r="G11" s="132">
        <f>IF(F11="",0,C11*F11*10)</f>
        <v/>
      </c>
      <c r="H11" s="133" t="inlineStr">
        <is>
          <t>ROIC trend -15.2% ✗ (&gt;=-2pp)  |  GM maintained -3.2% ✗  |  Op margin -6.3% ✗ (≥-2pp)  |  Capital returns HIGH ✓  |  Share count -1.4%/yr ✓ (net buyback)  |  Goodwill/Equity 2%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-0.3%</t>
        </is>
      </c>
      <c r="E13" s="135" t="inlineStr">
        <is>
          <t>LOW</t>
        </is>
      </c>
      <c r="F13" s="131" t="n">
        <v>0</v>
      </c>
      <c r="G13" s="132">
        <f>IF(F13="",0,C13*F13*10)</f>
        <v/>
      </c>
      <c r="H13" s="133" t="inlineStr">
        <is>
          <t>-0.3%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102%</t>
        </is>
      </c>
      <c r="E14" s="136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102%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$2,985mm latest FY — 5yr+ consistent equity-funded  [payout 91% of FCF]</t>
        </is>
      </c>
      <c r="E15" s="136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$2,985mm latest FY — 5yr+ consistent equity-funded  [payout 91%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26.9%  [trend penalty: declined &gt;5pp vs 3yr ago]  [through-cycle: 70/30 latest+5yr median, latest 22.4% → smoothed 26.9%]</t>
        </is>
      </c>
      <c r="E16" s="130" t="inlineStr">
        <is>
          <t>MOD-HIGH</t>
        </is>
      </c>
      <c r="F16" s="131" t="n">
        <v>6.5</v>
      </c>
      <c r="G16" s="132">
        <f>IF(F16="",0,C16*F16*10)</f>
        <v/>
      </c>
      <c r="H16" s="133" t="inlineStr">
        <is>
          <t>26.9%  [trend penalty: declined &gt;5pp vs 3yr ago]  [through-cycle: 70/30 latest+5yr median, latest 22.4% → smoothed 26.9%]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1.6x  [through-cycle: 70/30 latest+5yr median, latest 1.8x → smoothed 1.6x]</t>
        </is>
      </c>
      <c r="E18" s="130" t="inlineStr">
        <is>
          <t>MOD-HIGH</t>
        </is>
      </c>
      <c r="F18" s="131" t="n">
        <v>9.77</v>
      </c>
      <c r="G18" s="132">
        <f>IF(F18="",0,C18*F18*10)</f>
        <v/>
      </c>
      <c r="H18" s="133" t="inlineStr">
        <is>
          <t>1.6x  [through-cycle: 70/30 latest+5yr median, latest 1.8x → smoothed 1.6x]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12.8x</t>
        </is>
      </c>
      <c r="E19" s="136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12.8x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σ=7.2%  |  OM trend -7.6%, σ=2.6%  [quality = direction + stability]</t>
        </is>
      </c>
      <c r="E20" s="134" t="inlineStr">
        <is>
          <t>MOD-LOW</t>
        </is>
      </c>
      <c r="F20" s="131" t="n">
        <v>3.33</v>
      </c>
      <c r="G20" s="132">
        <f>IF(F20="",0,C20*F20*10)</f>
        <v/>
      </c>
      <c r="H20" s="133" t="inlineStr">
        <is>
          <t>Rev growth σ=7.2%  |  OM trend -7.6%, σ=2.6%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29.7x (scoring basis)  |  5yr avg 30.7x  |  DCF-implied 19.4x [ref only — not used as benchmark]  [-3% vs benchmark]  [trail=7.49 | fwd_pe=29.7x→7.49 | abs=4.0 → blended 40/40/20=6.79]  [revision:Earnings headwind→-0.50]</t>
        </is>
      </c>
      <c r="E22" s="130" t="inlineStr">
        <is>
          <t>MOD-HIGH</t>
        </is>
      </c>
      <c r="F22" s="131" t="n">
        <v>6.29</v>
      </c>
      <c r="G22" s="132">
        <f>IF(F22="",0,C22*F22*10)</f>
        <v/>
      </c>
      <c r="H22" s="133" t="inlineStr">
        <is>
          <t>Fwd P/E 29.7x (scoring basis)  |  5yr avg 30.7x  |  DCF-implied 19.4x [ref only — not used as benchmark]  [-3% vs benchmark]  [trail=7.49 | fwd_pe=29.7x→7.49 | abs=4.0 → blended 40/40/20=6.79]  [revision:Earnings headwind→-0.50]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27.5x  |  5yr avg 32.1x  |  DCF-implied 19.1x [ref only — not used as benchmark]  [-14% vs benchmark]  [trail=9.15 | fwd_pfcf=20.2x→10.00 | abs=7.5 → blended 40/40/20=9.16]  [fcf_yield=3.6% vs rf=4.6%  spread=-0.9%→modifier=-0.25]</t>
        </is>
      </c>
      <c r="E23" s="136" t="inlineStr">
        <is>
          <t>HIGH</t>
        </is>
      </c>
      <c r="F23" s="131" t="n">
        <v>8.91</v>
      </c>
      <c r="G23" s="132">
        <f>IF(F23="",0,C23*F23*10)</f>
        <v/>
      </c>
      <c r="H23" s="133" t="inlineStr">
        <is>
          <t>Current 27.5x  |  5yr avg 32.1x  |  DCF-implied 19.1x [ref only — not used as benchmark]  [-14% vs benchmark]  [trail=9.15 | fwd_pfcf=20.2x→10.00 | abs=7.5 → blended 40/40/20=9.16]  [fcf_yield=3.6% vs rf=4.6%  spread=-0.9%→modifier=-0.25]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2026-05-26T13:51:25Z</dcterms:created>
  <dcterms:modified xmlns:dcterms="http://purl.org/dc/terms/" xmlns:xsi="http://www.w3.org/2001/XMLSchema-instance" xsi:type="dcterms:W3CDTF">2026-05-26T13:51:39Z</dcterms:modified>
</cp:coreProperties>
</file>