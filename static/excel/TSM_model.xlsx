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9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16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TSM — Financial Model</t>
        </is>
      </c>
    </row>
    <row r="2" ht="14" customHeight="1">
      <c r="A2" s="2" t="inlineStr">
        <is>
          <t>Source: Financial Modeling Prep API  |  All figures TWD millions  |  ⚠ Non-USD currency — DCF implied prices converted to USD  |  FY 2021–2025</t>
        </is>
      </c>
    </row>
    <row r="4">
      <c r="A4" s="3" t="inlineStr">
        <is>
          <t>Reporting Currency</t>
        </is>
      </c>
      <c r="B4" s="4" t="inlineStr">
        <is>
          <t>TWD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3848510.95</v>
      </c>
    </row>
    <row r="8">
      <c r="A8" s="3" t="inlineStr">
        <is>
          <t>Gross Profit ($mm)</t>
        </is>
      </c>
      <c r="B8" s="7" t="n">
        <v>2304925.3</v>
      </c>
    </row>
    <row r="9">
      <c r="A9" s="3" t="inlineStr">
        <is>
          <t>EBITDA ($mm)</t>
        </is>
      </c>
      <c r="B9" s="7" t="n">
        <v>2752481.88</v>
      </c>
    </row>
    <row r="10">
      <c r="A10" s="3" t="inlineStr">
        <is>
          <t>EBIT ($mm)</t>
        </is>
      </c>
      <c r="B10" s="7" t="n">
        <v>1955695.82</v>
      </c>
    </row>
    <row r="11">
      <c r="A11" s="3" t="inlineStr">
        <is>
          <t>Net Income ($mm)</t>
        </is>
      </c>
      <c r="B11" s="7" t="n">
        <v>1735678.08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1587415</v>
      </c>
      <c r="C5" s="16" t="n">
        <v>2263891.3</v>
      </c>
      <c r="D5" s="16" t="n">
        <v>2161736</v>
      </c>
      <c r="E5" s="16" t="n">
        <v>2894308</v>
      </c>
      <c r="F5" s="16" t="n">
        <v>3848510.95</v>
      </c>
    </row>
    <row r="6">
      <c r="A6" s="17" t="inlineStr">
        <is>
          <t>(2)  Cost of Revenue (COGS)</t>
        </is>
      </c>
      <c r="B6" s="18" t="n">
        <v>767877.7</v>
      </c>
      <c r="C6" s="18" t="n">
        <v>915536.5</v>
      </c>
      <c r="D6" s="18" t="n">
        <v>986625</v>
      </c>
      <c r="E6" s="18" t="n">
        <v>1269954</v>
      </c>
      <c r="F6" s="18" t="n">
        <v>1543585.65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44488.2</v>
      </c>
      <c r="C9" s="18" t="n">
        <v>63445.3</v>
      </c>
      <c r="D9" s="18" t="n">
        <v>71464</v>
      </c>
      <c r="E9" s="18" t="n">
        <v>96889</v>
      </c>
      <c r="F9" s="18" t="n">
        <v>100249.81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169556.4</v>
      </c>
      <c r="C11" s="18" t="n">
        <v>227075.9</v>
      </c>
      <c r="D11" s="18" t="n">
        <v>253645</v>
      </c>
      <c r="E11" s="18" t="n">
        <v>302301</v>
      </c>
      <c r="F11" s="18" t="n">
        <v>349229.48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422394.9</v>
      </c>
      <c r="C14" s="18" t="n">
        <v>437254.3</v>
      </c>
      <c r="D14" s="18" t="n">
        <v>532190.9</v>
      </c>
      <c r="E14" s="18" t="n">
        <v>662796</v>
      </c>
      <c r="F14" s="18" t="n">
        <v>695223.8</v>
      </c>
    </row>
    <row r="15">
      <c r="A15" s="19" t="inlineStr">
        <is>
          <t>(8)  EBIT (Operating Income)</t>
        </is>
      </c>
      <c r="B15" s="24" t="n">
        <v>649980.9</v>
      </c>
      <c r="C15" s="24" t="n">
        <v>1121278.9</v>
      </c>
      <c r="D15" s="24" t="n">
        <v>921466</v>
      </c>
      <c r="E15" s="24" t="n">
        <v>1322053</v>
      </c>
      <c r="F15" s="24" t="n">
        <v>1955695.82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5414.2</v>
      </c>
      <c r="C17" s="18" t="n">
        <v>11750</v>
      </c>
      <c r="D17" s="18" t="n">
        <v>11999.4</v>
      </c>
      <c r="E17" s="18" t="n">
        <v>10495.4</v>
      </c>
      <c r="F17" s="18" t="n">
        <v>0</v>
      </c>
    </row>
    <row r="18">
      <c r="A18" s="21" t="inlineStr">
        <is>
          <t xml:space="preserve">     Interest Income</t>
        </is>
      </c>
      <c r="B18" s="18" t="n">
        <v>5708.8</v>
      </c>
      <c r="C18" s="18" t="n">
        <v>22422.2</v>
      </c>
      <c r="D18" s="18" t="n">
        <v>60293.9</v>
      </c>
      <c r="E18" s="18" t="n">
        <v>87213.39999999999</v>
      </c>
      <c r="F18" s="18" t="n">
        <v>94335.17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663036</v>
      </c>
      <c r="C21" s="24" t="n">
        <v>1144072.2</v>
      </c>
      <c r="D21" s="24" t="n">
        <v>979171</v>
      </c>
      <c r="E21" s="24" t="n">
        <v>1405839</v>
      </c>
      <c r="F21" s="24" t="n">
        <v>2062812.03</v>
      </c>
    </row>
    <row r="22">
      <c r="A22" s="17" t="inlineStr">
        <is>
          <t>(11) Income Tax Expense</t>
        </is>
      </c>
      <c r="B22" s="18" t="n">
        <v>70155.39999999999</v>
      </c>
      <c r="C22" s="18" t="n">
        <v>150777.5</v>
      </c>
      <c r="D22" s="18" t="n">
        <v>128288.8</v>
      </c>
      <c r="E22" s="18" t="n">
        <v>248316.1</v>
      </c>
      <c r="F22" s="18" t="n">
        <v>329645.7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592359.2</v>
      </c>
      <c r="C24" s="24" t="n">
        <v>992923.4</v>
      </c>
      <c r="D24" s="24" t="n">
        <v>851740</v>
      </c>
      <c r="E24" s="24" t="n">
        <v>1158380.2</v>
      </c>
      <c r="F24" s="24" t="n">
        <v>1735678.08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1587415</v>
      </c>
      <c r="C30" s="16" t="n">
        <v>2263891.3</v>
      </c>
      <c r="D30" s="16" t="n">
        <v>2161736</v>
      </c>
      <c r="E30" s="16" t="n">
        <v>2894308</v>
      </c>
      <c r="F30" s="16" t="n">
        <v>3848510.95</v>
      </c>
    </row>
    <row r="31">
      <c r="A31" s="17" t="inlineStr">
        <is>
          <t>Cost of Revenue</t>
        </is>
      </c>
      <c r="B31" s="18" t="n">
        <v>767877.7</v>
      </c>
      <c r="C31" s="18" t="n">
        <v>915536.5</v>
      </c>
      <c r="D31" s="18" t="n">
        <v>986625</v>
      </c>
      <c r="E31" s="18" t="n">
        <v>1269954</v>
      </c>
      <c r="F31" s="18" t="n">
        <v>1543585.65</v>
      </c>
    </row>
    <row r="32">
      <c r="A32" s="26" t="inlineStr">
        <is>
          <t>Gross Profit</t>
        </is>
      </c>
      <c r="B32" s="27" t="n">
        <v>819537.3</v>
      </c>
      <c r="C32" s="27" t="n">
        <v>1348354.8</v>
      </c>
      <c r="D32" s="27" t="n">
        <v>1175111</v>
      </c>
      <c r="E32" s="27" t="n">
        <v>1624354</v>
      </c>
      <c r="F32" s="27" t="n">
        <v>2304925.3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124734.8</v>
      </c>
      <c r="C34" s="18" t="n">
        <v>163262.2</v>
      </c>
      <c r="D34" s="18" t="n">
        <v>182370</v>
      </c>
      <c r="E34" s="18" t="n">
        <v>204182</v>
      </c>
      <c r="F34" s="18" t="n">
        <v>248979.67</v>
      </c>
    </row>
    <row r="35">
      <c r="A35" s="17" t="inlineStr">
        <is>
          <t>General &amp; Administrative</t>
        </is>
      </c>
      <c r="B35" s="18" t="n">
        <v>36929.6</v>
      </c>
      <c r="C35" s="18" t="n">
        <v>53524.8</v>
      </c>
      <c r="D35" s="18" t="n">
        <v>60872.8</v>
      </c>
      <c r="E35" s="18" t="n">
        <v>83745</v>
      </c>
      <c r="F35" s="18" t="n">
        <v>87220.35000000001</v>
      </c>
    </row>
    <row r="36">
      <c r="A36" s="17" t="inlineStr">
        <is>
          <t>Selling &amp; Marketing</t>
        </is>
      </c>
      <c r="B36" s="18" t="n">
        <v>7558.6</v>
      </c>
      <c r="C36" s="18" t="n">
        <v>9920.5</v>
      </c>
      <c r="D36" s="18" t="n">
        <v>10590.7</v>
      </c>
      <c r="E36" s="18" t="n">
        <v>13143.6</v>
      </c>
      <c r="F36" s="18" t="n">
        <v>13029.46</v>
      </c>
    </row>
    <row r="37">
      <c r="A37" s="17" t="inlineStr">
        <is>
          <t>SG&amp;A (Combined)</t>
        </is>
      </c>
      <c r="B37" s="18" t="n">
        <v>44488.2</v>
      </c>
      <c r="C37" s="18" t="n">
        <v>63445.3</v>
      </c>
      <c r="D37" s="18" t="n">
        <v>71464</v>
      </c>
      <c r="E37" s="18" t="n">
        <v>96889</v>
      </c>
      <c r="F37" s="18" t="n">
        <v>100249.81</v>
      </c>
    </row>
    <row r="38">
      <c r="A38" s="17" t="inlineStr">
        <is>
          <t>Other Expenses</t>
        </is>
      </c>
      <c r="B38" s="18" t="n">
        <v>333.4</v>
      </c>
      <c r="C38" s="18" t="n">
        <v>368.4</v>
      </c>
      <c r="D38" s="18" t="n">
        <v>-189</v>
      </c>
      <c r="E38" s="18" t="n">
        <v>1230</v>
      </c>
      <c r="F38" s="18" t="n">
        <v>-0</v>
      </c>
    </row>
    <row r="39">
      <c r="A39" s="26" t="inlineStr">
        <is>
          <t>Total Operating Expenses</t>
        </is>
      </c>
      <c r="B39" s="27" t="n">
        <v>169556.4</v>
      </c>
      <c r="C39" s="27" t="n">
        <v>227075.9</v>
      </c>
      <c r="D39" s="27" t="n">
        <v>253645</v>
      </c>
      <c r="E39" s="27" t="n">
        <v>302301</v>
      </c>
      <c r="F39" s="27" t="n">
        <v>349229.48</v>
      </c>
    </row>
    <row r="40">
      <c r="A40" s="17" t="inlineStr">
        <is>
          <t>Cost &amp; Expenses (COGS + Opex)</t>
        </is>
      </c>
      <c r="B40" s="18" t="n">
        <v>937434.1</v>
      </c>
      <c r="C40" s="18" t="n">
        <v>1142612.4</v>
      </c>
      <c r="D40" s="18" t="n">
        <v>1240270</v>
      </c>
      <c r="E40" s="18" t="n">
        <v>1572255</v>
      </c>
      <c r="F40" s="18" t="n">
        <v>1892815.13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649980.9</v>
      </c>
      <c r="C42" s="16" t="n">
        <v>1121278.9</v>
      </c>
      <c r="D42" s="16" t="n">
        <v>921466</v>
      </c>
      <c r="E42" s="16" t="n">
        <v>1322053</v>
      </c>
      <c r="F42" s="16" t="n">
        <v>1955695.82</v>
      </c>
    </row>
    <row r="43">
      <c r="A43" s="17" t="inlineStr">
        <is>
          <t>EBIT (FMP field)</t>
        </is>
      </c>
      <c r="B43" s="18" t="n">
        <v>668450.2</v>
      </c>
      <c r="C43" s="18" t="n">
        <v>1155822.2</v>
      </c>
      <c r="D43" s="18" t="n">
        <v>991315.9</v>
      </c>
      <c r="E43" s="18" t="n">
        <v>1322053</v>
      </c>
      <c r="F43" s="18" t="n">
        <v>2057258.09</v>
      </c>
    </row>
    <row r="44">
      <c r="A44" s="26" t="inlineStr">
        <is>
          <t>EBITDA</t>
        </is>
      </c>
      <c r="B44" s="27" t="n">
        <v>1090845.1</v>
      </c>
      <c r="C44" s="27" t="n">
        <v>1593076.5</v>
      </c>
      <c r="D44" s="27" t="n">
        <v>1523506.8</v>
      </c>
      <c r="E44" s="27" t="n">
        <v>1984849</v>
      </c>
      <c r="F44" s="27" t="n">
        <v>2752481.88</v>
      </c>
    </row>
    <row r="45">
      <c r="A45" s="17" t="inlineStr">
        <is>
          <t>Depreciation &amp; Amortisation</t>
        </is>
      </c>
      <c r="B45" s="18" t="n">
        <v>422394.9</v>
      </c>
      <c r="C45" s="18" t="n">
        <v>437254.3</v>
      </c>
      <c r="D45" s="18" t="n">
        <v>532190.9</v>
      </c>
      <c r="E45" s="18" t="n">
        <v>662796</v>
      </c>
      <c r="F45" s="18" t="n">
        <v>695223.8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5708.8</v>
      </c>
      <c r="C47" s="18" t="n">
        <v>22422.2</v>
      </c>
      <c r="D47" s="18" t="n">
        <v>60293.9</v>
      </c>
      <c r="E47" s="18" t="n">
        <v>87213.39999999999</v>
      </c>
      <c r="F47" s="18" t="n">
        <v>94335.17</v>
      </c>
    </row>
    <row r="48">
      <c r="A48" s="17" t="inlineStr">
        <is>
          <t>Interest Expense</t>
        </is>
      </c>
      <c r="B48" s="18" t="n">
        <v>5414.2</v>
      </c>
      <c r="C48" s="18" t="n">
        <v>11750</v>
      </c>
      <c r="D48" s="18" t="n">
        <v>11999.4</v>
      </c>
      <c r="E48" s="18" t="n">
        <v>10495.4</v>
      </c>
      <c r="F48" s="18" t="n">
        <v>0</v>
      </c>
    </row>
    <row r="49">
      <c r="A49" s="17" t="inlineStr">
        <is>
          <t>Net Interest Income</t>
        </is>
      </c>
      <c r="B49" s="18" t="n">
        <v>294.6</v>
      </c>
      <c r="C49" s="18" t="n">
        <v>10672.2</v>
      </c>
      <c r="D49" s="18" t="n">
        <v>48294</v>
      </c>
      <c r="E49" s="18" t="n">
        <v>76718</v>
      </c>
      <c r="F49" s="18" t="n">
        <v>94335.17</v>
      </c>
    </row>
    <row r="50">
      <c r="A50" s="17" t="inlineStr">
        <is>
          <t>Non-Operating Income (ex-interest)</t>
        </is>
      </c>
      <c r="B50" s="18" t="n">
        <v>-18469.3</v>
      </c>
      <c r="C50" s="18" t="n">
        <v>-34543.3</v>
      </c>
      <c r="D50" s="18" t="n">
        <v>-69850.3</v>
      </c>
      <c r="E50" s="18" t="n">
        <v>-1150.48</v>
      </c>
      <c r="F50" s="18" t="n">
        <v>-101562.27</v>
      </c>
    </row>
    <row r="51">
      <c r="A51" s="17" t="inlineStr">
        <is>
          <t>Total Other Income / (Expenses)</t>
        </is>
      </c>
      <c r="B51" s="18" t="n">
        <v>13055.1</v>
      </c>
      <c r="C51" s="18" t="n">
        <v>22793.3</v>
      </c>
      <c r="D51" s="18" t="n">
        <v>57705</v>
      </c>
      <c r="E51" s="18" t="n">
        <v>83786</v>
      </c>
      <c r="F51" s="18" t="n">
        <v>107116.21</v>
      </c>
    </row>
    <row r="52">
      <c r="A52" s="26" t="inlineStr">
        <is>
          <t>EBT / Income Before Tax</t>
        </is>
      </c>
      <c r="B52" s="27" t="n">
        <v>663036</v>
      </c>
      <c r="C52" s="27" t="n">
        <v>1144072.2</v>
      </c>
      <c r="D52" s="27" t="n">
        <v>979171</v>
      </c>
      <c r="E52" s="27" t="n">
        <v>1405839</v>
      </c>
      <c r="F52" s="27" t="n">
        <v>2062812.03</v>
      </c>
    </row>
    <row r="53">
      <c r="A53" s="17" t="inlineStr">
        <is>
          <t>Income Tax Expense</t>
        </is>
      </c>
      <c r="B53" s="18" t="n">
        <v>70155.39999999999</v>
      </c>
      <c r="C53" s="18" t="n">
        <v>150777.5</v>
      </c>
      <c r="D53" s="18" t="n">
        <v>128288.8</v>
      </c>
      <c r="E53" s="18" t="n">
        <v>248316.1</v>
      </c>
      <c r="F53" s="18" t="n">
        <v>329645.7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592880.6</v>
      </c>
      <c r="C55" s="18" t="n">
        <v>993294.7</v>
      </c>
      <c r="D55" s="18" t="n">
        <v>851027.7</v>
      </c>
      <c r="E55" s="18" t="n">
        <v>1157523.9</v>
      </c>
      <c r="F55" s="18" t="n">
        <v>1733166.33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592359.2</v>
      </c>
      <c r="C59" s="27" t="n">
        <v>992923.4</v>
      </c>
      <c r="D59" s="27" t="n">
        <v>851740</v>
      </c>
      <c r="E59" s="27" t="n">
        <v>1158380.2</v>
      </c>
      <c r="F59" s="27" t="n">
        <v>1735678.08</v>
      </c>
    </row>
    <row r="60">
      <c r="A60" s="15" t="inlineStr">
        <is>
          <t>Bottom Line Net Income</t>
        </is>
      </c>
      <c r="B60" s="16" t="n">
        <v>592359.2</v>
      </c>
      <c r="C60" s="16" t="n">
        <v>992923.4</v>
      </c>
      <c r="D60" s="16" t="n">
        <v>851740</v>
      </c>
      <c r="E60" s="16" t="n">
        <v>1158380.2</v>
      </c>
      <c r="F60" s="16" t="n">
        <v>1735678.08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114.2</v>
      </c>
      <c r="C62" s="18" t="n">
        <v>191.45</v>
      </c>
      <c r="D62" s="18" t="n">
        <v>164.25</v>
      </c>
      <c r="E62" s="18" t="n">
        <v>223.4</v>
      </c>
      <c r="F62" s="18" t="n">
        <v>334.6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5186.08</v>
      </c>
      <c r="C64" s="18" t="n">
        <v>5185.84</v>
      </c>
      <c r="D64" s="18" t="n">
        <v>5185.84</v>
      </c>
      <c r="E64" s="18" t="n">
        <v>5185.51</v>
      </c>
      <c r="F64" s="18" t="n">
        <v>5186.95</v>
      </c>
    </row>
    <row r="65">
      <c r="A65" s="17" t="inlineStr">
        <is>
          <t>Shares Outstanding — Diluted (mm)</t>
        </is>
      </c>
      <c r="B65" s="18" t="n">
        <v>5186.08</v>
      </c>
      <c r="C65" s="18" t="n">
        <v>5185.88</v>
      </c>
      <c r="D65" s="18" t="n">
        <v>5185.85</v>
      </c>
      <c r="E65" s="18" t="n">
        <v>5185.51</v>
      </c>
      <c r="F65" s="18" t="n">
        <v>5186.2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TWD</t>
        </is>
      </c>
      <c r="C67" s="18" t="inlineStr">
        <is>
          <t>TWD</t>
        </is>
      </c>
      <c r="D67" s="18" t="inlineStr">
        <is>
          <t>TWD</t>
        </is>
      </c>
      <c r="E67" s="18" t="inlineStr">
        <is>
          <t>TWD</t>
        </is>
      </c>
      <c r="F67" s="18" t="inlineStr">
        <is>
          <t>TWD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1064990.2</v>
      </c>
      <c r="C5" s="18" t="n">
        <v>1342814.1</v>
      </c>
      <c r="D5" s="18" t="n">
        <v>1465427.8</v>
      </c>
      <c r="E5" s="18" t="n">
        <v>2127627</v>
      </c>
      <c r="F5" s="18" t="n">
        <v>2767856.4</v>
      </c>
    </row>
    <row r="6">
      <c r="A6" s="17" t="inlineStr">
        <is>
          <t>(2)  Receivables</t>
        </is>
      </c>
      <c r="B6" s="18" t="n">
        <v>198362.9</v>
      </c>
      <c r="C6" s="18" t="n">
        <v>231408.9</v>
      </c>
      <c r="D6" s="18" t="n">
        <v>202010.2</v>
      </c>
      <c r="E6" s="18" t="n">
        <v>272087.9</v>
      </c>
      <c r="F6" s="18" t="n">
        <v>282059.2</v>
      </c>
    </row>
    <row r="7">
      <c r="A7" s="17" t="inlineStr">
        <is>
          <t>(3)  Inventory</t>
        </is>
      </c>
      <c r="B7" s="18" t="n">
        <v>193102.3</v>
      </c>
      <c r="C7" s="18" t="n">
        <v>221149.1</v>
      </c>
      <c r="D7" s="18" t="n">
        <v>250997.1</v>
      </c>
      <c r="E7" s="18" t="n">
        <v>287868.8</v>
      </c>
      <c r="F7" s="18" t="n">
        <v>288109.5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1607072.9</v>
      </c>
      <c r="C9" s="24" t="n">
        <v>2052896.7</v>
      </c>
      <c r="D9" s="24" t="n">
        <v>2194032.9</v>
      </c>
      <c r="E9" s="24" t="n">
        <v>3088352.1</v>
      </c>
      <c r="F9" s="24" t="n">
        <v>3817130.8</v>
      </c>
    </row>
    <row r="10">
      <c r="A10" s="17" t="inlineStr">
        <is>
          <t>(6)  PP&amp;E (Net)</t>
        </is>
      </c>
      <c r="B10" s="18" t="n">
        <v>2007853.1</v>
      </c>
      <c r="C10" s="18" t="n">
        <v>2735751</v>
      </c>
      <c r="D10" s="18" t="n">
        <v>3104899.7</v>
      </c>
      <c r="E10" s="18" t="n">
        <v>3275108.5</v>
      </c>
      <c r="F10" s="18" t="n">
        <v>3735759.8</v>
      </c>
    </row>
    <row r="11">
      <c r="A11" s="17" t="inlineStr">
        <is>
          <t>(7)  Goodwill</t>
        </is>
      </c>
      <c r="B11" s="18" t="n">
        <v>5379.2</v>
      </c>
      <c r="C11" s="18" t="n">
        <v>5791.8</v>
      </c>
      <c r="D11" s="18" t="n">
        <v>5796.4</v>
      </c>
      <c r="E11" s="18" t="n">
        <v>6070.9</v>
      </c>
      <c r="F11" s="18" t="n">
        <v>5891.1</v>
      </c>
    </row>
    <row r="12">
      <c r="A12" s="17" t="inlineStr">
        <is>
          <t>(8)  Deferred Tax Assets</t>
        </is>
      </c>
      <c r="B12" s="18" t="n">
        <v>49153.9</v>
      </c>
      <c r="C12" s="18" t="n">
        <v>69185.89999999999</v>
      </c>
      <c r="D12" s="18" t="n">
        <v>64175.8</v>
      </c>
      <c r="E12" s="18" t="n">
        <v>65943.3</v>
      </c>
      <c r="F12" s="18" t="n">
        <v>62940.3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2118229.3</v>
      </c>
      <c r="C14" s="24" t="n">
        <v>2911562.4</v>
      </c>
      <c r="D14" s="24" t="n">
        <v>3338163.7</v>
      </c>
      <c r="E14" s="24" t="n">
        <v>3603412.6</v>
      </c>
      <c r="F14" s="24" t="n">
        <v>4115711.7</v>
      </c>
    </row>
    <row r="15">
      <c r="A15" s="19" t="inlineStr">
        <is>
          <t>(11) Total Assets</t>
        </is>
      </c>
      <c r="B15" s="24" t="n">
        <v>3725302.2</v>
      </c>
      <c r="C15" s="24" t="n">
        <v>4964459.1</v>
      </c>
      <c r="D15" s="24" t="n">
        <v>5532196.6</v>
      </c>
      <c r="E15" s="24" t="n">
        <v>6691764.7</v>
      </c>
      <c r="F15" s="24" t="n">
        <v>7932842.5</v>
      </c>
    </row>
    <row r="16" ht="6" customHeight="1"/>
    <row r="17">
      <c r="A17" s="17" t="inlineStr">
        <is>
          <t>(12) Accounts Payable</t>
        </is>
      </c>
      <c r="B17" s="18" t="n">
        <v>193027.8</v>
      </c>
      <c r="C17" s="18" t="n">
        <v>268379.3</v>
      </c>
      <c r="D17" s="18" t="n">
        <v>227211.4</v>
      </c>
      <c r="E17" s="18" t="n">
        <v>265435.8</v>
      </c>
      <c r="F17" s="18" t="n">
        <v>260281.9</v>
      </c>
    </row>
    <row r="18">
      <c r="A18" s="17" t="inlineStr">
        <is>
          <t>(13) Short-Term Borrowings</t>
        </is>
      </c>
      <c r="B18" s="18" t="n">
        <v>119488</v>
      </c>
      <c r="C18" s="18" t="n">
        <v>19313.9</v>
      </c>
      <c r="D18" s="18" t="n">
        <v>9293.299999999999</v>
      </c>
      <c r="E18" s="18" t="n">
        <v>59857.9</v>
      </c>
      <c r="F18" s="18" t="n">
        <v>136925.7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758352.8</v>
      </c>
      <c r="C21" s="24" t="n">
        <v>986563.6</v>
      </c>
      <c r="D21" s="24" t="n">
        <v>942805.1</v>
      </c>
      <c r="E21" s="24" t="n">
        <v>1308655.9</v>
      </c>
      <c r="F21" s="24" t="n">
        <v>1522414</v>
      </c>
    </row>
    <row r="22">
      <c r="A22" s="17" t="inlineStr">
        <is>
          <t>(17) Long-Term Debt</t>
        </is>
      </c>
      <c r="B22" s="18" t="n">
        <v>613379.7</v>
      </c>
      <c r="C22" s="18" t="n">
        <v>839096.4</v>
      </c>
      <c r="D22" s="18" t="n">
        <v>918282.8</v>
      </c>
      <c r="E22" s="18" t="n">
        <v>958428.9</v>
      </c>
      <c r="F22" s="18" t="n">
        <v>896062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1573619.7</v>
      </c>
      <c r="C25" s="24" t="n">
        <v>2046626.7</v>
      </c>
      <c r="D25" s="24" t="n">
        <v>2078330.1</v>
      </c>
      <c r="E25" s="24" t="n">
        <v>2412493.1</v>
      </c>
      <c r="F25" s="24" t="n">
        <v>2536623.3</v>
      </c>
    </row>
    <row r="26" ht="6" customHeight="1"/>
    <row r="27">
      <c r="A27" s="17" t="inlineStr">
        <is>
          <t>(21) Common Stock &amp; APIC</t>
        </is>
      </c>
      <c r="B27" s="18" t="n">
        <v>259303.8</v>
      </c>
      <c r="C27" s="18" t="n">
        <v>259303.8</v>
      </c>
      <c r="D27" s="18" t="n">
        <v>259320.7</v>
      </c>
      <c r="E27" s="18" t="n">
        <v>259327.3</v>
      </c>
      <c r="F27" s="18" t="n">
        <v>259325.3</v>
      </c>
    </row>
    <row r="28">
      <c r="A28" s="17" t="inlineStr">
        <is>
          <t>(22) Retained Earnings</t>
        </is>
      </c>
      <c r="B28" s="18" t="n">
        <v>1887802.9</v>
      </c>
      <c r="C28" s="18" t="n">
        <v>2594891.2</v>
      </c>
      <c r="D28" s="18" t="n">
        <v>3128639.6</v>
      </c>
      <c r="E28" s="18" t="n">
        <v>3872973.4</v>
      </c>
      <c r="F28" s="18" t="n">
        <v>5038944.2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2149259.8</v>
      </c>
      <c r="C30" s="24" t="n">
        <v>2903019.7</v>
      </c>
      <c r="D30" s="24" t="n">
        <v>3429522.4</v>
      </c>
      <c r="E30" s="24" t="n">
        <v>4244266.5</v>
      </c>
      <c r="F30" s="24" t="n">
        <v>5355038.7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1064990.2</v>
      </c>
      <c r="C36" s="18" t="n">
        <v>1342814.1</v>
      </c>
      <c r="D36" s="18" t="n">
        <v>1465427.8</v>
      </c>
      <c r="E36" s="18" t="n">
        <v>2127627</v>
      </c>
      <c r="F36" s="18" t="n">
        <v>2767856.4</v>
      </c>
    </row>
    <row r="37">
      <c r="A37" s="17" t="inlineStr">
        <is>
          <t>Short-Term Investments</t>
        </is>
      </c>
      <c r="B37" s="18" t="n">
        <v>139923.5</v>
      </c>
      <c r="C37" s="18" t="n">
        <v>243686</v>
      </c>
      <c r="D37" s="18" t="n">
        <v>249375.4</v>
      </c>
      <c r="E37" s="18" t="n">
        <v>357520</v>
      </c>
      <c r="F37" s="18" t="n">
        <v>360441.3</v>
      </c>
    </row>
    <row r="38">
      <c r="A38" s="28" t="inlineStr">
        <is>
          <t>Cash &amp; Short-Term Investments</t>
        </is>
      </c>
      <c r="B38" s="29" t="n">
        <v>1204913.7</v>
      </c>
      <c r="C38" s="29" t="n">
        <v>1586500.1</v>
      </c>
      <c r="D38" s="29" t="n">
        <v>1714803.2</v>
      </c>
      <c r="E38" s="29" t="n">
        <v>2485147</v>
      </c>
      <c r="F38" s="29" t="n">
        <v>3128297.7</v>
      </c>
    </row>
    <row r="39">
      <c r="A39" s="17" t="inlineStr">
        <is>
          <t>Accounts Receivable (Trade)</t>
        </is>
      </c>
      <c r="B39" s="18" t="n">
        <v>197586.1</v>
      </c>
      <c r="C39" s="18" t="n">
        <v>231408.9</v>
      </c>
      <c r="D39" s="18" t="n">
        <v>201313.91</v>
      </c>
      <c r="E39" s="18" t="n">
        <v>270683.23</v>
      </c>
      <c r="F39" s="18" t="n">
        <v>282059.2</v>
      </c>
    </row>
    <row r="40">
      <c r="A40" s="17" t="inlineStr">
        <is>
          <t>Other Receivables</t>
        </is>
      </c>
      <c r="B40" s="18" t="n">
        <v>776.8</v>
      </c>
      <c r="C40" s="18" t="n">
        <v>0</v>
      </c>
      <c r="D40" s="18" t="n">
        <v>696.29</v>
      </c>
      <c r="E40" s="18" t="n">
        <v>1404.66</v>
      </c>
      <c r="F40" s="18" t="n">
        <v>0</v>
      </c>
    </row>
    <row r="41">
      <c r="A41" s="28" t="inlineStr">
        <is>
          <t>Net Receivables (Total)</t>
        </is>
      </c>
      <c r="B41" s="29" t="n">
        <v>198362.9</v>
      </c>
      <c r="C41" s="29" t="n">
        <v>231408.9</v>
      </c>
      <c r="D41" s="29" t="n">
        <v>202010.2</v>
      </c>
      <c r="E41" s="29" t="n">
        <v>272087.9</v>
      </c>
      <c r="F41" s="29" t="n">
        <v>282059.2</v>
      </c>
    </row>
    <row r="42">
      <c r="A42" s="17" t="inlineStr">
        <is>
          <t>Inventory</t>
        </is>
      </c>
      <c r="B42" s="18" t="n">
        <v>193102.3</v>
      </c>
      <c r="C42" s="18" t="n">
        <v>221149.1</v>
      </c>
      <c r="D42" s="18" t="n">
        <v>250997.1</v>
      </c>
      <c r="E42" s="18" t="n">
        <v>287868.8</v>
      </c>
      <c r="F42" s="18" t="n">
        <v>288109.5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10694</v>
      </c>
      <c r="C44" s="18" t="n">
        <v>13838.6</v>
      </c>
      <c r="D44" s="18" t="n">
        <v>26222.4</v>
      </c>
      <c r="E44" s="18" t="n">
        <v>43248.4</v>
      </c>
      <c r="F44" s="18" t="n">
        <v>118664.4</v>
      </c>
    </row>
    <row r="45">
      <c r="A45" s="26" t="inlineStr">
        <is>
          <t>Total Current Assets</t>
        </is>
      </c>
      <c r="B45" s="27" t="n">
        <v>1607072.9</v>
      </c>
      <c r="C45" s="27" t="n">
        <v>2052896.7</v>
      </c>
      <c r="D45" s="27" t="n">
        <v>2194032.9</v>
      </c>
      <c r="E45" s="27" t="n">
        <v>3088352.1</v>
      </c>
      <c r="F45" s="27" t="n">
        <v>3817130.8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2007853.1</v>
      </c>
      <c r="C47" s="18" t="n">
        <v>2735751</v>
      </c>
      <c r="D47" s="18" t="n">
        <v>3104899.7</v>
      </c>
      <c r="E47" s="18" t="n">
        <v>3275108.5</v>
      </c>
      <c r="F47" s="18" t="n">
        <v>3735759.8</v>
      </c>
    </row>
    <row r="48">
      <c r="A48" s="17" t="inlineStr">
        <is>
          <t>Goodwill</t>
        </is>
      </c>
      <c r="B48" s="18" t="n">
        <v>5379.2</v>
      </c>
      <c r="C48" s="18" t="n">
        <v>5791.8</v>
      </c>
      <c r="D48" s="18" t="n">
        <v>5796.4</v>
      </c>
      <c r="E48" s="18" t="n">
        <v>6070.9</v>
      </c>
      <c r="F48" s="18" t="n">
        <v>5891.1</v>
      </c>
    </row>
    <row r="49">
      <c r="A49" s="17" t="inlineStr">
        <is>
          <t>Intangible Assets</t>
        </is>
      </c>
      <c r="B49" s="18" t="n">
        <v>21442.5</v>
      </c>
      <c r="C49" s="18" t="n">
        <v>20207.4</v>
      </c>
      <c r="D49" s="18" t="n">
        <v>16970.3</v>
      </c>
      <c r="E49" s="18" t="n">
        <v>20211.6</v>
      </c>
      <c r="F49" s="18" t="n">
        <v>19061.5</v>
      </c>
    </row>
    <row r="50">
      <c r="A50" s="17" t="inlineStr">
        <is>
          <t>Long-Term Investments</t>
        </is>
      </c>
      <c r="B50" s="18" t="n">
        <v>29183.5</v>
      </c>
      <c r="C50" s="18" t="n">
        <v>68608.10000000001</v>
      </c>
      <c r="D50" s="18" t="n">
        <v>129267.6</v>
      </c>
      <c r="E50" s="18" t="n">
        <v>148867</v>
      </c>
      <c r="F50" s="18" t="n">
        <v>172189</v>
      </c>
    </row>
    <row r="51">
      <c r="A51" s="17" t="inlineStr">
        <is>
          <t>Tax Assets (Deferred)</t>
        </is>
      </c>
      <c r="B51" s="18" t="n">
        <v>49153.9</v>
      </c>
      <c r="C51" s="18" t="n">
        <v>69185.89999999999</v>
      </c>
      <c r="D51" s="18" t="n">
        <v>64175.8</v>
      </c>
      <c r="E51" s="18" t="n">
        <v>65943.3</v>
      </c>
      <c r="F51" s="18" t="n">
        <v>62940.3</v>
      </c>
    </row>
    <row r="52">
      <c r="A52" s="17" t="inlineStr">
        <is>
          <t>Total Investments</t>
        </is>
      </c>
      <c r="B52" s="18" t="n">
        <v>169107</v>
      </c>
      <c r="C52" s="18" t="n">
        <v>312294.1</v>
      </c>
      <c r="D52" s="18" t="n">
        <v>378643</v>
      </c>
      <c r="E52" s="18" t="n">
        <v>506387</v>
      </c>
      <c r="F52" s="18" t="n">
        <v>532630.3</v>
      </c>
    </row>
    <row r="53">
      <c r="A53" s="17" t="inlineStr">
        <is>
          <t>Other Non-Current Assets</t>
        </is>
      </c>
      <c r="B53" s="18" t="n">
        <v>5217.1</v>
      </c>
      <c r="C53" s="18" t="n">
        <v>12018.2</v>
      </c>
      <c r="D53" s="18" t="n">
        <v>17053.9</v>
      </c>
      <c r="E53" s="18" t="n">
        <v>87211.3</v>
      </c>
      <c r="F53" s="18" t="n">
        <v>119870</v>
      </c>
    </row>
    <row r="54">
      <c r="A54" s="26" t="inlineStr">
        <is>
          <t>Total Non-Current Assets</t>
        </is>
      </c>
      <c r="B54" s="27" t="n">
        <v>2118229.3</v>
      </c>
      <c r="C54" s="27" t="n">
        <v>2911562.4</v>
      </c>
      <c r="D54" s="27" t="n">
        <v>3338163.7</v>
      </c>
      <c r="E54" s="27" t="n">
        <v>3603412.6</v>
      </c>
      <c r="F54" s="27" t="n">
        <v>4115711.7</v>
      </c>
    </row>
    <row r="55">
      <c r="A55" s="13" t="inlineStr">
        <is>
          <t>TOTAL ASSETS</t>
        </is>
      </c>
      <c r="B55" s="30" t="n">
        <v>3725302.2</v>
      </c>
      <c r="C55" s="30" t="n">
        <v>4964459.1</v>
      </c>
      <c r="D55" s="30" t="n">
        <v>5532196.6</v>
      </c>
      <c r="E55" s="30" t="n">
        <v>6691764.7</v>
      </c>
      <c r="F55" s="30" t="n">
        <v>7932842.5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193027.8</v>
      </c>
      <c r="C57" s="18" t="n">
        <v>268379.3</v>
      </c>
      <c r="D57" s="18" t="n">
        <v>227211.4</v>
      </c>
      <c r="E57" s="18" t="n">
        <v>265435.8</v>
      </c>
      <c r="F57" s="18" t="n">
        <v>260281.9</v>
      </c>
    </row>
    <row r="58">
      <c r="A58" s="17" t="inlineStr">
        <is>
          <t>Short-Term Debt</t>
        </is>
      </c>
      <c r="B58" s="18" t="n">
        <v>119488</v>
      </c>
      <c r="C58" s="18" t="n">
        <v>19313.9</v>
      </c>
      <c r="D58" s="18" t="n">
        <v>9293.299999999999</v>
      </c>
      <c r="E58" s="18" t="n">
        <v>59857.9</v>
      </c>
      <c r="F58" s="18" t="n">
        <v>136925.7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37216.2</v>
      </c>
      <c r="C61" s="18" t="n">
        <v>61865.6</v>
      </c>
      <c r="D61" s="18" t="n">
        <v>78172.5</v>
      </c>
      <c r="E61" s="18" t="n">
        <v>71337.7</v>
      </c>
      <c r="F61" s="18" t="n">
        <v>106440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758352.8</v>
      </c>
      <c r="C63" s="27" t="n">
        <v>986563.6</v>
      </c>
      <c r="D63" s="27" t="n">
        <v>942805.1</v>
      </c>
      <c r="E63" s="27" t="n">
        <v>1308655.9</v>
      </c>
      <c r="F63" s="27" t="n">
        <v>1522414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613379.7</v>
      </c>
      <c r="C65" s="18" t="n">
        <v>839096.4</v>
      </c>
      <c r="D65" s="18" t="n">
        <v>918282.8</v>
      </c>
      <c r="E65" s="18" t="n">
        <v>958428.9</v>
      </c>
      <c r="F65" s="18" t="n">
        <v>896062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1873.9</v>
      </c>
      <c r="C68" s="18" t="n">
        <v>1031.4</v>
      </c>
      <c r="D68" s="18" t="n">
        <v>53.8</v>
      </c>
      <c r="E68" s="18" t="n">
        <v>3988.5</v>
      </c>
      <c r="F68" s="18" t="n">
        <v>3888.8</v>
      </c>
    </row>
    <row r="69">
      <c r="A69" s="17" t="inlineStr">
        <is>
          <t>Other Non-Current Liabilities</t>
        </is>
      </c>
      <c r="B69" s="18" t="n">
        <v>179249.1</v>
      </c>
      <c r="C69" s="18" t="n">
        <v>190171.2</v>
      </c>
      <c r="D69" s="18" t="n">
        <v>188506.6</v>
      </c>
      <c r="E69" s="18" t="n">
        <v>112664.5</v>
      </c>
      <c r="F69" s="18" t="n">
        <v>82663.5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1573619.7</v>
      </c>
      <c r="C71" s="30" t="n">
        <v>2046626.7</v>
      </c>
      <c r="D71" s="30" t="n">
        <v>2078330.1</v>
      </c>
      <c r="E71" s="30" t="n">
        <v>2412493.1</v>
      </c>
      <c r="F71" s="30" t="n">
        <v>2536623.3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259303.8</v>
      </c>
      <c r="C73" s="18" t="n">
        <v>259303.8</v>
      </c>
      <c r="D73" s="18" t="n">
        <v>259320.7</v>
      </c>
      <c r="E73" s="18" t="n">
        <v>259327.3</v>
      </c>
      <c r="F73" s="18" t="n">
        <v>259325.3</v>
      </c>
    </row>
    <row r="74">
      <c r="A74" s="17" t="inlineStr">
        <is>
          <t>Retained Earnings</t>
        </is>
      </c>
      <c r="B74" s="18" t="n">
        <v>1887802.9</v>
      </c>
      <c r="C74" s="18" t="n">
        <v>2594891.2</v>
      </c>
      <c r="D74" s="18" t="n">
        <v>3128639.6</v>
      </c>
      <c r="E74" s="18" t="n">
        <v>3872973.4</v>
      </c>
      <c r="F74" s="18" t="n">
        <v>5038944.2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2422.7</v>
      </c>
      <c r="C77" s="18" t="n">
        <v>14812.7</v>
      </c>
      <c r="D77" s="18" t="n">
        <v>24344.1</v>
      </c>
      <c r="E77" s="18" t="n">
        <v>35005.1</v>
      </c>
      <c r="F77" s="18" t="n">
        <v>41180.5</v>
      </c>
    </row>
    <row r="78">
      <c r="A78" s="26" t="inlineStr">
        <is>
          <t>Total Equity (inc. Minority)</t>
        </is>
      </c>
      <c r="B78" s="27" t="n">
        <v>2151682.5</v>
      </c>
      <c r="C78" s="27" t="n">
        <v>2917832.4</v>
      </c>
      <c r="D78" s="27" t="n">
        <v>3453866.5</v>
      </c>
      <c r="E78" s="27" t="n">
        <v>4279271.6</v>
      </c>
      <c r="F78" s="27" t="n">
        <v>5396219.2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1112160.72</v>
      </c>
      <c r="C5" s="24" t="n">
        <v>1610599.19</v>
      </c>
      <c r="D5" s="24" t="n">
        <v>1241967.3</v>
      </c>
      <c r="E5" s="24" t="n">
        <v>1826177</v>
      </c>
      <c r="F5" s="24" t="n">
        <v>2383175.56</v>
      </c>
    </row>
    <row r="6">
      <c r="A6" s="17" t="inlineStr">
        <is>
          <t>(2)  Capital Expenditures</t>
        </is>
      </c>
      <c r="B6" s="18" t="n">
        <v>-849436.46</v>
      </c>
      <c r="C6" s="18" t="n">
        <v>-1089626.46</v>
      </c>
      <c r="D6" s="18" t="n">
        <v>-955398.4</v>
      </c>
      <c r="E6" s="18" t="n">
        <v>-956007</v>
      </c>
      <c r="F6" s="18" t="n">
        <v>-1285591.56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397185.9</v>
      </c>
      <c r="C9" s="18" t="n">
        <v>82008.60000000001</v>
      </c>
      <c r="D9" s="18" t="n">
        <v>93347.39999999999</v>
      </c>
      <c r="E9" s="18" t="n">
        <v>29405</v>
      </c>
      <c r="F9" s="18" t="n">
        <v>41296.39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-265786.4</v>
      </c>
      <c r="C12" s="18" t="n">
        <v>-285234.18</v>
      </c>
      <c r="D12" s="18" t="n">
        <v>-291721.85</v>
      </c>
      <c r="E12" s="18" t="n">
        <v>-363055</v>
      </c>
      <c r="F12" s="18" t="n">
        <v>-471614.24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262724.26</v>
      </c>
      <c r="C15" s="24" t="n">
        <v>520972.73</v>
      </c>
      <c r="D15" s="24" t="n">
        <v>286568.9</v>
      </c>
      <c r="E15" s="24" t="n">
        <v>870170</v>
      </c>
      <c r="F15" s="24" t="n">
        <v>1097584.01</v>
      </c>
    </row>
    <row r="16">
      <c r="A16" s="15" t="inlineStr">
        <is>
          <t xml:space="preserve">     Net Change in Cash</t>
        </is>
      </c>
      <c r="B16" s="16" t="n">
        <v>404819.55</v>
      </c>
      <c r="C16" s="16" t="n">
        <v>277823.89</v>
      </c>
      <c r="D16" s="16" t="n">
        <v>122613.67</v>
      </c>
      <c r="E16" s="16" t="n">
        <v>662199.25</v>
      </c>
      <c r="F16" s="16" t="n">
        <v>726696.3199999999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663126.3100000001</v>
      </c>
      <c r="C21" s="18" t="n">
        <v>1144190.72</v>
      </c>
      <c r="D21" s="18" t="n">
        <v>838497.66</v>
      </c>
      <c r="E21" s="18" t="n">
        <v>1173268</v>
      </c>
      <c r="F21" s="18" t="n">
        <v>1735678.08</v>
      </c>
    </row>
    <row r="22">
      <c r="A22" s="17" t="inlineStr">
        <is>
          <t>Depreciation &amp; Amortisation</t>
        </is>
      </c>
      <c r="B22" s="18" t="n">
        <v>422394.87</v>
      </c>
      <c r="C22" s="18" t="n">
        <v>437254.27</v>
      </c>
      <c r="D22" s="18" t="n">
        <v>532190.92</v>
      </c>
      <c r="E22" s="18" t="n">
        <v>662796</v>
      </c>
      <c r="F22" s="18" t="n">
        <v>695223.8</v>
      </c>
    </row>
    <row r="23">
      <c r="A23" s="17" t="inlineStr">
        <is>
          <t>Deferred Income Tax</t>
        </is>
      </c>
      <c r="B23" s="18" t="n">
        <v>-105125.9</v>
      </c>
      <c r="C23" s="18" t="n">
        <v>0</v>
      </c>
      <c r="D23" s="18" t="n">
        <v>0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7.8</v>
      </c>
      <c r="C24" s="18" t="n">
        <v>302.4</v>
      </c>
      <c r="D24" s="18" t="n">
        <v>544.38</v>
      </c>
      <c r="E24" s="18" t="n">
        <v>1646.2</v>
      </c>
      <c r="F24" s="18" t="n">
        <v>0</v>
      </c>
    </row>
    <row r="25">
      <c r="A25" s="17" t="inlineStr">
        <is>
          <t>Change in Working Capital</t>
        </is>
      </c>
      <c r="B25" s="18" t="n">
        <v>132466.42</v>
      </c>
      <c r="C25" s="18" t="n">
        <v>122508.6</v>
      </c>
      <c r="D25" s="18" t="n">
        <v>-56852</v>
      </c>
      <c r="E25" s="18" t="n">
        <v>13350.9</v>
      </c>
      <c r="F25" s="18" t="n">
        <v>-183611.48</v>
      </c>
    </row>
    <row r="26">
      <c r="A26" s="21" t="inlineStr">
        <is>
          <t xml:space="preserve">  — Accounts Receivable</t>
        </is>
      </c>
      <c r="B26" s="18" t="n">
        <v>177059.19</v>
      </c>
      <c r="C26" s="18" t="n">
        <v>-32169.9</v>
      </c>
      <c r="D26" s="18" t="n">
        <v>29398.6</v>
      </c>
      <c r="E26" s="18" t="n">
        <v>-70077.8</v>
      </c>
      <c r="F26" s="18" t="n">
        <v>0</v>
      </c>
    </row>
    <row r="27">
      <c r="A27" s="21" t="inlineStr">
        <is>
          <t xml:space="preserve">  — Inventory</t>
        </is>
      </c>
      <c r="B27" s="18" t="n">
        <v>-55748.91</v>
      </c>
      <c r="C27" s="18" t="n">
        <v>-28046.83</v>
      </c>
      <c r="D27" s="18" t="n">
        <v>-29847.94</v>
      </c>
      <c r="E27" s="18" t="n">
        <v>-36871.7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8298.32</v>
      </c>
      <c r="C28" s="18" t="n">
        <v>7594.1</v>
      </c>
      <c r="D28" s="18" t="n">
        <v>770.71</v>
      </c>
      <c r="E28" s="18" t="n">
        <v>17073.8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2857.82</v>
      </c>
      <c r="C29" s="18" t="n">
        <v>175131.22</v>
      </c>
      <c r="D29" s="18" t="n">
        <v>-57173.37</v>
      </c>
      <c r="E29" s="18" t="n">
        <v>103226.6</v>
      </c>
      <c r="F29" s="18" t="n">
        <v>-183611.48</v>
      </c>
    </row>
    <row r="30">
      <c r="A30" s="17" t="inlineStr">
        <is>
          <t>Other Non-Cash Items</t>
        </is>
      </c>
      <c r="B30" s="18" t="n">
        <v>-708.78</v>
      </c>
      <c r="C30" s="18" t="n">
        <v>-93656.8</v>
      </c>
      <c r="D30" s="18" t="n">
        <v>-72413.66</v>
      </c>
      <c r="E30" s="18" t="n">
        <v>-24884.1</v>
      </c>
      <c r="F30" s="18" t="n">
        <v>135885.17</v>
      </c>
    </row>
    <row r="31">
      <c r="A31" s="26" t="inlineStr">
        <is>
          <t>Net Cash from Operations (CFO)</t>
        </is>
      </c>
      <c r="B31" s="27" t="n">
        <v>1112160.72</v>
      </c>
      <c r="C31" s="27" t="n">
        <v>1610599.19</v>
      </c>
      <c r="D31" s="27" t="n">
        <v>1241967.3</v>
      </c>
      <c r="E31" s="27" t="n">
        <v>1826177</v>
      </c>
      <c r="F31" s="27" t="n">
        <v>2383175.56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-849436.46</v>
      </c>
      <c r="C33" s="18" t="n">
        <v>-1089626.46</v>
      </c>
      <c r="D33" s="18" t="n">
        <v>-955398.4</v>
      </c>
      <c r="E33" s="18" t="n">
        <v>-956007</v>
      </c>
      <c r="F33" s="18" t="n">
        <v>-1285591.56</v>
      </c>
    </row>
    <row r="34">
      <c r="A34" s="21" t="inlineStr">
        <is>
          <t xml:space="preserve">  (Alt: Invest. in PP&amp;E)</t>
        </is>
      </c>
      <c r="B34" s="18" t="n">
        <v>-849436.46</v>
      </c>
      <c r="C34" s="18" t="n">
        <v>-1089626.46</v>
      </c>
      <c r="D34" s="18" t="n">
        <v>-949816.8199999999</v>
      </c>
      <c r="E34" s="18" t="n">
        <v>-956006.54</v>
      </c>
      <c r="F34" s="18" t="n">
        <v>-1285591.56</v>
      </c>
    </row>
    <row r="35">
      <c r="A35" s="17" t="inlineStr">
        <is>
          <t>Acquisitions (Net)</t>
        </is>
      </c>
      <c r="B35" s="18" t="n">
        <v>-160.7</v>
      </c>
      <c r="C35" s="18" t="n">
        <v>17246.91</v>
      </c>
      <c r="D35" s="18" t="n">
        <v>11752.68</v>
      </c>
      <c r="E35" s="18" t="n">
        <v>-3738.8</v>
      </c>
      <c r="F35" s="18" t="n">
        <v>805.26</v>
      </c>
    </row>
    <row r="36">
      <c r="A36" s="17" t="inlineStr">
        <is>
          <t>Purchases of Investments</t>
        </is>
      </c>
      <c r="B36" s="18" t="n">
        <v>-259688.42</v>
      </c>
      <c r="C36" s="18" t="n">
        <v>-237818.18</v>
      </c>
      <c r="D36" s="18" t="n">
        <v>-226281.97</v>
      </c>
      <c r="E36" s="18" t="n">
        <v>-240622.7</v>
      </c>
      <c r="F36" s="18" t="n">
        <v>-258017.33</v>
      </c>
    </row>
    <row r="37">
      <c r="A37" s="17" t="inlineStr">
        <is>
          <t>Sales / Maturities of Investments</t>
        </is>
      </c>
      <c r="B37" s="18" t="n">
        <v>264364.7</v>
      </c>
      <c r="C37" s="18" t="n">
        <v>108980.41</v>
      </c>
      <c r="D37" s="18" t="n">
        <v>170500.6</v>
      </c>
      <c r="E37" s="18" t="n">
        <v>186479.6</v>
      </c>
      <c r="F37" s="18" t="n">
        <v>220516.85</v>
      </c>
    </row>
    <row r="38">
      <c r="A38" s="17" t="inlineStr">
        <is>
          <t>Other Investing Activities</t>
        </is>
      </c>
      <c r="B38" s="18" t="n">
        <v>8555.01</v>
      </c>
      <c r="C38" s="18" t="n">
        <v>10289.09</v>
      </c>
      <c r="D38" s="18" t="n">
        <v>87724.91</v>
      </c>
      <c r="E38" s="18" t="n">
        <v>149045.64</v>
      </c>
      <c r="F38" s="18" t="n">
        <v>62077.45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397185.9</v>
      </c>
      <c r="C41" s="18" t="n">
        <v>82008.60000000001</v>
      </c>
      <c r="D41" s="18" t="n">
        <v>93347.39999999999</v>
      </c>
      <c r="E41" s="18" t="n">
        <v>29405</v>
      </c>
      <c r="F41" s="18" t="n">
        <v>41296.39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0</v>
      </c>
      <c r="C44" s="18" t="n">
        <v>-871.5700000000001</v>
      </c>
      <c r="D44" s="18" t="n">
        <v>0</v>
      </c>
      <c r="E44" s="18" t="n">
        <v>-3089.18</v>
      </c>
      <c r="F44" s="18" t="n">
        <v>0</v>
      </c>
    </row>
    <row r="45">
      <c r="A45" s="17" t="inlineStr">
        <is>
          <t>Dividends Paid</t>
        </is>
      </c>
      <c r="B45" s="18" t="n">
        <v>-265786.4</v>
      </c>
      <c r="C45" s="18" t="n">
        <v>-285234.18</v>
      </c>
      <c r="D45" s="18" t="n">
        <v>-291721.85</v>
      </c>
      <c r="E45" s="18" t="n">
        <v>-363055</v>
      </c>
      <c r="F45" s="18" t="n">
        <v>-471614.24</v>
      </c>
    </row>
    <row r="46">
      <c r="A46" s="17" t="inlineStr">
        <is>
          <t>Other Financing Activities</t>
        </is>
      </c>
      <c r="B46" s="18" t="n">
        <v>5208.94</v>
      </c>
      <c r="C46" s="18" t="n">
        <v>3853.15</v>
      </c>
      <c r="D46" s="18" t="n">
        <v>-6519.75</v>
      </c>
      <c r="E46" s="18" t="n">
        <v>-9561.799999999999</v>
      </c>
      <c r="F46" s="18" t="n">
        <v>4738.58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-7583.75</v>
      </c>
      <c r="C49" s="18" t="n">
        <v>58396.97</v>
      </c>
      <c r="D49" s="18" t="n">
        <v>-8338.799999999999</v>
      </c>
      <c r="E49" s="18" t="n">
        <v>47165.9</v>
      </c>
      <c r="F49" s="18" t="n">
        <v>29309.34</v>
      </c>
    </row>
    <row r="50">
      <c r="A50" s="15" t="inlineStr">
        <is>
          <t>Net Change in Cash</t>
        </is>
      </c>
      <c r="B50" s="16" t="n">
        <v>404819.55</v>
      </c>
      <c r="C50" s="16" t="n">
        <v>277823.89</v>
      </c>
      <c r="D50" s="16" t="n">
        <v>122613.67</v>
      </c>
      <c r="E50" s="16" t="n">
        <v>662199.25</v>
      </c>
      <c r="F50" s="16" t="n">
        <v>726696.3199999999</v>
      </c>
    </row>
    <row r="51">
      <c r="A51" s="17" t="inlineStr">
        <is>
          <t>Cash at Beginning of Period</t>
        </is>
      </c>
      <c r="B51" s="18" t="n">
        <v>660170.65</v>
      </c>
      <c r="C51" s="18" t="n">
        <v>1064990.19</v>
      </c>
      <c r="D51" s="18" t="n">
        <v>1342814.08</v>
      </c>
      <c r="E51" s="18" t="n">
        <v>1465428</v>
      </c>
      <c r="F51" s="18" t="n">
        <v>2033363.65</v>
      </c>
    </row>
    <row r="52">
      <c r="A52" s="26" t="inlineStr">
        <is>
          <t>Cash at End of Period</t>
        </is>
      </c>
      <c r="B52" s="27" t="n">
        <v>1064990.2</v>
      </c>
      <c r="C52" s="27" t="n">
        <v>1342814.08</v>
      </c>
      <c r="D52" s="27" t="n">
        <v>1465427.75</v>
      </c>
      <c r="E52" s="27" t="n">
        <v>2127627</v>
      </c>
      <c r="F52" s="27" t="n">
        <v>2760059.97</v>
      </c>
    </row>
    <row r="53">
      <c r="A53" s="26" t="inlineStr">
        <is>
          <t>Free Cash Flow</t>
        </is>
      </c>
      <c r="B53" s="27" t="n">
        <v>262724.26</v>
      </c>
      <c r="C53" s="27" t="n">
        <v>520972.73</v>
      </c>
      <c r="D53" s="27" t="n">
        <v>286568.9</v>
      </c>
      <c r="E53" s="27" t="n">
        <v>870170</v>
      </c>
      <c r="F53" s="27" t="n">
        <v>1097584.01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5186.08</v>
      </c>
      <c r="C61" s="18" t="n">
        <v>5185.88</v>
      </c>
      <c r="D61" s="18" t="n">
        <v>5185.85</v>
      </c>
      <c r="E61" s="18" t="n">
        <v>5185.51</v>
      </c>
      <c r="F61" s="18" t="n">
        <v>5186.2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536500.8</v>
      </c>
      <c r="C5" s="18" t="n">
        <v>379846.4</v>
      </c>
      <c r="D5" s="18" t="n">
        <v>279217.7</v>
      </c>
      <c r="E5" s="18" t="n">
        <v>272035.4</v>
      </c>
      <c r="F5" s="18" t="n">
        <v>182114.7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TSM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2098042.98</v>
      </c>
      <c r="C5" s="44" t="inlineStr">
        <is>
          <t>FMP marketCap  |  price $404.52</t>
        </is>
      </c>
    </row>
    <row r="6">
      <c r="A6" s="17" t="inlineStr">
        <is>
          <t>Debt  (gross book value, $mm)</t>
        </is>
      </c>
      <c r="B6" s="43" t="n">
        <v>1032987.7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1.264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1.177</v>
      </c>
      <c r="C17" s="44" t="inlineStr">
        <is>
          <t>Mean-reversion toward market beta of 1.0</t>
        </is>
      </c>
    </row>
    <row r="18">
      <c r="A18" s="17" t="inlineStr">
        <is>
          <t>Damodaran industry unlevered  (Semiconductors)</t>
        </is>
      </c>
      <c r="B18" s="50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0.49x,  t = 16.0%)</t>
        </is>
      </c>
      <c r="B19" s="50" t="n">
        <v>1.626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2.19</v>
      </c>
      <c r="C20" s="44" t="inlineStr">
        <is>
          <t xml:space="preserve">AMD: 2.399  |  INTC: 2.19  |  QCOM: 1.493  |  AVGO: </t>
        </is>
      </c>
    </row>
    <row r="21">
      <c r="A21" s="47" t="inlineStr">
        <is>
          <t>► Selected beta  (user override)</t>
        </is>
      </c>
      <c r="B21" s="51" t="n">
        <v>1.564</v>
      </c>
      <c r="C21" s="49" t="inlineStr">
        <is>
          <t>Default = average of 4 source(s) above — override freely</t>
        </is>
      </c>
    </row>
    <row r="22">
      <c r="A22" s="42" t="n"/>
      <c r="B22" s="42" t="n"/>
      <c r="C22" s="42" t="n"/>
    </row>
    <row r="23" ht="18" customHeight="1">
      <c r="A23" s="25" t="inlineStr">
        <is>
          <t>STEP 3 — EQUITY RISK PREMIUM  (ERP)</t>
        </is>
      </c>
    </row>
    <row r="24">
      <c r="A24" s="17" t="inlineStr">
        <is>
          <t>Damodaran implied ERP — US market (current)</t>
        </is>
      </c>
      <c r="B24" s="46" t="n">
        <v>0.0472</v>
      </c>
      <c r="C24" s="44" t="inlineStr">
        <is>
          <t>Damodaran.com implied ERP — Jan 2026</t>
        </is>
      </c>
    </row>
    <row r="25">
      <c r="A25" s="17" t="inlineStr">
        <is>
          <t>Damodaran historical avg — US 1928–2025</t>
        </is>
      </c>
      <c r="B25" s="46" t="n">
        <v>0.042</v>
      </c>
      <c r="C25" s="44" t="inlineStr">
        <is>
          <t>Arithmetic average excess return over T-bill</t>
        </is>
      </c>
    </row>
    <row r="26">
      <c r="A26" s="47" t="inlineStr">
        <is>
          <t>► Selected ERP  (user override)</t>
        </is>
      </c>
      <c r="B26" s="48" t="n">
        <v>0.0446</v>
      </c>
      <c r="C26" s="49" t="inlineStr">
        <is>
          <t>Default = average of Damodaran implied &amp; historical avg — override freely</t>
        </is>
      </c>
    </row>
    <row r="27">
      <c r="A27" s="42" t="n"/>
      <c r="B27" s="42" t="n"/>
      <c r="C27" s="42" t="n"/>
    </row>
    <row r="28" ht="18" customHeight="1">
      <c r="A28" s="25" t="inlineStr">
        <is>
          <t>STEP 4 — COST OF EQUITY  (CAPM:  Re = Rf + β × ERP)</t>
        </is>
      </c>
    </row>
    <row r="29">
      <c r="A29" s="19" t="inlineStr">
        <is>
          <t>Cost of equity  (Re)</t>
        </is>
      </c>
      <c r="B29" s="52">
        <f>B13+B21*B26</f>
        <v/>
      </c>
      <c r="C29" s="45" t="inlineStr">
        <is>
          <t>CAPM formula — references selected inputs above</t>
        </is>
      </c>
    </row>
    <row r="30">
      <c r="A30" s="42" t="n"/>
      <c r="B30" s="42" t="n"/>
      <c r="C30" s="42" t="n"/>
    </row>
    <row r="31" ht="18" customHeight="1">
      <c r="A31" s="25" t="inlineStr">
        <is>
          <t>STEP 5 — COST OF DEBT  (Pre-tax Rd)</t>
        </is>
      </c>
    </row>
    <row r="32">
      <c r="A32" s="17" t="inlineStr">
        <is>
          <t>Credit rating  (S&amp;P / Moody's)</t>
        </is>
      </c>
      <c r="B32" s="53" t="inlineStr">
        <is>
          <t>Not available</t>
        </is>
      </c>
      <c r="C32" s="44" t="inlineStr">
        <is>
          <t>FMP /ratings endpoint</t>
        </is>
      </c>
    </row>
    <row r="33">
      <c r="A33" s="17" t="inlineStr">
        <is>
          <t>FRED matched yield</t>
        </is>
      </c>
      <c r="B33" s="53" t="n"/>
      <c r="C33" s="44" t="inlineStr">
        <is>
          <t>No rating returned — FRED method not applicable</t>
        </is>
      </c>
    </row>
    <row r="34">
      <c r="A34" s="17" t="inlineStr">
        <is>
          <t>Interest Coverage Ratio  (EBIT / Gross Int Exp)</t>
        </is>
      </c>
      <c r="B34" s="53" t="n"/>
      <c r="C34" s="44" t="inlineStr">
        <is>
          <t>EBIT $1955696mm  /  Int Exp $0mm</t>
        </is>
      </c>
    </row>
    <row r="35">
      <c r="A35" s="17" t="inlineStr">
        <is>
          <t>Synthetic rating  (Damodaran ICR table)</t>
        </is>
      </c>
      <c r="B35" s="53" t="inlineStr">
        <is>
          <t>AAA</t>
        </is>
      </c>
      <c r="C35" s="44" t="inlineStr">
        <is>
          <t>ICR 999.0x  →  AAA</t>
        </is>
      </c>
    </row>
    <row r="36">
      <c r="A36" s="17" t="inlineStr">
        <is>
          <t>Synthetic Rd  (Rf + Damodaran default spread)</t>
        </is>
      </c>
      <c r="B36" s="46" t="n">
        <v>0.05110000000000001</v>
      </c>
      <c r="C36" s="44" t="inlineStr">
        <is>
          <t>Rf 4.57% + spread 0.54%</t>
        </is>
      </c>
    </row>
    <row r="37">
      <c r="A37" s="17" t="inlineStr">
        <is>
          <t>Accounting Rd  (Gross int exp / Avg gross debt)</t>
        </is>
      </c>
      <c r="B37" s="46" t="n">
        <v>0</v>
      </c>
      <c r="C37" s="44" t="inlineStr">
        <is>
          <t>Cross-check only — backward-looking</t>
        </is>
      </c>
    </row>
    <row r="38">
      <c r="A38" s="17" t="inlineStr">
        <is>
          <t xml:space="preserve">  Note: net interest INCOME of $94335mm  (int inc $94335mm &gt; int exp $0mm)</t>
        </is>
      </c>
      <c r="B38" s="53" t="n"/>
      <c r="C38" s="44" t="inlineStr">
        <is>
          <t>Gross Rd is the correct basis here — net figure is distorted</t>
        </is>
      </c>
    </row>
    <row r="39">
      <c r="A39" s="47" t="inlineStr">
        <is>
          <t>► Selected pre-tax Rd  (user override)</t>
        </is>
      </c>
      <c r="B39" s="48" t="n">
        <v>0.0256</v>
      </c>
      <c r="C39" s="49" t="inlineStr">
        <is>
          <t>Default = average of 2 source(s) above — override freely</t>
        </is>
      </c>
    </row>
    <row r="40">
      <c r="A40" s="42" t="n"/>
      <c r="B40" s="42" t="n"/>
      <c r="C40" s="42" t="n"/>
    </row>
    <row r="41" ht="18" customHeight="1">
      <c r="A41" s="25" t="inlineStr">
        <is>
          <t>STEP 6 — TAX RATE</t>
        </is>
      </c>
    </row>
    <row r="42">
      <c r="A42" s="17" t="inlineStr">
        <is>
          <t>Effective tax rate  (tax expense / pre-tax income)</t>
        </is>
      </c>
      <c r="B42" s="46" t="n">
        <v>0.1598</v>
      </c>
      <c r="C42" s="44" t="inlineStr">
        <is>
          <t>FMP: $329646mm  /  $2062812mm</t>
        </is>
      </c>
    </row>
    <row r="43">
      <c r="A43" s="47" t="inlineStr">
        <is>
          <t>► Selected tax rate  (user override)</t>
        </is>
      </c>
      <c r="B43" s="48" t="n">
        <v>0.1598</v>
      </c>
      <c r="C43" s="49" t="inlineStr">
        <is>
          <t>Adjust to normalised / marginal rate if preferred</t>
        </is>
      </c>
    </row>
    <row r="44">
      <c r="A44" s="42" t="n"/>
      <c r="B44" s="42" t="n"/>
      <c r="C44" s="42" t="n"/>
    </row>
    <row r="45" ht="18" customHeight="1">
      <c r="A45" s="5" t="inlineStr">
        <is>
          <t>WACC OUTPUT</t>
        </is>
      </c>
    </row>
    <row r="46" ht="22" customHeight="1">
      <c r="A46" s="54" t="inlineStr">
        <is>
          <t>WACC  =  (E/V × Re)  +  (D/V × Rd × (1 − t))</t>
        </is>
      </c>
      <c r="B46" s="55">
        <f>B8*B29+B9*B39*(1-B43)</f>
        <v/>
      </c>
      <c r="C46" s="56" t="inlineStr">
        <is>
          <t>Used as discount rate in DCF tab</t>
        </is>
      </c>
    </row>
    <row r="47">
      <c r="A47" s="42" t="n"/>
      <c r="B47" s="42" t="n"/>
      <c r="C47" s="42" t="n"/>
    </row>
    <row r="48" ht="18" customHeight="1">
      <c r="A48" s="10" t="inlineStr">
        <is>
          <t>SENSITIVITY — WACC (%)  by Beta offset × ERP offset</t>
        </is>
      </c>
    </row>
    <row r="49">
      <c r="A49" s="57" t="inlineStr">
        <is>
          <t>Beta offset  \  ERP offset →</t>
        </is>
      </c>
      <c r="B49" s="57" t="inlineStr">
        <is>
          <t>-1.0%</t>
        </is>
      </c>
      <c r="C49" s="57" t="inlineStr">
        <is>
          <t>-0.5%</t>
        </is>
      </c>
      <c r="D49" s="57" t="inlineStr">
        <is>
          <t>Base ERP</t>
        </is>
      </c>
      <c r="E49" s="57" t="inlineStr">
        <is>
          <t>+0.5%</t>
        </is>
      </c>
      <c r="F49" s="57" t="inlineStr">
        <is>
          <t>+1.0%</t>
        </is>
      </c>
    </row>
    <row r="50">
      <c r="A50" s="58" t="inlineStr">
        <is>
          <t>-1.0</t>
        </is>
      </c>
      <c r="B50" s="59">
        <f>B8*(B13+(B21+(-1.0))*(B26+(-0.01)))+B9*B39*(1-B43)</f>
        <v/>
      </c>
      <c r="C50" s="59">
        <f>B8*(B13+(B21+(-1.0))*(B26+(-0.005)))+B9*B39*(1-B43)</f>
        <v/>
      </c>
      <c r="D50" s="59">
        <f>B8*(B13+(B21+(-1.0))*(B26+(0.0)))+B9*B39*(1-B43)</f>
        <v/>
      </c>
      <c r="E50" s="59">
        <f>B8*(B13+(B21+(-1.0))*(B26+(0.005)))+B9*B39*(1-B43)</f>
        <v/>
      </c>
      <c r="F50" s="59">
        <f>B8*(B13+(B21+(-1.0))*(B26+(0.01)))+B9*B39*(1-B43)</f>
        <v/>
      </c>
    </row>
    <row r="51">
      <c r="A51" s="58" t="inlineStr">
        <is>
          <t>-0.5</t>
        </is>
      </c>
      <c r="B51" s="59">
        <f>B8*(B13+(B21+(-0.5))*(B26+(-0.01)))+B9*B39*(1-B43)</f>
        <v/>
      </c>
      <c r="C51" s="59">
        <f>B8*(B13+(B21+(-0.5))*(B26+(-0.005)))+B9*B39*(1-B43)</f>
        <v/>
      </c>
      <c r="D51" s="59">
        <f>B8*(B13+(B21+(-0.5))*(B26+(0.0)))+B9*B39*(1-B43)</f>
        <v/>
      </c>
      <c r="E51" s="59">
        <f>B8*(B13+(B21+(-0.5))*(B26+(0.005)))+B9*B39*(1-B43)</f>
        <v/>
      </c>
      <c r="F51" s="59">
        <f>B8*(B13+(B21+(-0.5))*(B26+(0.01)))+B9*B39*(1-B43)</f>
        <v/>
      </c>
    </row>
    <row r="52">
      <c r="A52" s="60" t="inlineStr">
        <is>
          <t>Base β</t>
        </is>
      </c>
      <c r="B52" s="61">
        <f>B8*(B13+(B21+(0.0))*(B26+(-0.01)))+B9*B39*(1-B43)</f>
        <v/>
      </c>
      <c r="C52" s="61">
        <f>B8*(B13+(B21+(0.0))*(B26+(-0.005)))+B9*B39*(1-B43)</f>
        <v/>
      </c>
      <c r="D52" s="62">
        <f>B8*(B13+(B21+(0.0))*(B26+(0.0)))+B9*B39*(1-B43)</f>
        <v/>
      </c>
      <c r="E52" s="61">
        <f>B8*(B13+(B21+(0.0))*(B26+(0.005)))+B9*B39*(1-B43)</f>
        <v/>
      </c>
      <c r="F52" s="61">
        <f>B8*(B13+(B21+(0.0))*(B26+(0.01)))+B9*B39*(1-B43)</f>
        <v/>
      </c>
    </row>
    <row r="53">
      <c r="A53" s="58" t="inlineStr">
        <is>
          <t>+0.5</t>
        </is>
      </c>
      <c r="B53" s="59">
        <f>B8*(B13+(B21+(0.5))*(B26+(-0.01)))+B9*B39*(1-B43)</f>
        <v/>
      </c>
      <c r="C53" s="59">
        <f>B8*(B13+(B21+(0.5))*(B26+(-0.005)))+B9*B39*(1-B43)</f>
        <v/>
      </c>
      <c r="D53" s="59">
        <f>B8*(B13+(B21+(0.5))*(B26+(0.0)))+B9*B39*(1-B43)</f>
        <v/>
      </c>
      <c r="E53" s="59">
        <f>B8*(B13+(B21+(0.5))*(B26+(0.005)))+B9*B39*(1-B43)</f>
        <v/>
      </c>
      <c r="F53" s="59">
        <f>B8*(B13+(B21+(0.5))*(B26+(0.01)))+B9*B39*(1-B43)</f>
        <v/>
      </c>
    </row>
    <row r="54">
      <c r="A54" s="58" t="inlineStr">
        <is>
          <t>+1.0</t>
        </is>
      </c>
      <c r="B54" s="59">
        <f>B8*(B13+(B21+(1.0))*(B26+(-0.01)))+B9*B39*(1-B43)</f>
        <v/>
      </c>
      <c r="C54" s="59">
        <f>B8*(B13+(B21+(1.0))*(B26+(-0.005)))+B9*B39*(1-B43)</f>
        <v/>
      </c>
      <c r="D54" s="59">
        <f>B8*(B13+(B21+(1.0))*(B26+(0.0)))+B9*B39*(1-B43)</f>
        <v/>
      </c>
      <c r="E54" s="59">
        <f>B8*(B13+(B21+(1.0))*(B26+(0.005)))+B9*B39*(1-B43)</f>
        <v/>
      </c>
      <c r="F54" s="59">
        <f>B8*(B13+(B21+(1.0))*(B26+(0.01)))+B9*B39*(1-B43)</f>
        <v/>
      </c>
    </row>
  </sheetData>
  <mergeCells count="11">
    <mergeCell ref="A28:C28"/>
    <mergeCell ref="A41:C41"/>
    <mergeCell ref="A11:C11"/>
    <mergeCell ref="A1:C1"/>
    <mergeCell ref="A23:C23"/>
    <mergeCell ref="A45:C45"/>
    <mergeCell ref="A31:C31"/>
    <mergeCell ref="A15:C15"/>
    <mergeCell ref="A4:C4"/>
    <mergeCell ref="A48:C48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TSM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3" t="inlineStr">
        <is>
          <t>Source / Notes</t>
        </is>
      </c>
    </row>
    <row r="4" ht="16" customHeight="1">
      <c r="A4" s="68" t="inlineStr">
        <is>
          <t>FMP analyst consensus: 2026E – 2029E  (4 years)   |   User estimates required from: 2030E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0.3665</v>
      </c>
      <c r="H7" s="72" t="n">
        <v>0.2704</v>
      </c>
      <c r="I7" s="72" t="n">
        <v>0.2292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0.6993</v>
      </c>
      <c r="H8" s="72" t="n">
        <v>0.6993</v>
      </c>
      <c r="I8" s="72" t="n">
        <v>0.6993</v>
      </c>
      <c r="J8" s="73">
        <f>I8</f>
        <v/>
      </c>
      <c r="K8" s="73">
        <f>I8</f>
        <v/>
      </c>
      <c r="L8" s="74" t="n">
        <v>0.7151999999999999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5258970.2</v>
      </c>
      <c r="H15" s="78" t="n">
        <v>6680999</v>
      </c>
      <c r="I15" s="78" t="n">
        <v>8212028.2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5,036,380 — 5,457,839</t>
        </is>
      </c>
      <c r="H16" s="83" t="inlineStr">
        <is>
          <t>6,384,609 — 7,223,891</t>
        </is>
      </c>
      <c r="I16" s="83" t="inlineStr">
        <is>
          <t>7,128,985 — 8,717,567</t>
        </is>
      </c>
      <c r="J16" s="83" t="inlineStr">
        <is>
          <t>6,877,149 — 8,409,614</t>
        </is>
      </c>
      <c r="K16" s="84" t="inlineStr">
        <is>
          <t>—</t>
        </is>
      </c>
      <c r="L16" s="85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6" t="n">
        <v>21</v>
      </c>
      <c r="H17" s="86" t="n">
        <v>21</v>
      </c>
      <c r="I17" s="86" t="n">
        <v>18</v>
      </c>
      <c r="J17" s="86" t="n">
        <v>10</v>
      </c>
      <c r="K17" s="84" t="inlineStr">
        <is>
          <t>—</t>
        </is>
      </c>
      <c r="L17" s="85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7" t="inlineStr">
        <is>
          <t>—</t>
        </is>
      </c>
      <c r="C18" s="88">
        <f>IFERROR(C15/B15-1,"")</f>
        <v/>
      </c>
      <c r="D18" s="88">
        <f>IFERROR(D15/C15-1,"")</f>
        <v/>
      </c>
      <c r="E18" s="88">
        <f>IFERROR(E15/D15-1,"")</f>
        <v/>
      </c>
      <c r="F18" s="88">
        <f>IFERROR(F15/E15-1,"")</f>
        <v/>
      </c>
      <c r="G18" s="89">
        <f>IFERROR(G15/F15-1,"")</f>
        <v/>
      </c>
      <c r="H18" s="89">
        <f>IFERROR(H15/G15-1,"")</f>
        <v/>
      </c>
      <c r="I18" s="89">
        <f>IFERROR(I15/H15-1,"")</f>
        <v/>
      </c>
      <c r="J18" s="89">
        <f>IFERROR(J15/I15-1,"")</f>
        <v/>
      </c>
      <c r="K18" s="90">
        <f>IFERROR(K15/J15-1,"")</f>
        <v/>
      </c>
      <c r="L18" s="91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3677721.2</v>
      </c>
      <c r="H20" s="78" t="n">
        <v>4672179.3</v>
      </c>
      <c r="I20" s="78" t="n">
        <v>5742864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3,522,059 — 3,816,795</t>
        </is>
      </c>
      <c r="H21" s="83" t="inlineStr">
        <is>
          <t>4,464,907 — 5,051,837</t>
        </is>
      </c>
      <c r="I21" s="83" t="inlineStr">
        <is>
          <t>4,985,466 — 6,096,399</t>
        </is>
      </c>
      <c r="J21" s="83" t="inlineStr">
        <is>
          <t>4,809,352 — 5,881,040</t>
        </is>
      </c>
      <c r="K21" s="84" t="inlineStr">
        <is>
          <t>—</t>
        </is>
      </c>
      <c r="L21" s="85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8">
        <f>IFERROR(B20/B15,"")</f>
        <v/>
      </c>
      <c r="C22" s="88">
        <f>IFERROR(C20/C15,"")</f>
        <v/>
      </c>
      <c r="D22" s="88">
        <f>IFERROR(D20/D15,"")</f>
        <v/>
      </c>
      <c r="E22" s="88">
        <f>IFERROR(E20/E15,"")</f>
        <v/>
      </c>
      <c r="F22" s="88">
        <f>IFERROR(F20/F15,"")</f>
        <v/>
      </c>
      <c r="G22" s="89">
        <f>IFERROR(G20/G15,"")</f>
        <v/>
      </c>
      <c r="H22" s="89">
        <f>IFERROR(H20/H15,"")</f>
        <v/>
      </c>
      <c r="I22" s="89">
        <f>IFERROR(I20/I15,"")</f>
        <v/>
      </c>
      <c r="J22" s="89">
        <f>IFERROR(J20/J15,"")</f>
        <v/>
      </c>
      <c r="K22" s="90">
        <f>IFERROR(K20/K15,"")</f>
        <v/>
      </c>
      <c r="L22" s="91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2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3">
        <f>-G15*G9</f>
        <v/>
      </c>
      <c r="H25" s="93">
        <f>-H15*H9</f>
        <v/>
      </c>
      <c r="I25" s="93">
        <f>-I15*I9</f>
        <v/>
      </c>
      <c r="J25" s="93">
        <f>-J15*J9</f>
        <v/>
      </c>
      <c r="K25" s="79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4">
        <f>B20+B25</f>
        <v/>
      </c>
      <c r="C26" s="94">
        <f>C20+C25</f>
        <v/>
      </c>
      <c r="D26" s="94">
        <f>D20+D25</f>
        <v/>
      </c>
      <c r="E26" s="94">
        <f>E20+E25</f>
        <v/>
      </c>
      <c r="F26" s="94">
        <f>F20+F25</f>
        <v/>
      </c>
      <c r="G26" s="95">
        <f>G20+G25</f>
        <v/>
      </c>
      <c r="H26" s="95">
        <f>H20+H25</f>
        <v/>
      </c>
      <c r="I26" s="95">
        <f>I20+I25</f>
        <v/>
      </c>
      <c r="J26" s="95">
        <f>J20+J25</f>
        <v/>
      </c>
      <c r="K26" s="95">
        <f>K20+K25</f>
        <v/>
      </c>
      <c r="L26" s="95">
        <f>L20+L25</f>
        <v/>
      </c>
      <c r="M26" s="81">
        <f> EBITDA + D&amp;A  (GAAP operating income, EBIT)</f>
        <v/>
      </c>
    </row>
    <row r="27" ht="20" customHeight="1">
      <c r="A27" s="92" t="inlineStr">
        <is>
          <t xml:space="preserve">  Less: Tax on EBIT  (unlevered)</t>
        </is>
      </c>
      <c r="B27" s="96">
        <f>-B26*B12</f>
        <v/>
      </c>
      <c r="C27" s="96">
        <f>-C26*C12</f>
        <v/>
      </c>
      <c r="D27" s="96">
        <f>-D26*D12</f>
        <v/>
      </c>
      <c r="E27" s="96">
        <f>-E26*E12</f>
        <v/>
      </c>
      <c r="F27" s="96">
        <f>-F26*F12</f>
        <v/>
      </c>
      <c r="G27" s="97">
        <f>-G26*G12</f>
        <v/>
      </c>
      <c r="H27" s="97">
        <f>-H26*H12</f>
        <v/>
      </c>
      <c r="I27" s="97">
        <f>-I26*I12</f>
        <v/>
      </c>
      <c r="J27" s="97">
        <f>-J26*J12</f>
        <v/>
      </c>
      <c r="K27" s="97">
        <f>-K26*K12</f>
        <v/>
      </c>
      <c r="L27" s="97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4">
        <f>B26+B27</f>
        <v/>
      </c>
      <c r="C28" s="94">
        <f>C26+C27</f>
        <v/>
      </c>
      <c r="D28" s="94">
        <f>D26+D27</f>
        <v/>
      </c>
      <c r="E28" s="94">
        <f>E26+E27</f>
        <v/>
      </c>
      <c r="F28" s="94">
        <f>F26+F27</f>
        <v/>
      </c>
      <c r="G28" s="98">
        <f>G26+G27</f>
        <v/>
      </c>
      <c r="H28" s="98">
        <f>H26+H27</f>
        <v/>
      </c>
      <c r="I28" s="98">
        <f>I26+I27</f>
        <v/>
      </c>
      <c r="J28" s="98">
        <f>J26+J27</f>
        <v/>
      </c>
      <c r="K28" s="98">
        <f>K26+K27</f>
        <v/>
      </c>
      <c r="L28" s="98">
        <f>L26+L27</f>
        <v/>
      </c>
      <c r="M28" s="81">
        <f> EBIT × (1 − tax rate)</f>
        <v/>
      </c>
    </row>
    <row r="29" ht="20" customHeight="1">
      <c r="A29" s="92" t="inlineStr">
        <is>
          <t xml:space="preserve">  (+) D&amp;A add-back  (non-cash)</t>
        </is>
      </c>
      <c r="B29" s="96">
        <f>-B25</f>
        <v/>
      </c>
      <c r="C29" s="96">
        <f>-C25</f>
        <v/>
      </c>
      <c r="D29" s="96">
        <f>-D25</f>
        <v/>
      </c>
      <c r="E29" s="96">
        <f>-E25</f>
        <v/>
      </c>
      <c r="F29" s="96">
        <f>-F25</f>
        <v/>
      </c>
      <c r="G29" s="97">
        <f>-G25</f>
        <v/>
      </c>
      <c r="H29" s="97">
        <f>-H25</f>
        <v/>
      </c>
      <c r="I29" s="97">
        <f>-I25</f>
        <v/>
      </c>
      <c r="J29" s="97">
        <f>-J25</f>
        <v/>
      </c>
      <c r="K29" s="97">
        <f>-K25</f>
        <v/>
      </c>
      <c r="L29" s="97">
        <f>-L25</f>
        <v/>
      </c>
      <c r="M29" s="81">
        <f> D&amp;A added back (non-cash charge — converts NOPAT to cash basis)</f>
        <v/>
      </c>
    </row>
    <row r="30" ht="20" customHeight="1">
      <c r="A30" s="92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7">
        <f>-G15*G10</f>
        <v/>
      </c>
      <c r="H30" s="97">
        <f>-H15*H10</f>
        <v/>
      </c>
      <c r="I30" s="97">
        <f>-I15*I10</f>
        <v/>
      </c>
      <c r="J30" s="97">
        <f>-J15*J10</f>
        <v/>
      </c>
      <c r="K30" s="97">
        <f>-K15*K10</f>
        <v/>
      </c>
      <c r="L30" s="97">
        <f>-L15*L10</f>
        <v/>
      </c>
      <c r="M30" s="81">
        <f> Revenue × CapEx % assumption  (negative = cash outflow)</f>
        <v/>
      </c>
    </row>
    <row r="31" ht="20" customHeight="1">
      <c r="A31" s="92" t="inlineStr">
        <is>
          <t xml:space="preserve">  (−) Increase in Net Working Capital</t>
        </is>
      </c>
      <c r="B31" s="96" t="n"/>
      <c r="C31" s="96">
        <f>-(('Balance Sheet'!C9-'Balance Sheet'!C21)-('Balance Sheet'!B9-'Balance Sheet'!B21))</f>
        <v/>
      </c>
      <c r="D31" s="96">
        <f>-(('Balance Sheet'!D9-'Balance Sheet'!D21)-('Balance Sheet'!C9-'Balance Sheet'!C21))</f>
        <v/>
      </c>
      <c r="E31" s="96">
        <f>-(('Balance Sheet'!E9-'Balance Sheet'!E21)-('Balance Sheet'!D9-'Balance Sheet'!D21))</f>
        <v/>
      </c>
      <c r="F31" s="96">
        <f>-(('Balance Sheet'!F9-'Balance Sheet'!F21)-('Balance Sheet'!E9-'Balance Sheet'!E21))</f>
        <v/>
      </c>
      <c r="G31" s="97">
        <f>-G15*G11</f>
        <v/>
      </c>
      <c r="H31" s="97">
        <f>-H15*H11</f>
        <v/>
      </c>
      <c r="I31" s="97">
        <f>-I15*I11</f>
        <v/>
      </c>
      <c r="J31" s="97">
        <f>-J15*J11</f>
        <v/>
      </c>
      <c r="K31" s="97">
        <f>-K15*K11</f>
        <v/>
      </c>
      <c r="L31" s="97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4">
        <f>B28+B29+B30+B31</f>
        <v/>
      </c>
      <c r="C32" s="94">
        <f>C28+C29+C30+C31</f>
        <v/>
      </c>
      <c r="D32" s="94">
        <f>D28+D29+D30+D31</f>
        <v/>
      </c>
      <c r="E32" s="94">
        <f>E28+E29+E30+E31</f>
        <v/>
      </c>
      <c r="F32" s="94">
        <f>F28+F29+F30+F31</f>
        <v/>
      </c>
      <c r="G32" s="98">
        <f>G28+G29+G30+G31</f>
        <v/>
      </c>
      <c r="H32" s="98">
        <f>H28+H29+H30+H31</f>
        <v/>
      </c>
      <c r="I32" s="98">
        <f>I28+I29+I30+I31</f>
        <v/>
      </c>
      <c r="J32" s="98">
        <f>J28+J29+J30+J31</f>
        <v/>
      </c>
      <c r="K32" s="98">
        <f>K28+K29+K30+K31</f>
        <v/>
      </c>
      <c r="L32" s="98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8">
        <f>B32/B15</f>
        <v/>
      </c>
      <c r="C33" s="88">
        <f>C32/C15</f>
        <v/>
      </c>
      <c r="D33" s="88">
        <f>D32/D15</f>
        <v/>
      </c>
      <c r="E33" s="88">
        <f>E32/E15</f>
        <v/>
      </c>
      <c r="F33" s="88">
        <f>F32/F15</f>
        <v/>
      </c>
      <c r="G33" s="99">
        <f>IFERROR(G32/G15,"")</f>
        <v/>
      </c>
      <c r="H33" s="99">
        <f>IFERROR(H32/H15,"")</f>
        <v/>
      </c>
      <c r="I33" s="99">
        <f>IFERROR(I32/I15,"")</f>
        <v/>
      </c>
      <c r="J33" s="99">
        <f>IFERROR(J32/J15,"")</f>
        <v/>
      </c>
      <c r="K33" s="99">
        <f>IFERROR(K32/K15,"")</f>
        <v/>
      </c>
      <c r="L33" s="99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100">
        <f>WACC!B46</f>
        <v/>
      </c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2" t="n">
        <v>0.04</v>
      </c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75" t="inlineStr">
        <is>
          <t>Growth tier: HIGH (20.8% 3yr avg rev growth).  Bear 3.00% / Base 4.0% / Bull 5.00%.  Keep below WACC.</t>
        </is>
      </c>
    </row>
    <row r="38" ht="20" customHeight="1">
      <c r="A38" s="69" t="inlineStr">
        <is>
          <t>Terminal EV/EBITDA Multiple  (exit multiple method)</t>
        </is>
      </c>
      <c r="B38" s="103" t="n">
        <v>18</v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75" t="inlineStr">
        <is>
          <t>Growth tier: HIGH (20.8%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4" t="inlineStr">
        <is>
          <t>Terminal Year UFCF  (grown by g)</t>
        </is>
      </c>
      <c r="B40" s="105">
        <f>L32</f>
        <v/>
      </c>
      <c r="C40" s="106" t="n"/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6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8">
        <f>B40/(B36-B37)</f>
        <v/>
      </c>
      <c r="C41" s="107" t="n"/>
      <c r="D41" s="107" t="n"/>
      <c r="E41" s="107" t="n"/>
      <c r="F41" s="107" t="n"/>
      <c r="G41" s="107" t="n"/>
      <c r="H41" s="107" t="n"/>
      <c r="I41" s="107" t="n"/>
      <c r="J41" s="107" t="n"/>
      <c r="K41" s="107" t="n"/>
      <c r="L41" s="107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8">
        <f>L20*B38</f>
        <v/>
      </c>
      <c r="C42" s="107" t="n"/>
      <c r="D42" s="107" t="n"/>
      <c r="E42" s="107" t="n"/>
      <c r="F42" s="107" t="n"/>
      <c r="G42" s="107" t="n"/>
      <c r="H42" s="107" t="n"/>
      <c r="I42" s="107" t="n"/>
      <c r="J42" s="107" t="n"/>
      <c r="K42" s="107" t="n"/>
      <c r="L42" s="107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4" t="inlineStr">
        <is>
          <t>Discount Period  (mid-year convention)</t>
        </is>
      </c>
      <c r="G45" s="108" t="n">
        <v>0.5</v>
      </c>
      <c r="H45" s="108" t="n">
        <v>1.5</v>
      </c>
      <c r="I45" s="108" t="n">
        <v>2.5</v>
      </c>
      <c r="J45" s="108" t="n">
        <v>3.5</v>
      </c>
      <c r="K45" s="108" t="n">
        <v>4.5</v>
      </c>
      <c r="L45" s="109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4" t="inlineStr">
        <is>
          <t>Discount Factor  =  1 / (1 + WACC) ^ period</t>
        </is>
      </c>
      <c r="G46" s="110">
        <f>1/(1+B36)^G45</f>
        <v/>
      </c>
      <c r="H46" s="110">
        <f>1/(1+B36)^H45</f>
        <v/>
      </c>
      <c r="I46" s="110">
        <f>1/(1+B36)^I45</f>
        <v/>
      </c>
      <c r="J46" s="110">
        <f>1/(1+B36)^J45</f>
        <v/>
      </c>
      <c r="K46" s="110">
        <f>1/(1+B36)^K45</f>
        <v/>
      </c>
      <c r="L46" s="111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8">
        <f>G32*G46</f>
        <v/>
      </c>
      <c r="H47" s="98">
        <f>H32*H46</f>
        <v/>
      </c>
      <c r="I47" s="98">
        <f>I32*I46</f>
        <v/>
      </c>
      <c r="J47" s="98">
        <f>J32*J46</f>
        <v/>
      </c>
      <c r="K47" s="98">
        <f>K32*K46</f>
        <v/>
      </c>
      <c r="L47" s="107" t="n"/>
      <c r="M47" s="81">
        <f> UFCF × discount factor</f>
        <v/>
      </c>
    </row>
    <row r="48" ht="20" customHeight="1">
      <c r="A48" s="63" t="inlineStr">
        <is>
          <t>Sum of PV of FCFs  (explicit period)</t>
        </is>
      </c>
      <c r="B48" s="95">
        <f>G47+H47+I47+J47+K47</f>
        <v/>
      </c>
      <c r="C48" s="112" t="n"/>
      <c r="D48" s="112" t="n"/>
      <c r="E48" s="112" t="n"/>
      <c r="F48" s="112" t="n"/>
      <c r="G48" s="112" t="n"/>
      <c r="H48" s="112" t="n"/>
      <c r="I48" s="112" t="n"/>
      <c r="J48" s="112" t="n"/>
      <c r="K48" s="112" t="n"/>
      <c r="L48" s="112" t="n"/>
      <c r="M48" s="81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5">
        <f>B41*L46</f>
        <v/>
      </c>
      <c r="C49" s="112" t="n"/>
      <c r="D49" s="112" t="n"/>
      <c r="E49" s="112" t="n"/>
      <c r="F49" s="112" t="n"/>
      <c r="G49" s="112" t="n"/>
      <c r="H49" s="112" t="n"/>
      <c r="I49" s="112" t="n"/>
      <c r="J49" s="112" t="n"/>
      <c r="K49" s="112" t="n"/>
      <c r="L49" s="112" t="n"/>
      <c r="M49" s="81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5">
        <f>B42*L46</f>
        <v/>
      </c>
      <c r="C50" s="112" t="n"/>
      <c r="D50" s="112" t="n"/>
      <c r="E50" s="112" t="n"/>
      <c r="F50" s="112" t="n"/>
      <c r="G50" s="112" t="n"/>
      <c r="H50" s="112" t="n"/>
      <c r="I50" s="112" t="n"/>
      <c r="J50" s="112" t="n"/>
      <c r="K50" s="112" t="n"/>
      <c r="L50" s="112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8">
        <f>B48+B49</f>
        <v/>
      </c>
      <c r="C53" s="107" t="n"/>
      <c r="D53" s="107" t="n"/>
      <c r="E53" s="107" t="n"/>
      <c r="F53" s="107" t="n"/>
      <c r="G53" s="107" t="n"/>
      <c r="H53" s="107" t="n"/>
      <c r="I53" s="107" t="n"/>
      <c r="J53" s="107" t="n"/>
      <c r="K53" s="107" t="n"/>
      <c r="L53" s="107" t="n"/>
      <c r="M53" s="107" t="n"/>
    </row>
    <row r="54">
      <c r="A54" s="76" t="inlineStr">
        <is>
          <t>Enterprise Value  [Exit Multiple]</t>
        </is>
      </c>
      <c r="B54" s="98">
        <f>B48+B50</f>
        <v/>
      </c>
      <c r="C54" s="107" t="n"/>
      <c r="D54" s="107" t="n"/>
      <c r="E54" s="107" t="n"/>
      <c r="F54" s="107" t="n"/>
      <c r="G54" s="107" t="n"/>
      <c r="H54" s="107" t="n"/>
      <c r="I54" s="107" t="n"/>
      <c r="J54" s="107" t="n"/>
      <c r="K54" s="107" t="n"/>
      <c r="L54" s="107" t="n"/>
      <c r="M54" s="107" t="n"/>
    </row>
    <row r="55" ht="20" customHeight="1">
      <c r="A55" s="92" t="inlineStr">
        <is>
          <t xml:space="preserve">  Less: Net Debt  (Debt − Cash)</t>
        </is>
      </c>
      <c r="B55" s="105">
        <f>'Balance Sheet'!F81</f>
        <v/>
      </c>
      <c r="C55" s="106" t="n"/>
      <c r="D55" s="106" t="n"/>
      <c r="E55" s="106" t="n"/>
      <c r="F55" s="106" t="n"/>
      <c r="G55" s="106" t="n"/>
      <c r="H55" s="106" t="n"/>
      <c r="I55" s="106" t="n"/>
      <c r="J55" s="106" t="n"/>
      <c r="K55" s="106" t="n"/>
      <c r="L55" s="106" t="n"/>
      <c r="M55" s="81" t="inlineStr">
        <is>
          <t>Linked from Balance Sheet: Total Debt (ST+LT) − Cash &amp; Equivalents  (negative = net cash)</t>
        </is>
      </c>
    </row>
    <row r="56" ht="20" customHeight="1">
      <c r="A56" s="92" t="inlineStr">
        <is>
          <t xml:space="preserve">  Less: Minority Interest</t>
        </is>
      </c>
      <c r="B56" s="105" t="n">
        <v>41180.5</v>
      </c>
      <c r="C56" s="106" t="n"/>
      <c r="D56" s="106" t="n"/>
      <c r="E56" s="106" t="n"/>
      <c r="F56" s="106" t="n"/>
      <c r="G56" s="106" t="n"/>
      <c r="H56" s="106" t="n"/>
      <c r="I56" s="106" t="n"/>
      <c r="J56" s="106" t="n"/>
      <c r="K56" s="106" t="n"/>
      <c r="L56" s="106" t="n"/>
      <c r="M56" s="81" t="inlineStr">
        <is>
          <t>Auto-linked from Balance Sheet: minorityInterest</t>
        </is>
      </c>
    </row>
    <row r="57" ht="20" customHeight="1">
      <c r="A57" s="92" t="inlineStr">
        <is>
          <t xml:space="preserve">  Shares Outstanding — Diluted  (mm)</t>
        </is>
      </c>
      <c r="B57" s="105" t="n">
        <v>5186.2</v>
      </c>
      <c r="C57" s="106" t="n"/>
      <c r="D57" s="106" t="n"/>
      <c r="E57" s="106" t="n"/>
      <c r="F57" s="106" t="n"/>
      <c r="G57" s="106" t="n"/>
      <c r="H57" s="106" t="n"/>
      <c r="I57" s="106" t="n"/>
      <c r="J57" s="106" t="n"/>
      <c r="K57" s="106" t="n"/>
      <c r="L57" s="106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3">
        <f>IFERROR((B53-B55-B56)/B57,"")</f>
        <v/>
      </c>
      <c r="C59" s="107" t="n"/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 t="n"/>
      <c r="M59" s="107" t="n"/>
    </row>
    <row r="60">
      <c r="A60" s="76" t="inlineStr">
        <is>
          <t>Implied Share Price  [Exit Multiple]  ($)</t>
        </is>
      </c>
      <c r="B60" s="113">
        <f>IFERROR((B54-B55-B56)/B57,"")</f>
        <v/>
      </c>
      <c r="C60" s="107" t="n"/>
      <c r="D60" s="107" t="n"/>
      <c r="E60" s="107" t="n"/>
      <c r="F60" s="107" t="n"/>
      <c r="G60" s="107" t="n"/>
      <c r="H60" s="107" t="n"/>
      <c r="I60" s="107" t="n"/>
      <c r="J60" s="107" t="n"/>
      <c r="K60" s="107" t="n"/>
      <c r="L60" s="107" t="n"/>
      <c r="M60" s="107" t="n"/>
    </row>
    <row r="61" ht="20" customHeight="1">
      <c r="A61" s="104" t="inlineStr">
        <is>
          <t>Current Market Price  ($)</t>
        </is>
      </c>
      <c r="B61" s="114" t="n">
        <v>404.52</v>
      </c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81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5">
        <f>IFERROR(B59/B61-1,"")</f>
        <v/>
      </c>
      <c r="C62" s="112" t="n"/>
      <c r="D62" s="112" t="n"/>
      <c r="E62" s="112" t="n"/>
      <c r="F62" s="112" t="n"/>
      <c r="G62" s="112" t="n"/>
      <c r="H62" s="112" t="n"/>
      <c r="I62" s="112" t="n"/>
      <c r="J62" s="112" t="n"/>
      <c r="K62" s="112" t="n"/>
      <c r="L62" s="112" t="n"/>
      <c r="M62" s="112" t="n"/>
    </row>
    <row r="63">
      <c r="A63" s="63" t="inlineStr">
        <is>
          <t>Upside / (Downside)  [Exit Multiple]</t>
        </is>
      </c>
      <c r="B63" s="115">
        <f>IFERROR(B60/B61-1,"")</f>
        <v/>
      </c>
      <c r="C63" s="112" t="n"/>
      <c r="D63" s="112" t="n"/>
      <c r="E63" s="112" t="n"/>
      <c r="F63" s="112" t="n"/>
      <c r="G63" s="112" t="n"/>
      <c r="H63" s="112" t="n"/>
      <c r="I63" s="112" t="n"/>
      <c r="J63" s="112" t="n"/>
      <c r="K63" s="112" t="n"/>
      <c r="L63" s="112" t="n"/>
      <c r="M63" s="112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6" t="inlineStr">
        <is>
          <t>JS SCORECARD — TSM  |  Master Prompt v2  |  23 May 2026  |  Sector bucket: Tech Growth</t>
        </is>
      </c>
    </row>
    <row r="2" ht="18" customHeight="1">
      <c r="A2" s="117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8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9" t="inlineStr">
        <is>
          <t>CRITERION</t>
        </is>
      </c>
      <c r="B6" s="120" t="inlineStr">
        <is>
          <t>PART</t>
        </is>
      </c>
      <c r="C6" s="120" t="inlineStr">
        <is>
          <t>WEIGHT %</t>
        </is>
      </c>
      <c r="D6" s="120" t="inlineStr">
        <is>
          <t>CALCULATED VALUE</t>
        </is>
      </c>
      <c r="E6" s="120" t="inlineStr">
        <is>
          <t>TIER  ▼</t>
        </is>
      </c>
      <c r="F6" s="120" t="inlineStr">
        <is>
          <t>SCORE</t>
        </is>
      </c>
      <c r="G6" s="120" t="inlineStr">
        <is>
          <t>WTD SCORE</t>
        </is>
      </c>
      <c r="H6" s="119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1" t="inlineStr">
        <is>
          <t xml:space="preserve">  Business Clarity</t>
        </is>
      </c>
      <c r="B8" s="122" t="inlineStr">
        <is>
          <t>P1</t>
        </is>
      </c>
      <c r="C8" s="123" t="n">
        <v>0.025</v>
      </c>
      <c r="D8" s="124" t="inlineStr">
        <is>
          <t>— user input required</t>
        </is>
      </c>
      <c r="E8" s="125" t="n"/>
      <c r="F8" s="126">
        <f>IF(E8="HIGH",10,IF(E8="MOD-HIGH",7,IF(E8="MOD-LOW",3,IF(E8="LOW",0,""))))</f>
        <v/>
      </c>
      <c r="G8" s="127">
        <f>IF(F8="",0,C8*F8*10)</f>
        <v/>
      </c>
      <c r="H8" s="128" t="inlineStr"/>
    </row>
    <row r="9" ht="18" customHeight="1">
      <c r="A9" s="129" t="inlineStr">
        <is>
          <t xml:space="preserve">  Moat Profile</t>
        </is>
      </c>
      <c r="B9" s="130" t="inlineStr">
        <is>
          <t>P1</t>
        </is>
      </c>
      <c r="C9" s="131" t="n">
        <v>0.1</v>
      </c>
      <c r="D9" s="132" t="inlineStr">
        <is>
          <t>GM 59.9% ✓ (&gt;40%)  |  GM trend +0.3% ✗ (&gt;+1pp)  |  ROIC-WACC +38.7% ✓ (&gt;+5pp)  |  Rev consistency σ=18.1% ✗ (&lt;8%)  [2/4 indicators positive — proxy score]</t>
        </is>
      </c>
      <c r="E9" s="133" t="inlineStr">
        <is>
          <t>MOD-LOW</t>
        </is>
      </c>
      <c r="F9" s="134" t="n">
        <v>5</v>
      </c>
      <c r="G9" s="135">
        <f>IF(F9="",0,C9*F9*10)</f>
        <v/>
      </c>
      <c r="H9" s="136" t="inlineStr">
        <is>
          <t>GM 59.9% ✓ (&gt;40%)  |  GM trend +0.3% ✗ (&gt;+1pp)  |  ROIC-WACC +38.7% ✓ (&gt;+5pp)  |  Rev consistency σ=18.1% ✗ (&lt;8%)  [2/4 indicators positive — proxy score]</t>
        </is>
      </c>
    </row>
    <row r="10" ht="18" customHeight="1">
      <c r="A10" s="121" t="inlineStr">
        <is>
          <t xml:space="preserve">  Long-Term Potential</t>
        </is>
      </c>
      <c r="B10" s="122" t="inlineStr">
        <is>
          <t>P1</t>
        </is>
      </c>
      <c r="C10" s="123" t="n">
        <v>0.1</v>
      </c>
      <c r="D10" s="124" t="inlineStr">
        <is>
          <t>— user input required</t>
        </is>
      </c>
      <c r="E10" s="125" t="n"/>
      <c r="F10" s="126">
        <f>IF(E10="HIGH",10,IF(E10="MOD-HIGH",7,IF(E10="MOD-LOW",3,IF(E10="LOW",0,""))))</f>
        <v/>
      </c>
      <c r="G10" s="127">
        <f>IF(F10="",0,C10*F10*10)</f>
        <v/>
      </c>
      <c r="H10" s="128" t="inlineStr"/>
    </row>
    <row r="11" ht="18" customHeight="1">
      <c r="A11" s="129" t="inlineStr">
        <is>
          <t xml:space="preserve">  Management</t>
        </is>
      </c>
      <c r="B11" s="130" t="inlineStr">
        <is>
          <t>P1</t>
        </is>
      </c>
      <c r="C11" s="131" t="n">
        <v>0.075</v>
      </c>
      <c r="D11" s="132" t="inlineStr">
        <is>
          <t>ROIC trend +5.1% ✓ (&gt;=-2pp)  |  GM maintained +0.3% ✓  |  Op margin +1.3% ✓ (≥-2pp)  |  Capital returns LOW ✗  |  Share count +0.0%/yr ✓ (≤+2%/yr)  |  Goodwill/Equity 0% ✓ (&lt;40%)  [5/6 indicators positive — proxy score]</t>
        </is>
      </c>
      <c r="E11" s="137" t="inlineStr">
        <is>
          <t>MOD-HIGH</t>
        </is>
      </c>
      <c r="F11" s="134" t="n">
        <v>8.33</v>
      </c>
      <c r="G11" s="135">
        <f>IF(F11="",0,C11*F11*10)</f>
        <v/>
      </c>
      <c r="H11" s="136" t="inlineStr">
        <is>
          <t>ROIC trend +5.1% ✓ (&gt;=-2pp)  |  GM maintained +0.3% ✓  |  Op margin +1.3% ✓ (≥-2pp)  |  Capital returns LOW ✗  |  Share count +0.0%/yr ✓ (≤+2%/yr)  |  Goodwill/Equity 0% ✓ (&lt;40%)  [5/6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9" t="inlineStr">
        <is>
          <t xml:space="preserve">  Revenue 3yr CAGR</t>
        </is>
      </c>
      <c r="B13" s="130" t="inlineStr">
        <is>
          <t>P2</t>
        </is>
      </c>
      <c r="C13" s="131" t="n">
        <v>0.1</v>
      </c>
      <c r="D13" s="132" t="inlineStr">
        <is>
          <t>19.3%</t>
        </is>
      </c>
      <c r="E13" s="138" t="inlineStr">
        <is>
          <t>HIGH</t>
        </is>
      </c>
      <c r="F13" s="134" t="n">
        <v>10</v>
      </c>
      <c r="G13" s="135">
        <f>IF(F13="",0,C13*F13*10)</f>
        <v/>
      </c>
      <c r="H13" s="136" t="inlineStr">
        <is>
          <t>19.3%</t>
        </is>
      </c>
    </row>
    <row r="14" ht="18" customHeight="1">
      <c r="A14" s="129" t="inlineStr">
        <is>
          <t xml:space="preserve">  Cash Quality  (FCF / Net Income)</t>
        </is>
      </c>
      <c r="B14" s="130" t="inlineStr">
        <is>
          <t>P2</t>
        </is>
      </c>
      <c r="C14" s="131" t="n">
        <v>0.1</v>
      </c>
      <c r="D14" s="132" t="inlineStr">
        <is>
          <t>60%  [through-cycle: 70/30 latest+5yr median, latest 63.2% → smoothed 60.0%]</t>
        </is>
      </c>
      <c r="E14" s="137" t="inlineStr">
        <is>
          <t>MOD-HIGH</t>
        </is>
      </c>
      <c r="F14" s="134" t="n">
        <v>7</v>
      </c>
      <c r="G14" s="135">
        <f>IF(F14="",0,C14*F14*10)</f>
        <v/>
      </c>
      <c r="H14" s="136" t="inlineStr">
        <is>
          <t>60%  [through-cycle: 70/30 latest+5yr median, latest 63.2% → smoothed 60.0%]</t>
        </is>
      </c>
    </row>
    <row r="15" ht="18" customHeight="1">
      <c r="A15" s="129" t="inlineStr">
        <is>
          <t xml:space="preserve">  Capital Returns</t>
        </is>
      </c>
      <c r="B15" s="130" t="inlineStr">
        <is>
          <t>P2</t>
        </is>
      </c>
      <c r="C15" s="131" t="n">
        <v>0.05</v>
      </c>
      <c r="D15" s="132" t="inlineStr">
        <is>
          <t>No capital returns in latest year</t>
        </is>
      </c>
      <c r="E15" s="139" t="inlineStr">
        <is>
          <t>LOW</t>
        </is>
      </c>
      <c r="F15" s="134" t="n">
        <v>0</v>
      </c>
      <c r="G15" s="135">
        <f>IF(F15="",0,C15*F15*10)</f>
        <v/>
      </c>
      <c r="H15" s="136" t="inlineStr">
        <is>
          <t>No capital returns in latest year</t>
        </is>
      </c>
    </row>
    <row r="16" ht="18" customHeight="1">
      <c r="A16" s="129" t="inlineStr">
        <is>
          <t xml:space="preserve">  ROIC</t>
        </is>
      </c>
      <c r="B16" s="130" t="inlineStr">
        <is>
          <t>P2</t>
        </is>
      </c>
      <c r="C16" s="131" t="n">
        <v>0.075</v>
      </c>
      <c r="D16" s="132" t="inlineStr">
        <is>
          <t>42.2%  [through-cycle: 70/30 latest+5yr median, latest 45.4% → smoothed 42.2%]</t>
        </is>
      </c>
      <c r="E16" s="138" t="inlineStr">
        <is>
          <t>HIGH</t>
        </is>
      </c>
      <c r="F16" s="134" t="n">
        <v>10</v>
      </c>
      <c r="G16" s="135">
        <f>IF(F16="",0,C16*F16*10)</f>
        <v/>
      </c>
      <c r="H16" s="136" t="inlineStr">
        <is>
          <t>42.2%  [through-cycle: 70/30 latest+5yr median, latest 45.4% → smoothed 42.2%]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9" t="inlineStr">
        <is>
          <t xml:space="preserve">  Credit Risk  (D / EBITDA)</t>
        </is>
      </c>
      <c r="B18" s="130" t="inlineStr">
        <is>
          <t>P3</t>
        </is>
      </c>
      <c r="C18" s="131" t="n">
        <v>0.05</v>
      </c>
      <c r="D18" s="132" t="inlineStr">
        <is>
          <t>Net cash $1,734,869mm — no net leverage</t>
        </is>
      </c>
      <c r="E18" s="138" t="inlineStr">
        <is>
          <t>HIGH</t>
        </is>
      </c>
      <c r="F18" s="134" t="n">
        <v>10</v>
      </c>
      <c r="G18" s="135">
        <f>IF(F18="",0,C18*F18*10)</f>
        <v/>
      </c>
      <c r="H18" s="136" t="inlineStr">
        <is>
          <t>Net cash $1,734,869mm — no net leverage</t>
        </is>
      </c>
    </row>
    <row r="19" ht="18" customHeight="1">
      <c r="A19" s="129" t="inlineStr">
        <is>
          <t xml:space="preserve">  Interest Cover  (EBIT / Interest)</t>
        </is>
      </c>
      <c r="B19" s="130" t="inlineStr">
        <is>
          <t>P3</t>
        </is>
      </c>
      <c r="C19" s="131" t="n">
        <v>0.075</v>
      </c>
      <c r="D19" s="132" t="inlineStr">
        <is>
          <t>No interest expense — debt-free</t>
        </is>
      </c>
      <c r="E19" s="138" t="inlineStr">
        <is>
          <t>HIGH</t>
        </is>
      </c>
      <c r="F19" s="134" t="n">
        <v>10</v>
      </c>
      <c r="G19" s="135">
        <f>IF(F19="",0,C19*F19*10)</f>
        <v/>
      </c>
      <c r="H19" s="136" t="inlineStr">
        <is>
          <t>No interest expense — debt-free</t>
        </is>
      </c>
    </row>
    <row r="20" ht="18" customHeight="1">
      <c r="A20" s="129" t="inlineStr">
        <is>
          <t xml:space="preserve">  Execution Risk</t>
        </is>
      </c>
      <c r="B20" s="130" t="inlineStr">
        <is>
          <t>P3</t>
        </is>
      </c>
      <c r="C20" s="131" t="n">
        <v>0.05</v>
      </c>
      <c r="D20" s="132" t="inlineStr">
        <is>
          <t>Rev growth σ=18.1%  |  OM trend +9.9%, σ=3.8%  [quality = direction + stability]</t>
        </is>
      </c>
      <c r="E20" s="133" t="inlineStr">
        <is>
          <t>MOD-LOW</t>
        </is>
      </c>
      <c r="F20" s="134" t="n">
        <v>3.33</v>
      </c>
      <c r="G20" s="135">
        <f>IF(F20="",0,C20*F20*10)</f>
        <v/>
      </c>
      <c r="H20" s="136" t="inlineStr">
        <is>
          <t>Rev growth σ=18.1%  |  OM trend +9.9%, σ=3.8%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9" t="inlineStr">
        <is>
          <t xml:space="preserve">  Valuation vs Median  (P/E)</t>
        </is>
      </c>
      <c r="B22" s="130" t="inlineStr">
        <is>
          <t>P4</t>
        </is>
      </c>
      <c r="C22" s="131" t="n">
        <v>0.1</v>
      </c>
      <c r="D22" s="132" t="inlineStr">
        <is>
          <t>Current 28.5x  |  5yr avg 23.6x  |  Sector median 80.5x  |  DCF-implied 29.1x [ref only — not used as benchmark]  [+21% vs benchmark]  [trail=3.68 | no_fwd_data(fallback) | abs=4.0 → blended 40/40/20=3.74]  PEG≈147.31 (trailing_pe=28.5x / rev_cagr=19%, revenue proxy)</t>
        </is>
      </c>
      <c r="E22" s="133" t="inlineStr">
        <is>
          <t>MOD-LOW</t>
        </is>
      </c>
      <c r="F22" s="134" t="n">
        <v>3.74</v>
      </c>
      <c r="G22" s="135">
        <f>IF(F22="",0,C22*F22*10)</f>
        <v/>
      </c>
      <c r="H22" s="136" t="inlineStr">
        <is>
          <t>Current 28.5x  |  5yr avg 23.6x  |  Sector median 80.5x  |  DCF-implied 29.1x [ref only — not used as benchmark]  [+21% vs benchmark]  [trail=3.68 | no_fwd_data(fallback) | abs=4.0 → blended 40/40/20=3.74]  PEG≈147.31 (trailing_pe=28.5x / rev_cagr=19%, revenue proxy)</t>
        </is>
      </c>
    </row>
    <row r="23" ht="18" customHeight="1">
      <c r="A23" s="129" t="inlineStr">
        <is>
          <t xml:space="preserve">  Valuation vs Median  (P/FCF)</t>
        </is>
      </c>
      <c r="B23" s="130" t="inlineStr">
        <is>
          <t>P4</t>
        </is>
      </c>
      <c r="C23" s="131" t="n">
        <v>0.1</v>
      </c>
      <c r="D23" s="132" t="inlineStr">
        <is>
          <t>Current 45.0x  |  5yr avg 45.9x  |  Sector median 51.8x  |  DCF-implied 46.1x [ref only — not used as benchmark]  [-2% vs benchmark]  [trail=7.29 | no_fwd_data(fallback) | abs=1.5 → blended 40/40/20=6.14]  [fcf_yield=2.2% vs rf=4.6%  spread=-2.3%→modifier=-0.50]</t>
        </is>
      </c>
      <c r="E23" s="137" t="inlineStr">
        <is>
          <t>MOD-HIGH</t>
        </is>
      </c>
      <c r="F23" s="134" t="n">
        <v>5.64</v>
      </c>
      <c r="G23" s="135">
        <f>IF(F23="",0,C23*F23*10)</f>
        <v/>
      </c>
      <c r="H23" s="136" t="inlineStr">
        <is>
          <t>Current 45.0x  |  5yr avg 45.9x  |  Sector median 51.8x  |  DCF-implied 46.1x [ref only — not used as benchmark]  [-2% vs benchmark]  [trail=7.29 | no_fwd_data(fallback) | abs=1.5 → blended 40/40/20=6.14]  [fcf_yield=2.2% vs rf=4.6%  spread=-2.3%→modifier=-0.50]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40" t="inlineStr">
        <is>
          <t>TOTAL SCORE  (max = 100.0)</t>
        </is>
      </c>
      <c r="B25" s="141" t="n"/>
      <c r="C25" s="141" t="n"/>
      <c r="D25" s="141" t="n"/>
      <c r="E25" s="141" t="n"/>
      <c r="F25" s="141" t="n"/>
      <c r="G25" s="142">
        <f>G8+G9+G10+G11+G13+G14+G15+G16+G18+G19+G20+G22+G23</f>
        <v/>
      </c>
      <c r="H25" s="143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4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5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2026-05-23T03:19:01Z</dcterms:created>
  <dcterms:modified xmlns:dcterms="http://purl.org/dc/terms/" xmlns:xsi="http://www.w3.org/2001/XMLSchema-instance" xsi:type="dcterms:W3CDTF">2026-05-23T03:19:38Z</dcterms:modified>
</cp:coreProperties>
</file>