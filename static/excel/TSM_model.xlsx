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TSM — Financial Model</t>
        </is>
      </c>
    </row>
    <row r="2" ht="14" customHeight="1">
      <c r="A2" s="2" t="inlineStr">
        <is>
          <t>Source: Financial Modeling Prep API  |  All figures TWD millions  |  ⚠ Non-USD currency — DCF implied prices converted to USD  |  FY 2021–2025</t>
        </is>
      </c>
    </row>
    <row r="4">
      <c r="A4" s="3" t="inlineStr">
        <is>
          <t>Reporting Currency</t>
        </is>
      </c>
      <c r="B4" s="4" t="inlineStr">
        <is>
          <t>TWD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3848510.95</v>
      </c>
    </row>
    <row r="8">
      <c r="A8" s="3" t="inlineStr">
        <is>
          <t>Gross Profit ($mm)</t>
        </is>
      </c>
      <c r="B8" s="7" t="n">
        <v>2304925.3</v>
      </c>
    </row>
    <row r="9">
      <c r="A9" s="3" t="inlineStr">
        <is>
          <t>EBITDA ($mm)</t>
        </is>
      </c>
      <c r="B9" s="7" t="n">
        <v>2752481.88</v>
      </c>
    </row>
    <row r="10">
      <c r="A10" s="3" t="inlineStr">
        <is>
          <t>EBIT ($mm)</t>
        </is>
      </c>
      <c r="B10" s="7" t="n">
        <v>1955695.82</v>
      </c>
    </row>
    <row r="11">
      <c r="A11" s="3" t="inlineStr">
        <is>
          <t>Net Income ($mm)</t>
        </is>
      </c>
      <c r="B11" s="7" t="n">
        <v>1735678.08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1587415</v>
      </c>
      <c r="C5" s="16" t="n">
        <v>2263891.3</v>
      </c>
      <c r="D5" s="16" t="n">
        <v>2161736</v>
      </c>
      <c r="E5" s="16" t="n">
        <v>2894308</v>
      </c>
      <c r="F5" s="16" t="n">
        <v>3848510.95</v>
      </c>
    </row>
    <row r="6">
      <c r="A6" s="17" t="inlineStr">
        <is>
          <t>(2)  Cost of Revenue (COGS)</t>
        </is>
      </c>
      <c r="B6" s="18" t="n">
        <v>767877.7</v>
      </c>
      <c r="C6" s="18" t="n">
        <v>915536.5</v>
      </c>
      <c r="D6" s="18" t="n">
        <v>986625</v>
      </c>
      <c r="E6" s="18" t="n">
        <v>1269954</v>
      </c>
      <c r="F6" s="18" t="n">
        <v>1543585.65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44488.2</v>
      </c>
      <c r="C9" s="18" t="n">
        <v>63445.3</v>
      </c>
      <c r="D9" s="18" t="n">
        <v>71464</v>
      </c>
      <c r="E9" s="18" t="n">
        <v>96889</v>
      </c>
      <c r="F9" s="18" t="n">
        <v>100249.81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169556.4</v>
      </c>
      <c r="C11" s="18" t="n">
        <v>227075.9</v>
      </c>
      <c r="D11" s="18" t="n">
        <v>253645</v>
      </c>
      <c r="E11" s="18" t="n">
        <v>302301</v>
      </c>
      <c r="F11" s="18" t="n">
        <v>349229.48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422394.9</v>
      </c>
      <c r="C14" s="18" t="n">
        <v>437254.3</v>
      </c>
      <c r="D14" s="18" t="n">
        <v>532190.9</v>
      </c>
      <c r="E14" s="18" t="n">
        <v>662796</v>
      </c>
      <c r="F14" s="18" t="n">
        <v>695223.8</v>
      </c>
    </row>
    <row r="15">
      <c r="A15" s="19" t="inlineStr">
        <is>
          <t>(8)  EBIT (Operating Income)</t>
        </is>
      </c>
      <c r="B15" s="24" t="n">
        <v>649980.9</v>
      </c>
      <c r="C15" s="24" t="n">
        <v>1121278.9</v>
      </c>
      <c r="D15" s="24" t="n">
        <v>921466</v>
      </c>
      <c r="E15" s="24" t="n">
        <v>1322053</v>
      </c>
      <c r="F15" s="24" t="n">
        <v>1955695.82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5414.2</v>
      </c>
      <c r="C17" s="18" t="n">
        <v>11750</v>
      </c>
      <c r="D17" s="18" t="n">
        <v>11999.4</v>
      </c>
      <c r="E17" s="18" t="n">
        <v>10495.4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5708.8</v>
      </c>
      <c r="C18" s="18" t="n">
        <v>22422.2</v>
      </c>
      <c r="D18" s="18" t="n">
        <v>60293.9</v>
      </c>
      <c r="E18" s="18" t="n">
        <v>87213.39999999999</v>
      </c>
      <c r="F18" s="18" t="n">
        <v>94335.17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663036</v>
      </c>
      <c r="C21" s="24" t="n">
        <v>1144072.2</v>
      </c>
      <c r="D21" s="24" t="n">
        <v>979171</v>
      </c>
      <c r="E21" s="24" t="n">
        <v>1405839</v>
      </c>
      <c r="F21" s="24" t="n">
        <v>2062812.03</v>
      </c>
    </row>
    <row r="22">
      <c r="A22" s="17" t="inlineStr">
        <is>
          <t>(11) Income Tax Expense</t>
        </is>
      </c>
      <c r="B22" s="18" t="n">
        <v>70155.39999999999</v>
      </c>
      <c r="C22" s="18" t="n">
        <v>150777.5</v>
      </c>
      <c r="D22" s="18" t="n">
        <v>128288.8</v>
      </c>
      <c r="E22" s="18" t="n">
        <v>248316.1</v>
      </c>
      <c r="F22" s="18" t="n">
        <v>329645.7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592359.2</v>
      </c>
      <c r="C24" s="24" t="n">
        <v>992923.4</v>
      </c>
      <c r="D24" s="24" t="n">
        <v>851740</v>
      </c>
      <c r="E24" s="24" t="n">
        <v>1158380.2</v>
      </c>
      <c r="F24" s="24" t="n">
        <v>1735678.08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1587415</v>
      </c>
      <c r="C30" s="16" t="n">
        <v>2263891.3</v>
      </c>
      <c r="D30" s="16" t="n">
        <v>2161736</v>
      </c>
      <c r="E30" s="16" t="n">
        <v>2894308</v>
      </c>
      <c r="F30" s="16" t="n">
        <v>3848510.95</v>
      </c>
    </row>
    <row r="31">
      <c r="A31" s="17" t="inlineStr">
        <is>
          <t>Cost of Revenue</t>
        </is>
      </c>
      <c r="B31" s="18" t="n">
        <v>767877.7</v>
      </c>
      <c r="C31" s="18" t="n">
        <v>915536.5</v>
      </c>
      <c r="D31" s="18" t="n">
        <v>986625</v>
      </c>
      <c r="E31" s="18" t="n">
        <v>1269954</v>
      </c>
      <c r="F31" s="18" t="n">
        <v>1543585.65</v>
      </c>
    </row>
    <row r="32">
      <c r="A32" s="26" t="inlineStr">
        <is>
          <t>Gross Profit</t>
        </is>
      </c>
      <c r="B32" s="27" t="n">
        <v>819537.3</v>
      </c>
      <c r="C32" s="27" t="n">
        <v>1348354.8</v>
      </c>
      <c r="D32" s="27" t="n">
        <v>1175111</v>
      </c>
      <c r="E32" s="27" t="n">
        <v>1624354</v>
      </c>
      <c r="F32" s="27" t="n">
        <v>2304925.3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124734.8</v>
      </c>
      <c r="C34" s="18" t="n">
        <v>163262.2</v>
      </c>
      <c r="D34" s="18" t="n">
        <v>182370</v>
      </c>
      <c r="E34" s="18" t="n">
        <v>204182</v>
      </c>
      <c r="F34" s="18" t="n">
        <v>248979.67</v>
      </c>
    </row>
    <row r="35">
      <c r="A35" s="17" t="inlineStr">
        <is>
          <t>General &amp; Administrative</t>
        </is>
      </c>
      <c r="B35" s="18" t="n">
        <v>36929.6</v>
      </c>
      <c r="C35" s="18" t="n">
        <v>53524.8</v>
      </c>
      <c r="D35" s="18" t="n">
        <v>60872.8</v>
      </c>
      <c r="E35" s="18" t="n">
        <v>83745</v>
      </c>
      <c r="F35" s="18" t="n">
        <v>87220.35000000001</v>
      </c>
    </row>
    <row r="36">
      <c r="A36" s="17" t="inlineStr">
        <is>
          <t>Selling &amp; Marketing</t>
        </is>
      </c>
      <c r="B36" s="18" t="n">
        <v>7558.6</v>
      </c>
      <c r="C36" s="18" t="n">
        <v>9920.5</v>
      </c>
      <c r="D36" s="18" t="n">
        <v>10590.7</v>
      </c>
      <c r="E36" s="18" t="n">
        <v>13143.6</v>
      </c>
      <c r="F36" s="18" t="n">
        <v>13029.46</v>
      </c>
    </row>
    <row r="37">
      <c r="A37" s="17" t="inlineStr">
        <is>
          <t>SG&amp;A (Combined)</t>
        </is>
      </c>
      <c r="B37" s="18" t="n">
        <v>44488.2</v>
      </c>
      <c r="C37" s="18" t="n">
        <v>63445.3</v>
      </c>
      <c r="D37" s="18" t="n">
        <v>71464</v>
      </c>
      <c r="E37" s="18" t="n">
        <v>96889</v>
      </c>
      <c r="F37" s="18" t="n">
        <v>100249.81</v>
      </c>
    </row>
    <row r="38">
      <c r="A38" s="17" t="inlineStr">
        <is>
          <t>Other Expenses</t>
        </is>
      </c>
      <c r="B38" s="18" t="n">
        <v>333.4</v>
      </c>
      <c r="C38" s="18" t="n">
        <v>368.4</v>
      </c>
      <c r="D38" s="18" t="n">
        <v>-189</v>
      </c>
      <c r="E38" s="18" t="n">
        <v>1230</v>
      </c>
      <c r="F38" s="18" t="n">
        <v>-0</v>
      </c>
    </row>
    <row r="39">
      <c r="A39" s="26" t="inlineStr">
        <is>
          <t>Total Operating Expenses</t>
        </is>
      </c>
      <c r="B39" s="27" t="n">
        <v>169556.4</v>
      </c>
      <c r="C39" s="27" t="n">
        <v>227075.9</v>
      </c>
      <c r="D39" s="27" t="n">
        <v>253645</v>
      </c>
      <c r="E39" s="27" t="n">
        <v>302301</v>
      </c>
      <c r="F39" s="27" t="n">
        <v>349229.48</v>
      </c>
    </row>
    <row r="40">
      <c r="A40" s="17" t="inlineStr">
        <is>
          <t>Cost &amp; Expenses (COGS + Opex)</t>
        </is>
      </c>
      <c r="B40" s="18" t="n">
        <v>937434.1</v>
      </c>
      <c r="C40" s="18" t="n">
        <v>1142612.4</v>
      </c>
      <c r="D40" s="18" t="n">
        <v>1240270</v>
      </c>
      <c r="E40" s="18" t="n">
        <v>1572255</v>
      </c>
      <c r="F40" s="18" t="n">
        <v>1892815.13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649980.9</v>
      </c>
      <c r="C42" s="16" t="n">
        <v>1121278.9</v>
      </c>
      <c r="D42" s="16" t="n">
        <v>921466</v>
      </c>
      <c r="E42" s="16" t="n">
        <v>1322053</v>
      </c>
      <c r="F42" s="16" t="n">
        <v>1955695.82</v>
      </c>
    </row>
    <row r="43">
      <c r="A43" s="17" t="inlineStr">
        <is>
          <t>EBIT (FMP field)</t>
        </is>
      </c>
      <c r="B43" s="18" t="n">
        <v>668450.2</v>
      </c>
      <c r="C43" s="18" t="n">
        <v>1155822.2</v>
      </c>
      <c r="D43" s="18" t="n">
        <v>991315.9</v>
      </c>
      <c r="E43" s="18" t="n">
        <v>1322053</v>
      </c>
      <c r="F43" s="18" t="n">
        <v>2057258.09</v>
      </c>
    </row>
    <row r="44">
      <c r="A44" s="26" t="inlineStr">
        <is>
          <t>EBITDA</t>
        </is>
      </c>
      <c r="B44" s="27" t="n">
        <v>1090845.1</v>
      </c>
      <c r="C44" s="27" t="n">
        <v>1593076.5</v>
      </c>
      <c r="D44" s="27" t="n">
        <v>1523506.8</v>
      </c>
      <c r="E44" s="27" t="n">
        <v>1984849</v>
      </c>
      <c r="F44" s="27" t="n">
        <v>2752481.88</v>
      </c>
    </row>
    <row r="45">
      <c r="A45" s="17" t="inlineStr">
        <is>
          <t>Depreciation &amp; Amortisation</t>
        </is>
      </c>
      <c r="B45" s="18" t="n">
        <v>422394.9</v>
      </c>
      <c r="C45" s="18" t="n">
        <v>437254.3</v>
      </c>
      <c r="D45" s="18" t="n">
        <v>532190.9</v>
      </c>
      <c r="E45" s="18" t="n">
        <v>662796</v>
      </c>
      <c r="F45" s="18" t="n">
        <v>695223.8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5708.8</v>
      </c>
      <c r="C47" s="18" t="n">
        <v>22422.2</v>
      </c>
      <c r="D47" s="18" t="n">
        <v>60293.9</v>
      </c>
      <c r="E47" s="18" t="n">
        <v>87213.39999999999</v>
      </c>
      <c r="F47" s="18" t="n">
        <v>94335.17</v>
      </c>
    </row>
    <row r="48">
      <c r="A48" s="17" t="inlineStr">
        <is>
          <t>Interest Expense</t>
        </is>
      </c>
      <c r="B48" s="18" t="n">
        <v>5414.2</v>
      </c>
      <c r="C48" s="18" t="n">
        <v>11750</v>
      </c>
      <c r="D48" s="18" t="n">
        <v>11999.4</v>
      </c>
      <c r="E48" s="18" t="n">
        <v>10495.4</v>
      </c>
      <c r="F48" s="18" t="n">
        <v>0</v>
      </c>
    </row>
    <row r="49">
      <c r="A49" s="17" t="inlineStr">
        <is>
          <t>Net Interest Income</t>
        </is>
      </c>
      <c r="B49" s="18" t="n">
        <v>294.6</v>
      </c>
      <c r="C49" s="18" t="n">
        <v>10672.2</v>
      </c>
      <c r="D49" s="18" t="n">
        <v>48294</v>
      </c>
      <c r="E49" s="18" t="n">
        <v>76718</v>
      </c>
      <c r="F49" s="18" t="n">
        <v>94335.17</v>
      </c>
    </row>
    <row r="50">
      <c r="A50" s="17" t="inlineStr">
        <is>
          <t>Non-Operating Income (ex-interest)</t>
        </is>
      </c>
      <c r="B50" s="18" t="n">
        <v>-18469.3</v>
      </c>
      <c r="C50" s="18" t="n">
        <v>-34543.3</v>
      </c>
      <c r="D50" s="18" t="n">
        <v>-69850.3</v>
      </c>
      <c r="E50" s="18" t="n">
        <v>-1150.48</v>
      </c>
      <c r="F50" s="18" t="n">
        <v>-101562.27</v>
      </c>
    </row>
    <row r="51">
      <c r="A51" s="17" t="inlineStr">
        <is>
          <t>Total Other Income / (Expenses)</t>
        </is>
      </c>
      <c r="B51" s="18" t="n">
        <v>13055.1</v>
      </c>
      <c r="C51" s="18" t="n">
        <v>22793.3</v>
      </c>
      <c r="D51" s="18" t="n">
        <v>57705</v>
      </c>
      <c r="E51" s="18" t="n">
        <v>83786</v>
      </c>
      <c r="F51" s="18" t="n">
        <v>107116.21</v>
      </c>
    </row>
    <row r="52">
      <c r="A52" s="26" t="inlineStr">
        <is>
          <t>EBT / Income Before Tax</t>
        </is>
      </c>
      <c r="B52" s="27" t="n">
        <v>663036</v>
      </c>
      <c r="C52" s="27" t="n">
        <v>1144072.2</v>
      </c>
      <c r="D52" s="27" t="n">
        <v>979171</v>
      </c>
      <c r="E52" s="27" t="n">
        <v>1405839</v>
      </c>
      <c r="F52" s="27" t="n">
        <v>2062812.03</v>
      </c>
    </row>
    <row r="53">
      <c r="A53" s="17" t="inlineStr">
        <is>
          <t>Income Tax Expense</t>
        </is>
      </c>
      <c r="B53" s="18" t="n">
        <v>70155.39999999999</v>
      </c>
      <c r="C53" s="18" t="n">
        <v>150777.5</v>
      </c>
      <c r="D53" s="18" t="n">
        <v>128288.8</v>
      </c>
      <c r="E53" s="18" t="n">
        <v>248316.1</v>
      </c>
      <c r="F53" s="18" t="n">
        <v>329645.7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592880.6</v>
      </c>
      <c r="C55" s="18" t="n">
        <v>993294.7</v>
      </c>
      <c r="D55" s="18" t="n">
        <v>851027.7</v>
      </c>
      <c r="E55" s="18" t="n">
        <v>1157523.9</v>
      </c>
      <c r="F55" s="18" t="n">
        <v>1733166.33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592359.2</v>
      </c>
      <c r="C59" s="27" t="n">
        <v>992923.4</v>
      </c>
      <c r="D59" s="27" t="n">
        <v>851740</v>
      </c>
      <c r="E59" s="27" t="n">
        <v>1158380.2</v>
      </c>
      <c r="F59" s="27" t="n">
        <v>1735678.08</v>
      </c>
    </row>
    <row r="60">
      <c r="A60" s="15" t="inlineStr">
        <is>
          <t>Bottom Line Net Income</t>
        </is>
      </c>
      <c r="B60" s="16" t="n">
        <v>592359.2</v>
      </c>
      <c r="C60" s="16" t="n">
        <v>992923.4</v>
      </c>
      <c r="D60" s="16" t="n">
        <v>851740</v>
      </c>
      <c r="E60" s="16" t="n">
        <v>1158380.2</v>
      </c>
      <c r="F60" s="16" t="n">
        <v>1735678.08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114.2</v>
      </c>
      <c r="C62" s="18" t="n">
        <v>191.45</v>
      </c>
      <c r="D62" s="18" t="n">
        <v>164.25</v>
      </c>
      <c r="E62" s="18" t="n">
        <v>223.4</v>
      </c>
      <c r="F62" s="18" t="n">
        <v>334.6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5186.08</v>
      </c>
      <c r="C64" s="18" t="n">
        <v>5185.84</v>
      </c>
      <c r="D64" s="18" t="n">
        <v>5185.84</v>
      </c>
      <c r="E64" s="18" t="n">
        <v>5185.51</v>
      </c>
      <c r="F64" s="18" t="n">
        <v>5186.95</v>
      </c>
    </row>
    <row r="65">
      <c r="A65" s="17" t="inlineStr">
        <is>
          <t>Shares Outstanding — Diluted (mm)</t>
        </is>
      </c>
      <c r="B65" s="18" t="n">
        <v>5186.08</v>
      </c>
      <c r="C65" s="18" t="n">
        <v>5185.88</v>
      </c>
      <c r="D65" s="18" t="n">
        <v>5185.85</v>
      </c>
      <c r="E65" s="18" t="n">
        <v>5185.51</v>
      </c>
      <c r="F65" s="18" t="n">
        <v>5186.2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TWD</t>
        </is>
      </c>
      <c r="C67" s="18" t="inlineStr">
        <is>
          <t>TWD</t>
        </is>
      </c>
      <c r="D67" s="18" t="inlineStr">
        <is>
          <t>TWD</t>
        </is>
      </c>
      <c r="E67" s="18" t="inlineStr">
        <is>
          <t>TWD</t>
        </is>
      </c>
      <c r="F67" s="18" t="inlineStr">
        <is>
          <t>TWD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1064990.2</v>
      </c>
      <c r="C5" s="18" t="n">
        <v>1342814.1</v>
      </c>
      <c r="D5" s="18" t="n">
        <v>1465427.8</v>
      </c>
      <c r="E5" s="18" t="n">
        <v>2127627</v>
      </c>
      <c r="F5" s="18" t="n">
        <v>2767856.4</v>
      </c>
    </row>
    <row r="6">
      <c r="A6" s="17" t="inlineStr">
        <is>
          <t>(2)  Receivables</t>
        </is>
      </c>
      <c r="B6" s="18" t="n">
        <v>198362.9</v>
      </c>
      <c r="C6" s="18" t="n">
        <v>231408.9</v>
      </c>
      <c r="D6" s="18" t="n">
        <v>202010.2</v>
      </c>
      <c r="E6" s="18" t="n">
        <v>272087.9</v>
      </c>
      <c r="F6" s="18" t="n">
        <v>282059.2</v>
      </c>
    </row>
    <row r="7">
      <c r="A7" s="17" t="inlineStr">
        <is>
          <t>(3)  Inventory</t>
        </is>
      </c>
      <c r="B7" s="18" t="n">
        <v>193102.3</v>
      </c>
      <c r="C7" s="18" t="n">
        <v>221149.1</v>
      </c>
      <c r="D7" s="18" t="n">
        <v>250997.1</v>
      </c>
      <c r="E7" s="18" t="n">
        <v>287868.8</v>
      </c>
      <c r="F7" s="18" t="n">
        <v>288109.5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1607072.9</v>
      </c>
      <c r="C9" s="24" t="n">
        <v>2052896.7</v>
      </c>
      <c r="D9" s="24" t="n">
        <v>2194032.9</v>
      </c>
      <c r="E9" s="24" t="n">
        <v>3088352.1</v>
      </c>
      <c r="F9" s="24" t="n">
        <v>3817130.8</v>
      </c>
    </row>
    <row r="10">
      <c r="A10" s="17" t="inlineStr">
        <is>
          <t>(6)  PP&amp;E (Net)</t>
        </is>
      </c>
      <c r="B10" s="18" t="n">
        <v>2007853.1</v>
      </c>
      <c r="C10" s="18" t="n">
        <v>2735751</v>
      </c>
      <c r="D10" s="18" t="n">
        <v>3104899.7</v>
      </c>
      <c r="E10" s="18" t="n">
        <v>3275108.5</v>
      </c>
      <c r="F10" s="18" t="n">
        <v>3735759.8</v>
      </c>
    </row>
    <row r="11">
      <c r="A11" s="17" t="inlineStr">
        <is>
          <t>(7)  Goodwill</t>
        </is>
      </c>
      <c r="B11" s="18" t="n">
        <v>5379.2</v>
      </c>
      <c r="C11" s="18" t="n">
        <v>5791.8</v>
      </c>
      <c r="D11" s="18" t="n">
        <v>5796.4</v>
      </c>
      <c r="E11" s="18" t="n">
        <v>6070.9</v>
      </c>
      <c r="F11" s="18" t="n">
        <v>5891.1</v>
      </c>
    </row>
    <row r="12">
      <c r="A12" s="17" t="inlineStr">
        <is>
          <t>(8)  Deferred Tax Assets</t>
        </is>
      </c>
      <c r="B12" s="18" t="n">
        <v>49153.9</v>
      </c>
      <c r="C12" s="18" t="n">
        <v>69185.89999999999</v>
      </c>
      <c r="D12" s="18" t="n">
        <v>64175.8</v>
      </c>
      <c r="E12" s="18" t="n">
        <v>65943.3</v>
      </c>
      <c r="F12" s="18" t="n">
        <v>62940.3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2118229.3</v>
      </c>
      <c r="C14" s="24" t="n">
        <v>2911562.4</v>
      </c>
      <c r="D14" s="24" t="n">
        <v>3338163.7</v>
      </c>
      <c r="E14" s="24" t="n">
        <v>3603412.6</v>
      </c>
      <c r="F14" s="24" t="n">
        <v>4115711.7</v>
      </c>
    </row>
    <row r="15">
      <c r="A15" s="19" t="inlineStr">
        <is>
          <t>(11) Total Assets</t>
        </is>
      </c>
      <c r="B15" s="24" t="n">
        <v>3725302.2</v>
      </c>
      <c r="C15" s="24" t="n">
        <v>4964459.1</v>
      </c>
      <c r="D15" s="24" t="n">
        <v>5532196.6</v>
      </c>
      <c r="E15" s="24" t="n">
        <v>6691764.7</v>
      </c>
      <c r="F15" s="24" t="n">
        <v>7932842.5</v>
      </c>
    </row>
    <row r="16" ht="6" customHeight="1"/>
    <row r="17">
      <c r="A17" s="17" t="inlineStr">
        <is>
          <t>(12) Accounts Payable</t>
        </is>
      </c>
      <c r="B17" s="18" t="n">
        <v>193027.8</v>
      </c>
      <c r="C17" s="18" t="n">
        <v>268379.3</v>
      </c>
      <c r="D17" s="18" t="n">
        <v>227211.4</v>
      </c>
      <c r="E17" s="18" t="n">
        <v>265435.8</v>
      </c>
      <c r="F17" s="18" t="n">
        <v>260281.9</v>
      </c>
    </row>
    <row r="18">
      <c r="A18" s="17" t="inlineStr">
        <is>
          <t>(13) Short-Term Borrowings</t>
        </is>
      </c>
      <c r="B18" s="18" t="n">
        <v>119488</v>
      </c>
      <c r="C18" s="18" t="n">
        <v>19313.9</v>
      </c>
      <c r="D18" s="18" t="n">
        <v>9293.299999999999</v>
      </c>
      <c r="E18" s="18" t="n">
        <v>59857.9</v>
      </c>
      <c r="F18" s="18" t="n">
        <v>136925.7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758352.8</v>
      </c>
      <c r="C21" s="24" t="n">
        <v>986563.6</v>
      </c>
      <c r="D21" s="24" t="n">
        <v>942805.1</v>
      </c>
      <c r="E21" s="24" t="n">
        <v>1308655.9</v>
      </c>
      <c r="F21" s="24" t="n">
        <v>1522414</v>
      </c>
    </row>
    <row r="22">
      <c r="A22" s="17" t="inlineStr">
        <is>
          <t>(17) Long-Term Debt</t>
        </is>
      </c>
      <c r="B22" s="18" t="n">
        <v>613379.7</v>
      </c>
      <c r="C22" s="18" t="n">
        <v>839096.4</v>
      </c>
      <c r="D22" s="18" t="n">
        <v>918282.8</v>
      </c>
      <c r="E22" s="18" t="n">
        <v>958428.9</v>
      </c>
      <c r="F22" s="18" t="n">
        <v>896062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1573619.7</v>
      </c>
      <c r="C25" s="24" t="n">
        <v>2046626.7</v>
      </c>
      <c r="D25" s="24" t="n">
        <v>2078330.1</v>
      </c>
      <c r="E25" s="24" t="n">
        <v>2412493.1</v>
      </c>
      <c r="F25" s="24" t="n">
        <v>2536623.3</v>
      </c>
    </row>
    <row r="26" ht="6" customHeight="1"/>
    <row r="27">
      <c r="A27" s="17" t="inlineStr">
        <is>
          <t>(21) Common Stock &amp; APIC</t>
        </is>
      </c>
      <c r="B27" s="18" t="n">
        <v>259303.8</v>
      </c>
      <c r="C27" s="18" t="n">
        <v>259303.8</v>
      </c>
      <c r="D27" s="18" t="n">
        <v>259320.7</v>
      </c>
      <c r="E27" s="18" t="n">
        <v>259327.3</v>
      </c>
      <c r="F27" s="18" t="n">
        <v>259325.3</v>
      </c>
    </row>
    <row r="28">
      <c r="A28" s="17" t="inlineStr">
        <is>
          <t>(22) Retained Earnings</t>
        </is>
      </c>
      <c r="B28" s="18" t="n">
        <v>1887802.9</v>
      </c>
      <c r="C28" s="18" t="n">
        <v>2594891.2</v>
      </c>
      <c r="D28" s="18" t="n">
        <v>3128639.6</v>
      </c>
      <c r="E28" s="18" t="n">
        <v>3872973.4</v>
      </c>
      <c r="F28" s="18" t="n">
        <v>5038944.2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2149259.8</v>
      </c>
      <c r="C30" s="24" t="n">
        <v>2903019.7</v>
      </c>
      <c r="D30" s="24" t="n">
        <v>3429522.4</v>
      </c>
      <c r="E30" s="24" t="n">
        <v>4244266.5</v>
      </c>
      <c r="F30" s="24" t="n">
        <v>5355038.7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1064990.2</v>
      </c>
      <c r="C36" s="18" t="n">
        <v>1342814.1</v>
      </c>
      <c r="D36" s="18" t="n">
        <v>1465427.8</v>
      </c>
      <c r="E36" s="18" t="n">
        <v>2127627</v>
      </c>
      <c r="F36" s="18" t="n">
        <v>2767856.4</v>
      </c>
    </row>
    <row r="37">
      <c r="A37" s="17" t="inlineStr">
        <is>
          <t>Short-Term Investments</t>
        </is>
      </c>
      <c r="B37" s="18" t="n">
        <v>139923.5</v>
      </c>
      <c r="C37" s="18" t="n">
        <v>243686</v>
      </c>
      <c r="D37" s="18" t="n">
        <v>249375.4</v>
      </c>
      <c r="E37" s="18" t="n">
        <v>357520</v>
      </c>
      <c r="F37" s="18" t="n">
        <v>360441.3</v>
      </c>
    </row>
    <row r="38">
      <c r="A38" s="28" t="inlineStr">
        <is>
          <t>Cash &amp; Short-Term Investments</t>
        </is>
      </c>
      <c r="B38" s="29" t="n">
        <v>1204913.7</v>
      </c>
      <c r="C38" s="29" t="n">
        <v>1586500.1</v>
      </c>
      <c r="D38" s="29" t="n">
        <v>1714803.2</v>
      </c>
      <c r="E38" s="29" t="n">
        <v>2485147</v>
      </c>
      <c r="F38" s="29" t="n">
        <v>3128297.7</v>
      </c>
    </row>
    <row r="39">
      <c r="A39" s="17" t="inlineStr">
        <is>
          <t>Accounts Receivable (Trade)</t>
        </is>
      </c>
      <c r="B39" s="18" t="n">
        <v>197586.1</v>
      </c>
      <c r="C39" s="18" t="n">
        <v>231408.9</v>
      </c>
      <c r="D39" s="18" t="n">
        <v>201313.91</v>
      </c>
      <c r="E39" s="18" t="n">
        <v>270683.23</v>
      </c>
      <c r="F39" s="18" t="n">
        <v>282059.2</v>
      </c>
    </row>
    <row r="40">
      <c r="A40" s="17" t="inlineStr">
        <is>
          <t>Other Receivables</t>
        </is>
      </c>
      <c r="B40" s="18" t="n">
        <v>776.8</v>
      </c>
      <c r="C40" s="18" t="n">
        <v>0</v>
      </c>
      <c r="D40" s="18" t="n">
        <v>696.29</v>
      </c>
      <c r="E40" s="18" t="n">
        <v>1404.66</v>
      </c>
      <c r="F40" s="18" t="n">
        <v>0</v>
      </c>
    </row>
    <row r="41">
      <c r="A41" s="28" t="inlineStr">
        <is>
          <t>Net Receivables (Total)</t>
        </is>
      </c>
      <c r="B41" s="29" t="n">
        <v>198362.9</v>
      </c>
      <c r="C41" s="29" t="n">
        <v>231408.9</v>
      </c>
      <c r="D41" s="29" t="n">
        <v>202010.2</v>
      </c>
      <c r="E41" s="29" t="n">
        <v>272087.9</v>
      </c>
      <c r="F41" s="29" t="n">
        <v>282059.2</v>
      </c>
    </row>
    <row r="42">
      <c r="A42" s="17" t="inlineStr">
        <is>
          <t>Inventory</t>
        </is>
      </c>
      <c r="B42" s="18" t="n">
        <v>193102.3</v>
      </c>
      <c r="C42" s="18" t="n">
        <v>221149.1</v>
      </c>
      <c r="D42" s="18" t="n">
        <v>250997.1</v>
      </c>
      <c r="E42" s="18" t="n">
        <v>287868.8</v>
      </c>
      <c r="F42" s="18" t="n">
        <v>288109.5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10694</v>
      </c>
      <c r="C44" s="18" t="n">
        <v>13838.6</v>
      </c>
      <c r="D44" s="18" t="n">
        <v>26222.4</v>
      </c>
      <c r="E44" s="18" t="n">
        <v>43248.4</v>
      </c>
      <c r="F44" s="18" t="n">
        <v>118664.4</v>
      </c>
    </row>
    <row r="45">
      <c r="A45" s="26" t="inlineStr">
        <is>
          <t>Total Current Assets</t>
        </is>
      </c>
      <c r="B45" s="27" t="n">
        <v>1607072.9</v>
      </c>
      <c r="C45" s="27" t="n">
        <v>2052896.7</v>
      </c>
      <c r="D45" s="27" t="n">
        <v>2194032.9</v>
      </c>
      <c r="E45" s="27" t="n">
        <v>3088352.1</v>
      </c>
      <c r="F45" s="27" t="n">
        <v>3817130.8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2007853.1</v>
      </c>
      <c r="C47" s="18" t="n">
        <v>2735751</v>
      </c>
      <c r="D47" s="18" t="n">
        <v>3104899.7</v>
      </c>
      <c r="E47" s="18" t="n">
        <v>3275108.5</v>
      </c>
      <c r="F47" s="18" t="n">
        <v>3735759.8</v>
      </c>
    </row>
    <row r="48">
      <c r="A48" s="17" t="inlineStr">
        <is>
          <t>Goodwill</t>
        </is>
      </c>
      <c r="B48" s="18" t="n">
        <v>5379.2</v>
      </c>
      <c r="C48" s="18" t="n">
        <v>5791.8</v>
      </c>
      <c r="D48" s="18" t="n">
        <v>5796.4</v>
      </c>
      <c r="E48" s="18" t="n">
        <v>6070.9</v>
      </c>
      <c r="F48" s="18" t="n">
        <v>5891.1</v>
      </c>
    </row>
    <row r="49">
      <c r="A49" s="17" t="inlineStr">
        <is>
          <t>Intangible Assets</t>
        </is>
      </c>
      <c r="B49" s="18" t="n">
        <v>21442.5</v>
      </c>
      <c r="C49" s="18" t="n">
        <v>20207.4</v>
      </c>
      <c r="D49" s="18" t="n">
        <v>16970.3</v>
      </c>
      <c r="E49" s="18" t="n">
        <v>20211.6</v>
      </c>
      <c r="F49" s="18" t="n">
        <v>19061.5</v>
      </c>
    </row>
    <row r="50">
      <c r="A50" s="17" t="inlineStr">
        <is>
          <t>Long-Term Investments</t>
        </is>
      </c>
      <c r="B50" s="18" t="n">
        <v>29183.5</v>
      </c>
      <c r="C50" s="18" t="n">
        <v>68608.10000000001</v>
      </c>
      <c r="D50" s="18" t="n">
        <v>129267.6</v>
      </c>
      <c r="E50" s="18" t="n">
        <v>148867</v>
      </c>
      <c r="F50" s="18" t="n">
        <v>172189</v>
      </c>
    </row>
    <row r="51">
      <c r="A51" s="17" t="inlineStr">
        <is>
          <t>Tax Assets (Deferred)</t>
        </is>
      </c>
      <c r="B51" s="18" t="n">
        <v>49153.9</v>
      </c>
      <c r="C51" s="18" t="n">
        <v>69185.89999999999</v>
      </c>
      <c r="D51" s="18" t="n">
        <v>64175.8</v>
      </c>
      <c r="E51" s="18" t="n">
        <v>65943.3</v>
      </c>
      <c r="F51" s="18" t="n">
        <v>62940.3</v>
      </c>
    </row>
    <row r="52">
      <c r="A52" s="17" t="inlineStr">
        <is>
          <t>Total Investments</t>
        </is>
      </c>
      <c r="B52" s="18" t="n">
        <v>169107</v>
      </c>
      <c r="C52" s="18" t="n">
        <v>312294.1</v>
      </c>
      <c r="D52" s="18" t="n">
        <v>378643</v>
      </c>
      <c r="E52" s="18" t="n">
        <v>506387</v>
      </c>
      <c r="F52" s="18" t="n">
        <v>532630.3</v>
      </c>
    </row>
    <row r="53">
      <c r="A53" s="17" t="inlineStr">
        <is>
          <t>Other Non-Current Assets</t>
        </is>
      </c>
      <c r="B53" s="18" t="n">
        <v>5217.1</v>
      </c>
      <c r="C53" s="18" t="n">
        <v>12018.2</v>
      </c>
      <c r="D53" s="18" t="n">
        <v>17053.9</v>
      </c>
      <c r="E53" s="18" t="n">
        <v>87211.3</v>
      </c>
      <c r="F53" s="18" t="n">
        <v>119870</v>
      </c>
    </row>
    <row r="54">
      <c r="A54" s="26" t="inlineStr">
        <is>
          <t>Total Non-Current Assets</t>
        </is>
      </c>
      <c r="B54" s="27" t="n">
        <v>2118229.3</v>
      </c>
      <c r="C54" s="27" t="n">
        <v>2911562.4</v>
      </c>
      <c r="D54" s="27" t="n">
        <v>3338163.7</v>
      </c>
      <c r="E54" s="27" t="n">
        <v>3603412.6</v>
      </c>
      <c r="F54" s="27" t="n">
        <v>4115711.7</v>
      </c>
    </row>
    <row r="55">
      <c r="A55" s="13" t="inlineStr">
        <is>
          <t>TOTAL ASSETS</t>
        </is>
      </c>
      <c r="B55" s="30" t="n">
        <v>3725302.2</v>
      </c>
      <c r="C55" s="30" t="n">
        <v>4964459.1</v>
      </c>
      <c r="D55" s="30" t="n">
        <v>5532196.6</v>
      </c>
      <c r="E55" s="30" t="n">
        <v>6691764.7</v>
      </c>
      <c r="F55" s="30" t="n">
        <v>7932842.5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193027.8</v>
      </c>
      <c r="C57" s="18" t="n">
        <v>268379.3</v>
      </c>
      <c r="D57" s="18" t="n">
        <v>227211.4</v>
      </c>
      <c r="E57" s="18" t="n">
        <v>265435.8</v>
      </c>
      <c r="F57" s="18" t="n">
        <v>260281.9</v>
      </c>
    </row>
    <row r="58">
      <c r="A58" s="17" t="inlineStr">
        <is>
          <t>Short-Term Debt</t>
        </is>
      </c>
      <c r="B58" s="18" t="n">
        <v>119488</v>
      </c>
      <c r="C58" s="18" t="n">
        <v>19313.9</v>
      </c>
      <c r="D58" s="18" t="n">
        <v>9293.299999999999</v>
      </c>
      <c r="E58" s="18" t="n">
        <v>59857.9</v>
      </c>
      <c r="F58" s="18" t="n">
        <v>136925.7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37216.2</v>
      </c>
      <c r="C61" s="18" t="n">
        <v>61865.6</v>
      </c>
      <c r="D61" s="18" t="n">
        <v>78172.5</v>
      </c>
      <c r="E61" s="18" t="n">
        <v>71337.7</v>
      </c>
      <c r="F61" s="18" t="n">
        <v>106440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758352.8</v>
      </c>
      <c r="C63" s="27" t="n">
        <v>986563.6</v>
      </c>
      <c r="D63" s="27" t="n">
        <v>942805.1</v>
      </c>
      <c r="E63" s="27" t="n">
        <v>1308655.9</v>
      </c>
      <c r="F63" s="27" t="n">
        <v>1522414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613379.7</v>
      </c>
      <c r="C65" s="18" t="n">
        <v>839096.4</v>
      </c>
      <c r="D65" s="18" t="n">
        <v>918282.8</v>
      </c>
      <c r="E65" s="18" t="n">
        <v>958428.9</v>
      </c>
      <c r="F65" s="18" t="n">
        <v>896062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1873.9</v>
      </c>
      <c r="C68" s="18" t="n">
        <v>1031.4</v>
      </c>
      <c r="D68" s="18" t="n">
        <v>53.8</v>
      </c>
      <c r="E68" s="18" t="n">
        <v>3988.5</v>
      </c>
      <c r="F68" s="18" t="n">
        <v>3888.8</v>
      </c>
    </row>
    <row r="69">
      <c r="A69" s="17" t="inlineStr">
        <is>
          <t>Other Non-Current Liabilities</t>
        </is>
      </c>
      <c r="B69" s="18" t="n">
        <v>179249.1</v>
      </c>
      <c r="C69" s="18" t="n">
        <v>190171.2</v>
      </c>
      <c r="D69" s="18" t="n">
        <v>188506.6</v>
      </c>
      <c r="E69" s="18" t="n">
        <v>112664.5</v>
      </c>
      <c r="F69" s="18" t="n">
        <v>82663.5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1573619.7</v>
      </c>
      <c r="C71" s="30" t="n">
        <v>2046626.7</v>
      </c>
      <c r="D71" s="30" t="n">
        <v>2078330.1</v>
      </c>
      <c r="E71" s="30" t="n">
        <v>2412493.1</v>
      </c>
      <c r="F71" s="30" t="n">
        <v>2536623.3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259303.8</v>
      </c>
      <c r="C73" s="18" t="n">
        <v>259303.8</v>
      </c>
      <c r="D73" s="18" t="n">
        <v>259320.7</v>
      </c>
      <c r="E73" s="18" t="n">
        <v>259327.3</v>
      </c>
      <c r="F73" s="18" t="n">
        <v>259325.3</v>
      </c>
    </row>
    <row r="74">
      <c r="A74" s="17" t="inlineStr">
        <is>
          <t>Retained Earnings</t>
        </is>
      </c>
      <c r="B74" s="18" t="n">
        <v>1887802.9</v>
      </c>
      <c r="C74" s="18" t="n">
        <v>2594891.2</v>
      </c>
      <c r="D74" s="18" t="n">
        <v>3128639.6</v>
      </c>
      <c r="E74" s="18" t="n">
        <v>3872973.4</v>
      </c>
      <c r="F74" s="18" t="n">
        <v>5038944.2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2422.7</v>
      </c>
      <c r="C77" s="18" t="n">
        <v>14812.7</v>
      </c>
      <c r="D77" s="18" t="n">
        <v>24344.1</v>
      </c>
      <c r="E77" s="18" t="n">
        <v>35005.1</v>
      </c>
      <c r="F77" s="18" t="n">
        <v>41180.5</v>
      </c>
    </row>
    <row r="78">
      <c r="A78" s="26" t="inlineStr">
        <is>
          <t>Total Equity (inc. Minority)</t>
        </is>
      </c>
      <c r="B78" s="27" t="n">
        <v>2151682.5</v>
      </c>
      <c r="C78" s="27" t="n">
        <v>2917832.4</v>
      </c>
      <c r="D78" s="27" t="n">
        <v>3453866.5</v>
      </c>
      <c r="E78" s="27" t="n">
        <v>4279271.6</v>
      </c>
      <c r="F78" s="27" t="n">
        <v>5396219.2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1112160.72</v>
      </c>
      <c r="C5" s="24" t="n">
        <v>1610599.19</v>
      </c>
      <c r="D5" s="24" t="n">
        <v>1241967.3</v>
      </c>
      <c r="E5" s="24" t="n">
        <v>1826177</v>
      </c>
      <c r="F5" s="24" t="n">
        <v>2383175.56</v>
      </c>
    </row>
    <row r="6">
      <c r="A6" s="17" t="inlineStr">
        <is>
          <t>(2)  Capital Expenditures</t>
        </is>
      </c>
      <c r="B6" s="18" t="n">
        <v>-849436.46</v>
      </c>
      <c r="C6" s="18" t="n">
        <v>-1089626.46</v>
      </c>
      <c r="D6" s="18" t="n">
        <v>-955398.4</v>
      </c>
      <c r="E6" s="18" t="n">
        <v>-956007</v>
      </c>
      <c r="F6" s="18" t="n">
        <v>-1285591.56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397185.9</v>
      </c>
      <c r="C9" s="18" t="n">
        <v>82008.60000000001</v>
      </c>
      <c r="D9" s="18" t="n">
        <v>93347.39999999999</v>
      </c>
      <c r="E9" s="18" t="n">
        <v>29405</v>
      </c>
      <c r="F9" s="18" t="n">
        <v>41296.39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-265786.4</v>
      </c>
      <c r="C12" s="18" t="n">
        <v>-285234.18</v>
      </c>
      <c r="D12" s="18" t="n">
        <v>-291721.85</v>
      </c>
      <c r="E12" s="18" t="n">
        <v>-363055</v>
      </c>
      <c r="F12" s="18" t="n">
        <v>-471614.24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262724.26</v>
      </c>
      <c r="C15" s="24" t="n">
        <v>520972.73</v>
      </c>
      <c r="D15" s="24" t="n">
        <v>286568.9</v>
      </c>
      <c r="E15" s="24" t="n">
        <v>870170</v>
      </c>
      <c r="F15" s="24" t="n">
        <v>1097584.01</v>
      </c>
    </row>
    <row r="16">
      <c r="A16" s="15" t="inlineStr">
        <is>
          <t xml:space="preserve">     Net Change in Cash</t>
        </is>
      </c>
      <c r="B16" s="16" t="n">
        <v>404819.55</v>
      </c>
      <c r="C16" s="16" t="n">
        <v>277823.89</v>
      </c>
      <c r="D16" s="16" t="n">
        <v>122613.67</v>
      </c>
      <c r="E16" s="16" t="n">
        <v>662199.25</v>
      </c>
      <c r="F16" s="16" t="n">
        <v>726696.3199999999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663126.3100000001</v>
      </c>
      <c r="C21" s="18" t="n">
        <v>1144190.72</v>
      </c>
      <c r="D21" s="18" t="n">
        <v>838497.66</v>
      </c>
      <c r="E21" s="18" t="n">
        <v>1173268</v>
      </c>
      <c r="F21" s="18" t="n">
        <v>1735678.08</v>
      </c>
    </row>
    <row r="22">
      <c r="A22" s="17" t="inlineStr">
        <is>
          <t>Depreciation &amp; Amortisation</t>
        </is>
      </c>
      <c r="B22" s="18" t="n">
        <v>422394.87</v>
      </c>
      <c r="C22" s="18" t="n">
        <v>437254.27</v>
      </c>
      <c r="D22" s="18" t="n">
        <v>532190.92</v>
      </c>
      <c r="E22" s="18" t="n">
        <v>662796</v>
      </c>
      <c r="F22" s="18" t="n">
        <v>695223.8</v>
      </c>
    </row>
    <row r="23">
      <c r="A23" s="17" t="inlineStr">
        <is>
          <t>Deferred Income Tax</t>
        </is>
      </c>
      <c r="B23" s="18" t="n">
        <v>-105125.9</v>
      </c>
      <c r="C23" s="18" t="n">
        <v>0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7.8</v>
      </c>
      <c r="C24" s="18" t="n">
        <v>302.4</v>
      </c>
      <c r="D24" s="18" t="n">
        <v>544.38</v>
      </c>
      <c r="E24" s="18" t="n">
        <v>1646.2</v>
      </c>
      <c r="F24" s="18" t="n">
        <v>0</v>
      </c>
    </row>
    <row r="25">
      <c r="A25" s="17" t="inlineStr">
        <is>
          <t>Change in Working Capital</t>
        </is>
      </c>
      <c r="B25" s="18" t="n">
        <v>132466.42</v>
      </c>
      <c r="C25" s="18" t="n">
        <v>122508.6</v>
      </c>
      <c r="D25" s="18" t="n">
        <v>-56852</v>
      </c>
      <c r="E25" s="18" t="n">
        <v>13350.9</v>
      </c>
      <c r="F25" s="18" t="n">
        <v>-183611.48</v>
      </c>
    </row>
    <row r="26">
      <c r="A26" s="21" t="inlineStr">
        <is>
          <t xml:space="preserve">  — Accounts Receivable</t>
        </is>
      </c>
      <c r="B26" s="18" t="n">
        <v>177059.19</v>
      </c>
      <c r="C26" s="18" t="n">
        <v>-32169.9</v>
      </c>
      <c r="D26" s="18" t="n">
        <v>29398.6</v>
      </c>
      <c r="E26" s="18" t="n">
        <v>-70077.8</v>
      </c>
      <c r="F26" s="18" t="n">
        <v>0</v>
      </c>
    </row>
    <row r="27">
      <c r="A27" s="21" t="inlineStr">
        <is>
          <t xml:space="preserve">  — Inventory</t>
        </is>
      </c>
      <c r="B27" s="18" t="n">
        <v>-55748.91</v>
      </c>
      <c r="C27" s="18" t="n">
        <v>-28046.83</v>
      </c>
      <c r="D27" s="18" t="n">
        <v>-29847.94</v>
      </c>
      <c r="E27" s="18" t="n">
        <v>-36871.7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8298.32</v>
      </c>
      <c r="C28" s="18" t="n">
        <v>7594.1</v>
      </c>
      <c r="D28" s="18" t="n">
        <v>770.71</v>
      </c>
      <c r="E28" s="18" t="n">
        <v>17073.8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2857.82</v>
      </c>
      <c r="C29" s="18" t="n">
        <v>175131.22</v>
      </c>
      <c r="D29" s="18" t="n">
        <v>-57173.37</v>
      </c>
      <c r="E29" s="18" t="n">
        <v>103226.6</v>
      </c>
      <c r="F29" s="18" t="n">
        <v>-183611.48</v>
      </c>
    </row>
    <row r="30">
      <c r="A30" s="17" t="inlineStr">
        <is>
          <t>Other Non-Cash Items</t>
        </is>
      </c>
      <c r="B30" s="18" t="n">
        <v>-708.78</v>
      </c>
      <c r="C30" s="18" t="n">
        <v>-93656.8</v>
      </c>
      <c r="D30" s="18" t="n">
        <v>-72413.66</v>
      </c>
      <c r="E30" s="18" t="n">
        <v>-24884.1</v>
      </c>
      <c r="F30" s="18" t="n">
        <v>135885.17</v>
      </c>
    </row>
    <row r="31">
      <c r="A31" s="26" t="inlineStr">
        <is>
          <t>Net Cash from Operations (CFO)</t>
        </is>
      </c>
      <c r="B31" s="27" t="n">
        <v>1112160.72</v>
      </c>
      <c r="C31" s="27" t="n">
        <v>1610599.19</v>
      </c>
      <c r="D31" s="27" t="n">
        <v>1241967.3</v>
      </c>
      <c r="E31" s="27" t="n">
        <v>1826177</v>
      </c>
      <c r="F31" s="27" t="n">
        <v>2383175.56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-849436.46</v>
      </c>
      <c r="C33" s="18" t="n">
        <v>-1089626.46</v>
      </c>
      <c r="D33" s="18" t="n">
        <v>-955398.4</v>
      </c>
      <c r="E33" s="18" t="n">
        <v>-956007</v>
      </c>
      <c r="F33" s="18" t="n">
        <v>-1285591.56</v>
      </c>
    </row>
    <row r="34">
      <c r="A34" s="21" t="inlineStr">
        <is>
          <t xml:space="preserve">  (Alt: Invest. in PP&amp;E)</t>
        </is>
      </c>
      <c r="B34" s="18" t="n">
        <v>-849436.46</v>
      </c>
      <c r="C34" s="18" t="n">
        <v>-1089626.46</v>
      </c>
      <c r="D34" s="18" t="n">
        <v>-949816.8199999999</v>
      </c>
      <c r="E34" s="18" t="n">
        <v>-956006.54</v>
      </c>
      <c r="F34" s="18" t="n">
        <v>-1285591.56</v>
      </c>
    </row>
    <row r="35">
      <c r="A35" s="17" t="inlineStr">
        <is>
          <t>Acquisitions (Net)</t>
        </is>
      </c>
      <c r="B35" s="18" t="n">
        <v>-160.7</v>
      </c>
      <c r="C35" s="18" t="n">
        <v>17246.91</v>
      </c>
      <c r="D35" s="18" t="n">
        <v>11752.68</v>
      </c>
      <c r="E35" s="18" t="n">
        <v>-3738.8</v>
      </c>
      <c r="F35" s="18" t="n">
        <v>805.26</v>
      </c>
    </row>
    <row r="36">
      <c r="A36" s="17" t="inlineStr">
        <is>
          <t>Purchases of Investments</t>
        </is>
      </c>
      <c r="B36" s="18" t="n">
        <v>-259688.42</v>
      </c>
      <c r="C36" s="18" t="n">
        <v>-237818.18</v>
      </c>
      <c r="D36" s="18" t="n">
        <v>-226281.97</v>
      </c>
      <c r="E36" s="18" t="n">
        <v>-240622.7</v>
      </c>
      <c r="F36" s="18" t="n">
        <v>-258017.33</v>
      </c>
    </row>
    <row r="37">
      <c r="A37" s="17" t="inlineStr">
        <is>
          <t>Sales / Maturities of Investments</t>
        </is>
      </c>
      <c r="B37" s="18" t="n">
        <v>264364.7</v>
      </c>
      <c r="C37" s="18" t="n">
        <v>108980.41</v>
      </c>
      <c r="D37" s="18" t="n">
        <v>170500.6</v>
      </c>
      <c r="E37" s="18" t="n">
        <v>186479.6</v>
      </c>
      <c r="F37" s="18" t="n">
        <v>220516.85</v>
      </c>
    </row>
    <row r="38">
      <c r="A38" s="17" t="inlineStr">
        <is>
          <t>Other Investing Activities</t>
        </is>
      </c>
      <c r="B38" s="18" t="n">
        <v>8555.01</v>
      </c>
      <c r="C38" s="18" t="n">
        <v>10289.09</v>
      </c>
      <c r="D38" s="18" t="n">
        <v>87724.91</v>
      </c>
      <c r="E38" s="18" t="n">
        <v>149045.64</v>
      </c>
      <c r="F38" s="18" t="n">
        <v>62077.45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397185.9</v>
      </c>
      <c r="C41" s="18" t="n">
        <v>82008.60000000001</v>
      </c>
      <c r="D41" s="18" t="n">
        <v>93347.39999999999</v>
      </c>
      <c r="E41" s="18" t="n">
        <v>29405</v>
      </c>
      <c r="F41" s="18" t="n">
        <v>41296.39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-871.5700000000001</v>
      </c>
      <c r="D44" s="18" t="n">
        <v>0</v>
      </c>
      <c r="E44" s="18" t="n">
        <v>-3089.18</v>
      </c>
      <c r="F44" s="18" t="n">
        <v>0</v>
      </c>
    </row>
    <row r="45">
      <c r="A45" s="17" t="inlineStr">
        <is>
          <t>Dividends Paid</t>
        </is>
      </c>
      <c r="B45" s="18" t="n">
        <v>-265786.4</v>
      </c>
      <c r="C45" s="18" t="n">
        <v>-285234.18</v>
      </c>
      <c r="D45" s="18" t="n">
        <v>-291721.85</v>
      </c>
      <c r="E45" s="18" t="n">
        <v>-363055</v>
      </c>
      <c r="F45" s="18" t="n">
        <v>-471614.24</v>
      </c>
    </row>
    <row r="46">
      <c r="A46" s="17" t="inlineStr">
        <is>
          <t>Other Financing Activities</t>
        </is>
      </c>
      <c r="B46" s="18" t="n">
        <v>5208.94</v>
      </c>
      <c r="C46" s="18" t="n">
        <v>3853.15</v>
      </c>
      <c r="D46" s="18" t="n">
        <v>-6519.75</v>
      </c>
      <c r="E46" s="18" t="n">
        <v>-9561.799999999999</v>
      </c>
      <c r="F46" s="18" t="n">
        <v>4738.58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-7583.75</v>
      </c>
      <c r="C49" s="18" t="n">
        <v>58396.97</v>
      </c>
      <c r="D49" s="18" t="n">
        <v>-8338.799999999999</v>
      </c>
      <c r="E49" s="18" t="n">
        <v>47165.9</v>
      </c>
      <c r="F49" s="18" t="n">
        <v>29309.34</v>
      </c>
    </row>
    <row r="50">
      <c r="A50" s="15" t="inlineStr">
        <is>
          <t>Net Change in Cash</t>
        </is>
      </c>
      <c r="B50" s="16" t="n">
        <v>404819.55</v>
      </c>
      <c r="C50" s="16" t="n">
        <v>277823.89</v>
      </c>
      <c r="D50" s="16" t="n">
        <v>122613.67</v>
      </c>
      <c r="E50" s="16" t="n">
        <v>662199.25</v>
      </c>
      <c r="F50" s="16" t="n">
        <v>726696.3199999999</v>
      </c>
    </row>
    <row r="51">
      <c r="A51" s="17" t="inlineStr">
        <is>
          <t>Cash at Beginning of Period</t>
        </is>
      </c>
      <c r="B51" s="18" t="n">
        <v>660170.65</v>
      </c>
      <c r="C51" s="18" t="n">
        <v>1064990.19</v>
      </c>
      <c r="D51" s="18" t="n">
        <v>1342814.08</v>
      </c>
      <c r="E51" s="18" t="n">
        <v>1465428</v>
      </c>
      <c r="F51" s="18" t="n">
        <v>2033363.65</v>
      </c>
    </row>
    <row r="52">
      <c r="A52" s="26" t="inlineStr">
        <is>
          <t>Cash at End of Period</t>
        </is>
      </c>
      <c r="B52" s="27" t="n">
        <v>1064990.2</v>
      </c>
      <c r="C52" s="27" t="n">
        <v>1342814.08</v>
      </c>
      <c r="D52" s="27" t="n">
        <v>1465427.75</v>
      </c>
      <c r="E52" s="27" t="n">
        <v>2127627</v>
      </c>
      <c r="F52" s="27" t="n">
        <v>2760059.97</v>
      </c>
    </row>
    <row r="53">
      <c r="A53" s="26" t="inlineStr">
        <is>
          <t>Free Cash Flow</t>
        </is>
      </c>
      <c r="B53" s="27" t="n">
        <v>262724.26</v>
      </c>
      <c r="C53" s="27" t="n">
        <v>520972.73</v>
      </c>
      <c r="D53" s="27" t="n">
        <v>286568.9</v>
      </c>
      <c r="E53" s="27" t="n">
        <v>870170</v>
      </c>
      <c r="F53" s="27" t="n">
        <v>1097584.01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5186.08</v>
      </c>
      <c r="C61" s="18" t="n">
        <v>5185.88</v>
      </c>
      <c r="D61" s="18" t="n">
        <v>5185.85</v>
      </c>
      <c r="E61" s="18" t="n">
        <v>5185.51</v>
      </c>
      <c r="F61" s="18" t="n">
        <v>5186.2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536500.8</v>
      </c>
      <c r="C5" s="18" t="n">
        <v>379846.4</v>
      </c>
      <c r="D5" s="18" t="n">
        <v>279217.7</v>
      </c>
      <c r="E5" s="18" t="n">
        <v>272035.4</v>
      </c>
      <c r="F5" s="18" t="n">
        <v>182114.7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2098042.98</v>
      </c>
      <c r="C5" s="44" t="inlineStr">
        <is>
          <t>FMP marketCap  |  price $404.52</t>
        </is>
      </c>
    </row>
    <row r="6">
      <c r="A6" s="17" t="inlineStr">
        <is>
          <t>Debt  (gross book value, $mm)</t>
        </is>
      </c>
      <c r="B6" s="43" t="n">
        <v>1032987.7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1.264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1.177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0.49x,  t = 16.0%)</t>
        </is>
      </c>
      <c r="B19" s="50" t="n">
        <v>1.626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2.19</v>
      </c>
      <c r="C20" s="44" t="inlineStr">
        <is>
          <t xml:space="preserve">AMD: 2.399  |  INTC: 2.19  |  QCOM: 1.493  |  AVGO: </t>
        </is>
      </c>
    </row>
    <row r="21">
      <c r="A21" s="47" t="inlineStr">
        <is>
          <t>► Selected beta  (user override)</t>
        </is>
      </c>
      <c r="B21" s="51" t="n">
        <v>1.564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AA-</t>
        </is>
      </c>
      <c r="C32" s="44" t="inlineStr">
        <is>
          <t>User input</t>
        </is>
      </c>
    </row>
    <row r="33">
      <c r="A33" s="17" t="inlineStr">
        <is>
          <t>FRED matched yield  (rating-tier index)</t>
        </is>
      </c>
      <c r="B33" s="46" t="n">
        <v>0.0496</v>
      </c>
      <c r="C33" s="44" t="inlineStr">
        <is>
          <t>FRED BAMLC0A2CAAEY — AA</t>
        </is>
      </c>
    </row>
    <row r="34">
      <c r="A34" s="17" t="inlineStr">
        <is>
          <t>Interest Coverage Ratio  (EBIT / Gross Int Exp)</t>
        </is>
      </c>
      <c r="B34" s="53" t="n"/>
      <c r="C34" s="44" t="inlineStr">
        <is>
          <t>EBIT $1955696mm  /  Int Exp $0mm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999.0x  →  AAA</t>
        </is>
      </c>
    </row>
    <row r="36">
      <c r="A36" s="17" t="inlineStr">
        <is>
          <t>Synthetic Rd  (Rf + Damodaran default spread)</t>
        </is>
      </c>
      <c r="B36" s="46" t="n">
        <v>0.051</v>
      </c>
      <c r="C36" s="44" t="inlineStr">
        <is>
          <t>Rf 4.56% + spread 0.54%</t>
        </is>
      </c>
    </row>
    <row r="37">
      <c r="A37" s="17" t="inlineStr">
        <is>
          <t>Accounting Rd  (Gross int exp / Avg gross debt)</t>
        </is>
      </c>
      <c r="B37" s="46" t="n">
        <v>0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$94335mm  (int inc $94335mm &gt; int exp $0mm)</t>
        </is>
      </c>
      <c r="B38" s="53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0.0335</v>
      </c>
      <c r="C39" s="49" t="inlineStr">
        <is>
          <t>Default = average of 3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0.1598</v>
      </c>
      <c r="C42" s="44" t="inlineStr">
        <is>
          <t>FMP: $329646mm  /  $2062812mm</t>
        </is>
      </c>
    </row>
    <row r="43">
      <c r="A43" s="47" t="inlineStr">
        <is>
          <t>► Selected tax rate  (user override)</t>
        </is>
      </c>
      <c r="B43" s="48" t="n">
        <v>0.1598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4" t="inlineStr">
        <is>
          <t>WACC  =  MAX(8.5%, (E/V × Re) + (D/V × Rd × (1 − t)))</t>
        </is>
      </c>
      <c r="B46" s="55">
        <f>MAX(0.085, B8*B29+B9*B39*(1-B43))</f>
        <v/>
      </c>
      <c r="C46" s="56" t="inlineStr">
        <is>
          <t>Floored 8.5% (D-001); raw formula below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7" t="inlineStr">
        <is>
          <t>Beta offset  \  ERP offset →</t>
        </is>
      </c>
      <c r="B49" s="57" t="inlineStr">
        <is>
          <t>-1.0%</t>
        </is>
      </c>
      <c r="C49" s="57" t="inlineStr">
        <is>
          <t>-0.5%</t>
        </is>
      </c>
      <c r="D49" s="57" t="inlineStr">
        <is>
          <t>Base ERP</t>
        </is>
      </c>
      <c r="E49" s="57" t="inlineStr">
        <is>
          <t>+0.5%</t>
        </is>
      </c>
      <c r="F49" s="57" t="inlineStr">
        <is>
          <t>+1.0%</t>
        </is>
      </c>
    </row>
    <row r="50">
      <c r="A50" s="58" t="inlineStr">
        <is>
          <t>-1.0</t>
        </is>
      </c>
      <c r="B50" s="59">
        <f>B8*(B13+(B21+(-1.0))*(B26+(-0.01)))+B9*B39*(1-B43)</f>
        <v/>
      </c>
      <c r="C50" s="59">
        <f>B8*(B13+(B21+(-1.0))*(B26+(-0.005)))+B9*B39*(1-B43)</f>
        <v/>
      </c>
      <c r="D50" s="59">
        <f>B8*(B13+(B21+(-1.0))*(B26+(0.0)))+B9*B39*(1-B43)</f>
        <v/>
      </c>
      <c r="E50" s="59">
        <f>B8*(B13+(B21+(-1.0))*(B26+(0.005)))+B9*B39*(1-B43)</f>
        <v/>
      </c>
      <c r="F50" s="59">
        <f>B8*(B13+(B21+(-1.0))*(B26+(0.01)))+B9*B39*(1-B43)</f>
        <v/>
      </c>
    </row>
    <row r="51">
      <c r="A51" s="58" t="inlineStr">
        <is>
          <t>-0.5</t>
        </is>
      </c>
      <c r="B51" s="59">
        <f>B8*(B13+(B21+(-0.5))*(B26+(-0.01)))+B9*B39*(1-B43)</f>
        <v/>
      </c>
      <c r="C51" s="59">
        <f>B8*(B13+(B21+(-0.5))*(B26+(-0.005)))+B9*B39*(1-B43)</f>
        <v/>
      </c>
      <c r="D51" s="59">
        <f>B8*(B13+(B21+(-0.5))*(B26+(0.0)))+B9*B39*(1-B43)</f>
        <v/>
      </c>
      <c r="E51" s="59">
        <f>B8*(B13+(B21+(-0.5))*(B26+(0.005)))+B9*B39*(1-B43)</f>
        <v/>
      </c>
      <c r="F51" s="59">
        <f>B8*(B13+(B21+(-0.5))*(B26+(0.01)))+B9*B39*(1-B43)</f>
        <v/>
      </c>
    </row>
    <row r="52">
      <c r="A52" s="60" t="inlineStr">
        <is>
          <t>Base β</t>
        </is>
      </c>
      <c r="B52" s="61">
        <f>B8*(B13+(B21+(0.0))*(B26+(-0.01)))+B9*B39*(1-B43)</f>
        <v/>
      </c>
      <c r="C52" s="61">
        <f>B8*(B13+(B21+(0.0))*(B26+(-0.005)))+B9*B39*(1-B43)</f>
        <v/>
      </c>
      <c r="D52" s="62">
        <f>B8*(B13+(B21+(0.0))*(B26+(0.0)))+B9*B39*(1-B43)</f>
        <v/>
      </c>
      <c r="E52" s="61">
        <f>B8*(B13+(B21+(0.0))*(B26+(0.005)))+B9*B39*(1-B43)</f>
        <v/>
      </c>
      <c r="F52" s="61">
        <f>B8*(B13+(B21+(0.0))*(B26+(0.01)))+B9*B39*(1-B43)</f>
        <v/>
      </c>
    </row>
    <row r="53">
      <c r="A53" s="58" t="inlineStr">
        <is>
          <t>+0.5</t>
        </is>
      </c>
      <c r="B53" s="59">
        <f>B8*(B13+(B21+(0.5))*(B26+(-0.01)))+B9*B39*(1-B43)</f>
        <v/>
      </c>
      <c r="C53" s="59">
        <f>B8*(B13+(B21+(0.5))*(B26+(-0.005)))+B9*B39*(1-B43)</f>
        <v/>
      </c>
      <c r="D53" s="59">
        <f>B8*(B13+(B21+(0.5))*(B26+(0.0)))+B9*B39*(1-B43)</f>
        <v/>
      </c>
      <c r="E53" s="59">
        <f>B8*(B13+(B21+(0.5))*(B26+(0.005)))+B9*B39*(1-B43)</f>
        <v/>
      </c>
      <c r="F53" s="59">
        <f>B8*(B13+(B21+(0.5))*(B26+(0.01)))+B9*B39*(1-B43)</f>
        <v/>
      </c>
    </row>
    <row r="54">
      <c r="A54" s="58" t="inlineStr">
        <is>
          <t>+1.0</t>
        </is>
      </c>
      <c r="B54" s="59">
        <f>B8*(B13+(B21+(1.0))*(B26+(-0.01)))+B9*B39*(1-B43)</f>
        <v/>
      </c>
      <c r="C54" s="59">
        <f>B8*(B13+(B21+(1.0))*(B26+(-0.005)))+B9*B39*(1-B43)</f>
        <v/>
      </c>
      <c r="D54" s="59">
        <f>B8*(B13+(B21+(1.0))*(B26+(0.0)))+B9*B39*(1-B43)</f>
        <v/>
      </c>
      <c r="E54" s="59">
        <f>B8*(B13+(B21+(1.0))*(B26+(0.005)))+B9*B39*(1-B43)</f>
        <v/>
      </c>
      <c r="F54" s="59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2029E  (4 years)   |   User estimates required from: 2030E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0.3665</v>
      </c>
      <c r="H7" s="72" t="n">
        <v>0.2718</v>
      </c>
      <c r="I7" s="72" t="n">
        <v>0.2307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0.6993</v>
      </c>
      <c r="H8" s="72" t="n">
        <v>0.6993</v>
      </c>
      <c r="I8" s="72" t="n">
        <v>0.6993</v>
      </c>
      <c r="J8" s="73">
        <f>I8</f>
        <v/>
      </c>
      <c r="K8" s="73">
        <f>I8</f>
        <v/>
      </c>
      <c r="L8" s="74" t="n">
        <v>0.7151999999999999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5258968.2</v>
      </c>
      <c r="H15" s="78" t="n">
        <v>6688211.7</v>
      </c>
      <c r="I15" s="78" t="n">
        <v>8231278.2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5,036,378 — 5,457,837</t>
        </is>
      </c>
      <c r="H16" s="83" t="inlineStr">
        <is>
          <t>6,391,502 — 7,231,690</t>
        </is>
      </c>
      <c r="I16" s="83" t="inlineStr">
        <is>
          <t>7,138,800 — 8,729,618</t>
        </is>
      </c>
      <c r="J16" s="83" t="inlineStr">
        <is>
          <t>6,870,512 — 8,401,545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21</v>
      </c>
      <c r="H17" s="86" t="n">
        <v>21</v>
      </c>
      <c r="I17" s="86" t="n">
        <v>18</v>
      </c>
      <c r="J17" s="86" t="n">
        <v>10</v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89">
        <f>IFERROR(J15/I15-1,"")</f>
        <v/>
      </c>
      <c r="K18" s="90">
        <f>IFERROR(K15/J15-1,"")</f>
        <v/>
      </c>
      <c r="L18" s="91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3677719.8</v>
      </c>
      <c r="H20" s="78" t="n">
        <v>4677223.3</v>
      </c>
      <c r="I20" s="78" t="n">
        <v>5756326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3,522,058 — 3,816,793</t>
        </is>
      </c>
      <c r="H21" s="83" t="inlineStr">
        <is>
          <t>4,469,727 — 5,057,290</t>
        </is>
      </c>
      <c r="I21" s="83" t="inlineStr">
        <is>
          <t>4,992,330 — 6,104,827</t>
        </is>
      </c>
      <c r="J21" s="83" t="inlineStr">
        <is>
          <t>4,804,710 — 5,875,398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89">
        <f>IFERROR(J20/J15,"")</f>
        <v/>
      </c>
      <c r="K22" s="90">
        <f>IFERROR(K20/K15,"")</f>
        <v/>
      </c>
      <c r="L22" s="91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3">
        <f>-G15*G9</f>
        <v/>
      </c>
      <c r="H25" s="93">
        <f>-H15*H9</f>
        <v/>
      </c>
      <c r="I25" s="93">
        <f>-I15*I9</f>
        <v/>
      </c>
      <c r="J25" s="93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4">
        <f>B20+B25</f>
        <v/>
      </c>
      <c r="C26" s="94">
        <f>C20+C25</f>
        <v/>
      </c>
      <c r="D26" s="94">
        <f>D20+D25</f>
        <v/>
      </c>
      <c r="E26" s="94">
        <f>E20+E25</f>
        <v/>
      </c>
      <c r="F26" s="94">
        <f>F20+F25</f>
        <v/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1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>
        <f>-B26*B12</f>
        <v/>
      </c>
      <c r="C27" s="96">
        <f>-C26*C12</f>
        <v/>
      </c>
      <c r="D27" s="96">
        <f>-D26*D12</f>
        <v/>
      </c>
      <c r="E27" s="96">
        <f>-E26*E12</f>
        <v/>
      </c>
      <c r="F27" s="96">
        <f>-F26*F12</f>
        <v/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4">
        <f>B26+B27</f>
        <v/>
      </c>
      <c r="C28" s="94">
        <f>C26+C27</f>
        <v/>
      </c>
      <c r="D28" s="94">
        <f>D26+D27</f>
        <v/>
      </c>
      <c r="E28" s="94">
        <f>E26+E27</f>
        <v/>
      </c>
      <c r="F28" s="94">
        <f>F26+F27</f>
        <v/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1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>
        <f>-B25</f>
        <v/>
      </c>
      <c r="C29" s="96">
        <f>-C25</f>
        <v/>
      </c>
      <c r="D29" s="96">
        <f>-D25</f>
        <v/>
      </c>
      <c r="E29" s="96">
        <f>-E25</f>
        <v/>
      </c>
      <c r="F29" s="96">
        <f>-F25</f>
        <v/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1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1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>
        <f>-(('Balance Sheet'!C9-'Balance Sheet'!C21)-('Balance Sheet'!B9-'Balance Sheet'!B21))</f>
        <v/>
      </c>
      <c r="D31" s="96">
        <f>-(('Balance Sheet'!D9-'Balance Sheet'!D21)-('Balance Sheet'!C9-'Balance Sheet'!C21))</f>
        <v/>
      </c>
      <c r="E31" s="96">
        <f>-(('Balance Sheet'!E9-'Balance Sheet'!E21)-('Balance Sheet'!D9-'Balance Sheet'!D21))</f>
        <v/>
      </c>
      <c r="F31" s="96">
        <f>-(('Balance Sheet'!F9-'Balance Sheet'!F21)-('Balance Sheet'!E9-'Balance Sheet'!E21))</f>
        <v/>
      </c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4">
        <f>B28+B29+B30+B31</f>
        <v/>
      </c>
      <c r="C32" s="94">
        <f>C28+C29+C30+C31</f>
        <v/>
      </c>
      <c r="D32" s="94">
        <f>D28+D29+D30+D31</f>
        <v/>
      </c>
      <c r="E32" s="94">
        <f>E28+E29+E30+E31</f>
        <v/>
      </c>
      <c r="F32" s="94">
        <f>F28+F29+F30+F31</f>
        <v/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8">
        <f>B32/B15</f>
        <v/>
      </c>
      <c r="C33" s="88">
        <f>C32/C15</f>
        <v/>
      </c>
      <c r="D33" s="88">
        <f>D32/D15</f>
        <v/>
      </c>
      <c r="E33" s="88">
        <f>E32/E15</f>
        <v/>
      </c>
      <c r="F33" s="88">
        <f>F32/F15</f>
        <v/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0">
        <f>WACC!B46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2" t="n">
        <v>0.04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5" t="inlineStr">
        <is>
          <t>Growth tier: HIGH (20.8%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3" t="n">
        <v>18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5" t="inlineStr">
        <is>
          <t>Growth tier: HIGH (20.8%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6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>
        <f>'Balance Sheet'!F81</f>
        <v/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1" t="inlineStr">
        <is>
          <t>Linked from Balance Sheet: Total Debt (ST+LT) − Cash &amp; Equivalents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41180.5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1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5186.2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6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404.52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3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TSM  |  Master Prompt v2  |  27 May 2026  |  Sector bucket: Tech Growth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8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IF(F8="",0,C8*F8*10)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59.9% ✓ (&gt;40%)  |  GM trend +0.3% ✗ (&gt;+1pp)  |  ROIC-WACC +38.7% ✓ (&gt;+5pp)  |  Rev consistency σ=18.1% ✗ (&lt;8%)  [2/4 indicators positive — proxy score]</t>
        </is>
      </c>
      <c r="E9" s="133" t="inlineStr">
        <is>
          <t>MOD-LOW</t>
        </is>
      </c>
      <c r="F9" s="134" t="n">
        <v>5</v>
      </c>
      <c r="G9" s="135">
        <f>IF(F9="",0,C9*F9*10)</f>
        <v/>
      </c>
      <c r="H9" s="136" t="inlineStr">
        <is>
          <t>GM 59.9% ✓ (&gt;40%)  |  GM trend +0.3% ✗ (&gt;+1pp)  |  ROIC-WACC +38.7% ✓ (&gt;+5pp)  |  Rev consistency σ=18.1% ✗ (&lt;8%)  [2/4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IF(F10="",0,C10*F10*10)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  <c r="E11" s="137" t="inlineStr">
        <is>
          <t>MOD-HIGH</t>
        </is>
      </c>
      <c r="F11" s="134" t="n">
        <v>8.33</v>
      </c>
      <c r="G11" s="135">
        <f>IF(F11="",0,C11*F11*10)</f>
        <v/>
      </c>
      <c r="H11" s="136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19.3%</t>
        </is>
      </c>
      <c r="E13" s="138" t="inlineStr">
        <is>
          <t>HIGH</t>
        </is>
      </c>
      <c r="F13" s="134" t="n">
        <v>10</v>
      </c>
      <c r="G13" s="135">
        <f>IF(F13="",0,C13*F13*10)</f>
        <v/>
      </c>
      <c r="H13" s="136" t="inlineStr">
        <is>
          <t>19.3%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60%  [through-cycle: 70/30 latest+5yr median, latest 63.2% → smoothed 60.0%]</t>
        </is>
      </c>
      <c r="E14" s="137" t="inlineStr">
        <is>
          <t>MOD-HIGH</t>
        </is>
      </c>
      <c r="F14" s="134" t="n">
        <v>7</v>
      </c>
      <c r="G14" s="135">
        <f>IF(F14="",0,C14*F14*10)</f>
        <v/>
      </c>
      <c r="H14" s="136" t="inlineStr">
        <is>
          <t>60%  [through-cycle: 70/30 latest+5yr median, latest 63.2% → smoothed 60.0%]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No capital returns in latest year</t>
        </is>
      </c>
      <c r="E15" s="139" t="inlineStr">
        <is>
          <t>LOW</t>
        </is>
      </c>
      <c r="F15" s="134" t="n">
        <v>0</v>
      </c>
      <c r="G15" s="135">
        <f>IF(F15="",0,C15*F15*10)</f>
        <v/>
      </c>
      <c r="H15" s="136" t="inlineStr">
        <is>
          <t>No capital returns in latest year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42.2%  [through-cycle: 70/30 latest+5yr median, latest 45.4% → smoothed 42.2%]</t>
        </is>
      </c>
      <c r="E16" s="138" t="inlineStr">
        <is>
          <t>HIGH</t>
        </is>
      </c>
      <c r="F16" s="134" t="n">
        <v>10</v>
      </c>
      <c r="G16" s="135">
        <f>IF(F16="",0,C16*F16*10)</f>
        <v/>
      </c>
      <c r="H16" s="136" t="inlineStr">
        <is>
          <t>42.2%  [through-cycle: 70/30 latest+5yr median, latest 45.4% → smoothed 42.2%]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Net cash $1,734,869mm — no net leverage</t>
        </is>
      </c>
      <c r="E18" s="138" t="inlineStr">
        <is>
          <t>HIGH</t>
        </is>
      </c>
      <c r="F18" s="134" t="n">
        <v>10</v>
      </c>
      <c r="G18" s="135">
        <f>IF(F18="",0,C18*F18*10)</f>
        <v/>
      </c>
      <c r="H18" s="136" t="inlineStr">
        <is>
          <t>Net cash $1,734,869mm — no net leverage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No interest expense — debt-free</t>
        </is>
      </c>
      <c r="E19" s="138" t="inlineStr">
        <is>
          <t>HIGH</t>
        </is>
      </c>
      <c r="F19" s="134" t="n">
        <v>10</v>
      </c>
      <c r="G19" s="135">
        <f>IF(F19="",0,C19*F19*10)</f>
        <v/>
      </c>
      <c r="H19" s="136" t="inlineStr">
        <is>
          <t>No interest expense — debt-free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σ=18.1%  |  OM trend +9.9%, σ=3.8%  [quality = direction + stability]</t>
        </is>
      </c>
      <c r="E20" s="133" t="inlineStr">
        <is>
          <t>MOD-LOW</t>
        </is>
      </c>
      <c r="F20" s="134" t="n">
        <v>3.33</v>
      </c>
      <c r="G20" s="135">
        <f>IF(F20="",0,C20*F20*10)</f>
        <v/>
      </c>
      <c r="H20" s="136" t="inlineStr">
        <is>
          <t>Rev growth σ=18.1%  |  OM trend +9.9%, σ=3.8%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9" t="inlineStr">
        <is>
          <t xml:space="preserve">  Valuation vs Median  (P/E)</t>
        </is>
      </c>
      <c r="B22" s="130" t="inlineStr">
        <is>
          <t>P4</t>
        </is>
      </c>
      <c r="C22" s="131" t="n">
        <v>0.1</v>
      </c>
      <c r="D22" s="132" t="inlineStr">
        <is>
          <t>Fwd P/E 0.8x (scoring basis)  |  5yr avg 24.6x  |  Sector median 80.5x  [-97% vs benchmark]  [trail=10.00 | fwd_pe=0.8x→10.00 | abs=12.0 → blended 40/40/20=10.40]  PEG=1.61 (fwd_pe=0.8x / eps_growth=50%)  [revision:Strong upgrade cycle→+0.50]</t>
        </is>
      </c>
      <c r="E22" s="138" t="inlineStr">
        <is>
          <t>HIGH</t>
        </is>
      </c>
      <c r="F22" s="134" t="n">
        <v>10.9</v>
      </c>
      <c r="G22" s="135">
        <f>IF(F22="",0,C22*F22*10)</f>
        <v/>
      </c>
      <c r="H22" s="136" t="inlineStr">
        <is>
          <t>Fwd P/E 0.8x (scoring basis)  |  5yr avg 24.6x  |  Sector median 80.5x  [-97% vs benchmark]  [trail=10.00 | fwd_pe=0.8x→10.00 | abs=12.0 → blended 40/40/20=10.40]  PEG=1.61 (fwd_pe=0.8x / eps_growth=50%)  [revision:Strong upgrade cycle→+0.50]</t>
        </is>
      </c>
    </row>
    <row r="23" ht="18" customHeight="1">
      <c r="A23" s="129" t="inlineStr">
        <is>
          <t xml:space="preserve">  Valuation vs Median  (P/FCF)</t>
        </is>
      </c>
      <c r="B23" s="130" t="inlineStr">
        <is>
          <t>P4</t>
        </is>
      </c>
      <c r="C23" s="131" t="n">
        <v>0.1</v>
      </c>
      <c r="D23" s="132" t="inlineStr">
        <is>
          <t>Current 45.0x  |  5yr avg 45.7x  |  Sector median 51.8x  [-2% vs benchmark]  [trail=7.23 | fwd_pfcf=1.4x→10.00 | abs=1.5 → blended 40/40/20=7.19]  [fcf_yield=2.2% vs rf=4.6%  spread=-2.3%→modifier=-0.50]</t>
        </is>
      </c>
      <c r="E23" s="137" t="inlineStr">
        <is>
          <t>MOD-HIGH</t>
        </is>
      </c>
      <c r="F23" s="134" t="n">
        <v>6.69</v>
      </c>
      <c r="G23" s="135">
        <f>IF(F23="",0,C23*F23*10)</f>
        <v/>
      </c>
      <c r="H23" s="136" t="inlineStr">
        <is>
          <t>Current 45.0x  |  5yr avg 45.7x  |  Sector median 51.8x  [-2% vs benchmark]  [trail=7.23 | fwd_pfcf=1.4x→10.00 | abs=1.5 → blended 40/40/20=7.19]  [fcf_yield=2.2% vs rf=4.6%  spread=-2.3%→modifier=-0.50]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2026-05-27T02:23:21Z</dcterms:created>
  <dcterms:modified xmlns:dcterms="http://purl.org/dc/terms/" xmlns:xsi="http://www.w3.org/2001/XMLSchema-instance" xsi:type="dcterms:W3CDTF">2026-05-27T02:23:44Z</dcterms:modified>
</cp:coreProperties>
</file>