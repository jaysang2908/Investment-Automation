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9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6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9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3848510.95</v>
      </c>
    </row>
    <row r="7">
      <c r="A7" s="4" t="inlineStr">
        <is>
          <t>Gross Profit ($mm)</t>
        </is>
      </c>
      <c r="B7" s="6" t="n">
        <v>2304925.3</v>
      </c>
    </row>
    <row r="8">
      <c r="A8" s="4" t="inlineStr">
        <is>
          <t>EBITDA ($mm)</t>
        </is>
      </c>
      <c r="B8" s="6" t="n">
        <v>2752481.88</v>
      </c>
    </row>
    <row r="9">
      <c r="A9" s="4" t="inlineStr">
        <is>
          <t>EBIT ($mm)</t>
        </is>
      </c>
      <c r="B9" s="6" t="n">
        <v>1955695.82</v>
      </c>
    </row>
    <row r="10">
      <c r="A10" s="4" t="inlineStr">
        <is>
          <t>Net Income ($mm)</t>
        </is>
      </c>
      <c r="B10" s="6" t="n">
        <v>1735678.08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1587415</v>
      </c>
      <c r="C5" s="15" t="n">
        <v>2263891.3</v>
      </c>
      <c r="D5" s="15" t="n">
        <v>2161736</v>
      </c>
      <c r="E5" s="15" t="n">
        <v>2894308</v>
      </c>
      <c r="F5" s="15" t="n">
        <v>3848510.95</v>
      </c>
    </row>
    <row r="6">
      <c r="A6" s="16" t="inlineStr">
        <is>
          <t>(2)  Cost of Revenue (COGS)</t>
        </is>
      </c>
      <c r="B6" s="17" t="n">
        <v>767877.7</v>
      </c>
      <c r="C6" s="17" t="n">
        <v>915536.5</v>
      </c>
      <c r="D6" s="17" t="n">
        <v>986625</v>
      </c>
      <c r="E6" s="17" t="n">
        <v>1269954</v>
      </c>
      <c r="F6" s="17" t="n">
        <v>1543585.65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44488.2</v>
      </c>
      <c r="C9" s="17" t="n">
        <v>63445.3</v>
      </c>
      <c r="D9" s="17" t="n">
        <v>71464</v>
      </c>
      <c r="E9" s="17" t="n">
        <v>96889</v>
      </c>
      <c r="F9" s="17" t="n">
        <v>100249.81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169556.4</v>
      </c>
      <c r="C11" s="17" t="n">
        <v>227075.9</v>
      </c>
      <c r="D11" s="17" t="n">
        <v>253645</v>
      </c>
      <c r="E11" s="17" t="n">
        <v>302301</v>
      </c>
      <c r="F11" s="17" t="n">
        <v>349229.48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422394.9</v>
      </c>
      <c r="C14" s="17" t="n">
        <v>437254.3</v>
      </c>
      <c r="D14" s="17" t="n">
        <v>532190.9</v>
      </c>
      <c r="E14" s="17" t="n">
        <v>662796</v>
      </c>
      <c r="F14" s="17" t="n">
        <v>695223.8</v>
      </c>
    </row>
    <row r="15">
      <c r="A15" s="18" t="inlineStr">
        <is>
          <t>(8)  EBIT (Operating Income)</t>
        </is>
      </c>
      <c r="B15" s="23" t="n">
        <v>649980.9</v>
      </c>
      <c r="C15" s="23" t="n">
        <v>1121278.9</v>
      </c>
      <c r="D15" s="23" t="n">
        <v>921466</v>
      </c>
      <c r="E15" s="23" t="n">
        <v>1322053</v>
      </c>
      <c r="F15" s="23" t="n">
        <v>1955695.82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5414.2</v>
      </c>
      <c r="C17" s="17" t="n">
        <v>11750</v>
      </c>
      <c r="D17" s="17" t="n">
        <v>11999.4</v>
      </c>
      <c r="E17" s="17" t="n">
        <v>10495.4</v>
      </c>
      <c r="F17" s="17" t="n">
        <v>0</v>
      </c>
    </row>
    <row r="18">
      <c r="A18" s="20" t="inlineStr">
        <is>
          <t xml:space="preserve">     Interest Income</t>
        </is>
      </c>
      <c r="B18" s="17" t="n">
        <v>5708.8</v>
      </c>
      <c r="C18" s="17" t="n">
        <v>22422.2</v>
      </c>
      <c r="D18" s="17" t="n">
        <v>60293.9</v>
      </c>
      <c r="E18" s="17" t="n">
        <v>87213.39999999999</v>
      </c>
      <c r="F18" s="17" t="n">
        <v>94335.17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663036</v>
      </c>
      <c r="C21" s="23" t="n">
        <v>1144072.2</v>
      </c>
      <c r="D21" s="23" t="n">
        <v>979171</v>
      </c>
      <c r="E21" s="23" t="n">
        <v>1405839</v>
      </c>
      <c r="F21" s="23" t="n">
        <v>2062812.03</v>
      </c>
    </row>
    <row r="22">
      <c r="A22" s="16" t="inlineStr">
        <is>
          <t>(11) Income Tax Expense</t>
        </is>
      </c>
      <c r="B22" s="17" t="n">
        <v>70155.39999999999</v>
      </c>
      <c r="C22" s="17" t="n">
        <v>150777.5</v>
      </c>
      <c r="D22" s="17" t="n">
        <v>128288.8</v>
      </c>
      <c r="E22" s="17" t="n">
        <v>248316.1</v>
      </c>
      <c r="F22" s="17" t="n">
        <v>329645.7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592359.2</v>
      </c>
      <c r="C24" s="23" t="n">
        <v>992923.4</v>
      </c>
      <c r="D24" s="23" t="n">
        <v>851740</v>
      </c>
      <c r="E24" s="23" t="n">
        <v>1158380.2</v>
      </c>
      <c r="F24" s="23" t="n">
        <v>1735678.08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1587415</v>
      </c>
      <c r="C30" s="15" t="n">
        <v>2263891.3</v>
      </c>
      <c r="D30" s="15" t="n">
        <v>2161736</v>
      </c>
      <c r="E30" s="15" t="n">
        <v>2894308</v>
      </c>
      <c r="F30" s="15" t="n">
        <v>3848510.95</v>
      </c>
    </row>
    <row r="31">
      <c r="A31" s="16" t="inlineStr">
        <is>
          <t>Cost of Revenue</t>
        </is>
      </c>
      <c r="B31" s="17" t="n">
        <v>767877.7</v>
      </c>
      <c r="C31" s="17" t="n">
        <v>915536.5</v>
      </c>
      <c r="D31" s="17" t="n">
        <v>986625</v>
      </c>
      <c r="E31" s="17" t="n">
        <v>1269954</v>
      </c>
      <c r="F31" s="17" t="n">
        <v>1543585.65</v>
      </c>
    </row>
    <row r="32">
      <c r="A32" s="25" t="inlineStr">
        <is>
          <t>Gross Profit</t>
        </is>
      </c>
      <c r="B32" s="26" t="n">
        <v>819537.3</v>
      </c>
      <c r="C32" s="26" t="n">
        <v>1348354.8</v>
      </c>
      <c r="D32" s="26" t="n">
        <v>1175111</v>
      </c>
      <c r="E32" s="26" t="n">
        <v>1624354</v>
      </c>
      <c r="F32" s="26" t="n">
        <v>2304925.3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124734.8</v>
      </c>
      <c r="C34" s="17" t="n">
        <v>163262.2</v>
      </c>
      <c r="D34" s="17" t="n">
        <v>182370</v>
      </c>
      <c r="E34" s="17" t="n">
        <v>204182</v>
      </c>
      <c r="F34" s="17" t="n">
        <v>248979.67</v>
      </c>
    </row>
    <row r="35">
      <c r="A35" s="16" t="inlineStr">
        <is>
          <t>General &amp; Administrative</t>
        </is>
      </c>
      <c r="B35" s="17" t="n">
        <v>36929.6</v>
      </c>
      <c r="C35" s="17" t="n">
        <v>53524.8</v>
      </c>
      <c r="D35" s="17" t="n">
        <v>60872.8</v>
      </c>
      <c r="E35" s="17" t="n">
        <v>83745</v>
      </c>
      <c r="F35" s="17" t="n">
        <v>87220.35000000001</v>
      </c>
    </row>
    <row r="36">
      <c r="A36" s="16" t="inlineStr">
        <is>
          <t>Selling &amp; Marketing</t>
        </is>
      </c>
      <c r="B36" s="17" t="n">
        <v>7558.6</v>
      </c>
      <c r="C36" s="17" t="n">
        <v>9920.5</v>
      </c>
      <c r="D36" s="17" t="n">
        <v>10590.7</v>
      </c>
      <c r="E36" s="17" t="n">
        <v>13143.6</v>
      </c>
      <c r="F36" s="17" t="n">
        <v>13029.46</v>
      </c>
    </row>
    <row r="37">
      <c r="A37" s="16" t="inlineStr">
        <is>
          <t>SG&amp;A (Combined)</t>
        </is>
      </c>
      <c r="B37" s="17" t="n">
        <v>44488.2</v>
      </c>
      <c r="C37" s="17" t="n">
        <v>63445.3</v>
      </c>
      <c r="D37" s="17" t="n">
        <v>71464</v>
      </c>
      <c r="E37" s="17" t="n">
        <v>96889</v>
      </c>
      <c r="F37" s="17" t="n">
        <v>100249.81</v>
      </c>
    </row>
    <row r="38">
      <c r="A38" s="16" t="inlineStr">
        <is>
          <t>Other Expenses</t>
        </is>
      </c>
      <c r="B38" s="17" t="n">
        <v>333.4</v>
      </c>
      <c r="C38" s="17" t="n">
        <v>368.4</v>
      </c>
      <c r="D38" s="17" t="n">
        <v>-189</v>
      </c>
      <c r="E38" s="17" t="n">
        <v>1230</v>
      </c>
      <c r="F38" s="17" t="n">
        <v>-0</v>
      </c>
    </row>
    <row r="39">
      <c r="A39" s="25" t="inlineStr">
        <is>
          <t>Total Operating Expenses</t>
        </is>
      </c>
      <c r="B39" s="26" t="n">
        <v>169556.4</v>
      </c>
      <c r="C39" s="26" t="n">
        <v>227075.9</v>
      </c>
      <c r="D39" s="26" t="n">
        <v>253645</v>
      </c>
      <c r="E39" s="26" t="n">
        <v>302301</v>
      </c>
      <c r="F39" s="26" t="n">
        <v>349229.48</v>
      </c>
    </row>
    <row r="40">
      <c r="A40" s="16" t="inlineStr">
        <is>
          <t>Cost &amp; Expenses (COGS + Opex)</t>
        </is>
      </c>
      <c r="B40" s="17" t="n">
        <v>937434.1</v>
      </c>
      <c r="C40" s="17" t="n">
        <v>1142612.4</v>
      </c>
      <c r="D40" s="17" t="n">
        <v>1240270</v>
      </c>
      <c r="E40" s="17" t="n">
        <v>1572255</v>
      </c>
      <c r="F40" s="17" t="n">
        <v>1892815.13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649980.9</v>
      </c>
      <c r="C42" s="15" t="n">
        <v>1121278.9</v>
      </c>
      <c r="D42" s="15" t="n">
        <v>921466</v>
      </c>
      <c r="E42" s="15" t="n">
        <v>1322053</v>
      </c>
      <c r="F42" s="15" t="n">
        <v>1955695.82</v>
      </c>
    </row>
    <row r="43">
      <c r="A43" s="16" t="inlineStr">
        <is>
          <t>EBIT (FMP field)</t>
        </is>
      </c>
      <c r="B43" s="17" t="n">
        <v>668450.2</v>
      </c>
      <c r="C43" s="17" t="n">
        <v>1155822.2</v>
      </c>
      <c r="D43" s="17" t="n">
        <v>991315.9</v>
      </c>
      <c r="E43" s="17" t="n">
        <v>1322053</v>
      </c>
      <c r="F43" s="17" t="n">
        <v>2057258.09</v>
      </c>
    </row>
    <row r="44">
      <c r="A44" s="25" t="inlineStr">
        <is>
          <t>EBITDA</t>
        </is>
      </c>
      <c r="B44" s="26" t="n">
        <v>1090845.1</v>
      </c>
      <c r="C44" s="26" t="n">
        <v>1593076.5</v>
      </c>
      <c r="D44" s="26" t="n">
        <v>1523506.8</v>
      </c>
      <c r="E44" s="26" t="n">
        <v>1984849</v>
      </c>
      <c r="F44" s="26" t="n">
        <v>2752481.88</v>
      </c>
    </row>
    <row r="45">
      <c r="A45" s="16" t="inlineStr">
        <is>
          <t>Depreciation &amp; Amortisation</t>
        </is>
      </c>
      <c r="B45" s="17" t="n">
        <v>422394.9</v>
      </c>
      <c r="C45" s="17" t="n">
        <v>437254.3</v>
      </c>
      <c r="D45" s="17" t="n">
        <v>532190.9</v>
      </c>
      <c r="E45" s="17" t="n">
        <v>662796</v>
      </c>
      <c r="F45" s="17" t="n">
        <v>695223.8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5708.8</v>
      </c>
      <c r="C47" s="17" t="n">
        <v>22422.2</v>
      </c>
      <c r="D47" s="17" t="n">
        <v>60293.9</v>
      </c>
      <c r="E47" s="17" t="n">
        <v>87213.39999999999</v>
      </c>
      <c r="F47" s="17" t="n">
        <v>94335.17</v>
      </c>
    </row>
    <row r="48">
      <c r="A48" s="16" t="inlineStr">
        <is>
          <t>Interest Expense</t>
        </is>
      </c>
      <c r="B48" s="17" t="n">
        <v>5414.2</v>
      </c>
      <c r="C48" s="17" t="n">
        <v>11750</v>
      </c>
      <c r="D48" s="17" t="n">
        <v>11999.4</v>
      </c>
      <c r="E48" s="17" t="n">
        <v>10495.4</v>
      </c>
      <c r="F48" s="17" t="n">
        <v>0</v>
      </c>
    </row>
    <row r="49">
      <c r="A49" s="16" t="inlineStr">
        <is>
          <t>Net Interest Income</t>
        </is>
      </c>
      <c r="B49" s="17" t="n">
        <v>294.6</v>
      </c>
      <c r="C49" s="17" t="n">
        <v>10672.2</v>
      </c>
      <c r="D49" s="17" t="n">
        <v>48294</v>
      </c>
      <c r="E49" s="17" t="n">
        <v>76718</v>
      </c>
      <c r="F49" s="17" t="n">
        <v>94335.17</v>
      </c>
    </row>
    <row r="50">
      <c r="A50" s="16" t="inlineStr">
        <is>
          <t>Non-Operating Income (ex-interest)</t>
        </is>
      </c>
      <c r="B50" s="17" t="n">
        <v>-18469.3</v>
      </c>
      <c r="C50" s="17" t="n">
        <v>-34543.3</v>
      </c>
      <c r="D50" s="17" t="n">
        <v>-69850.3</v>
      </c>
      <c r="E50" s="17" t="n">
        <v>-1150.48</v>
      </c>
      <c r="F50" s="17" t="n">
        <v>-101562.27</v>
      </c>
    </row>
    <row r="51">
      <c r="A51" s="16" t="inlineStr">
        <is>
          <t>Total Other Income / (Expenses)</t>
        </is>
      </c>
      <c r="B51" s="17" t="n">
        <v>13055.1</v>
      </c>
      <c r="C51" s="17" t="n">
        <v>22793.3</v>
      </c>
      <c r="D51" s="17" t="n">
        <v>57705</v>
      </c>
      <c r="E51" s="17" t="n">
        <v>83786</v>
      </c>
      <c r="F51" s="17" t="n">
        <v>107116.21</v>
      </c>
    </row>
    <row r="52">
      <c r="A52" s="25" t="inlineStr">
        <is>
          <t>EBT / Income Before Tax</t>
        </is>
      </c>
      <c r="B52" s="26" t="n">
        <v>663036</v>
      </c>
      <c r="C52" s="26" t="n">
        <v>1144072.2</v>
      </c>
      <c r="D52" s="26" t="n">
        <v>979171</v>
      </c>
      <c r="E52" s="26" t="n">
        <v>1405839</v>
      </c>
      <c r="F52" s="26" t="n">
        <v>2062812.03</v>
      </c>
    </row>
    <row r="53">
      <c r="A53" s="16" t="inlineStr">
        <is>
          <t>Income Tax Expense</t>
        </is>
      </c>
      <c r="B53" s="17" t="n">
        <v>70155.39999999999</v>
      </c>
      <c r="C53" s="17" t="n">
        <v>150777.5</v>
      </c>
      <c r="D53" s="17" t="n">
        <v>128288.8</v>
      </c>
      <c r="E53" s="17" t="n">
        <v>248316.1</v>
      </c>
      <c r="F53" s="17" t="n">
        <v>329645.7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592880.6</v>
      </c>
      <c r="C55" s="17" t="n">
        <v>993294.7</v>
      </c>
      <c r="D55" s="17" t="n">
        <v>851027.7</v>
      </c>
      <c r="E55" s="17" t="n">
        <v>1157523.9</v>
      </c>
      <c r="F55" s="17" t="n">
        <v>1733166.33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592359.2</v>
      </c>
      <c r="C59" s="26" t="n">
        <v>992923.4</v>
      </c>
      <c r="D59" s="26" t="n">
        <v>851740</v>
      </c>
      <c r="E59" s="26" t="n">
        <v>1158380.2</v>
      </c>
      <c r="F59" s="26" t="n">
        <v>1735678.08</v>
      </c>
    </row>
    <row r="60">
      <c r="A60" s="14" t="inlineStr">
        <is>
          <t>Bottom Line Net Income</t>
        </is>
      </c>
      <c r="B60" s="15" t="n">
        <v>592359.2</v>
      </c>
      <c r="C60" s="15" t="n">
        <v>992923.4</v>
      </c>
      <c r="D60" s="15" t="n">
        <v>851740</v>
      </c>
      <c r="E60" s="15" t="n">
        <v>1158380.2</v>
      </c>
      <c r="F60" s="15" t="n">
        <v>1735678.08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114.2</v>
      </c>
      <c r="C62" s="17" t="n">
        <v>191.45</v>
      </c>
      <c r="D62" s="17" t="n">
        <v>164.25</v>
      </c>
      <c r="E62" s="17" t="n">
        <v>223.4</v>
      </c>
      <c r="F62" s="17" t="n">
        <v>334.6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5186.08</v>
      </c>
      <c r="C64" s="17" t="n">
        <v>5185.84</v>
      </c>
      <c r="D64" s="17" t="n">
        <v>5185.84</v>
      </c>
      <c r="E64" s="17" t="n">
        <v>5185.51</v>
      </c>
      <c r="F64" s="17" t="n">
        <v>5186.95</v>
      </c>
    </row>
    <row r="65">
      <c r="A65" s="16" t="inlineStr">
        <is>
          <t>Shares Outstanding — Diluted (mm)</t>
        </is>
      </c>
      <c r="B65" s="17" t="n">
        <v>5186.08</v>
      </c>
      <c r="C65" s="17" t="n">
        <v>5185.88</v>
      </c>
      <c r="D65" s="17" t="n">
        <v>5185.85</v>
      </c>
      <c r="E65" s="17" t="n">
        <v>5185.51</v>
      </c>
      <c r="F65" s="17" t="n">
        <v>5186.2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TWD</t>
        </is>
      </c>
      <c r="C67" s="17" t="inlineStr">
        <is>
          <t>TWD</t>
        </is>
      </c>
      <c r="D67" s="17" t="inlineStr">
        <is>
          <t>TWD</t>
        </is>
      </c>
      <c r="E67" s="17" t="inlineStr">
        <is>
          <t>TWD</t>
        </is>
      </c>
      <c r="F67" s="17" t="inlineStr">
        <is>
          <t>TWD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1064990.2</v>
      </c>
      <c r="C5" s="17" t="n">
        <v>1342814.1</v>
      </c>
      <c r="D5" s="17" t="n">
        <v>1465427.8</v>
      </c>
      <c r="E5" s="17" t="n">
        <v>2127627</v>
      </c>
      <c r="F5" s="17" t="n">
        <v>2760059.97</v>
      </c>
    </row>
    <row r="6">
      <c r="A6" s="16" t="inlineStr">
        <is>
          <t>(2)  Receivables</t>
        </is>
      </c>
      <c r="B6" s="17" t="n">
        <v>198362.9</v>
      </c>
      <c r="C6" s="17" t="n">
        <v>231408.9</v>
      </c>
      <c r="D6" s="17" t="n">
        <v>202010.2</v>
      </c>
      <c r="E6" s="17" t="n">
        <v>272087.9</v>
      </c>
      <c r="F6" s="17" t="n">
        <v>280997.3</v>
      </c>
    </row>
    <row r="7">
      <c r="A7" s="16" t="inlineStr">
        <is>
          <t>(3)  Inventory</t>
        </is>
      </c>
      <c r="B7" s="17" t="n">
        <v>193102.3</v>
      </c>
      <c r="C7" s="17" t="n">
        <v>221149.1</v>
      </c>
      <c r="D7" s="17" t="n">
        <v>250997.1</v>
      </c>
      <c r="E7" s="17" t="n">
        <v>287868.8</v>
      </c>
      <c r="F7" s="17" t="n">
        <v>287298.5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1607072.9</v>
      </c>
      <c r="C9" s="23" t="n">
        <v>2052896.7</v>
      </c>
      <c r="D9" s="23" t="n">
        <v>2194032.9</v>
      </c>
      <c r="E9" s="23" t="n">
        <v>3088352.1</v>
      </c>
      <c r="F9" s="23" t="n">
        <v>3806379.54</v>
      </c>
    </row>
    <row r="10">
      <c r="A10" s="16" t="inlineStr">
        <is>
          <t>(6)  PP&amp;E (Net)</t>
        </is>
      </c>
      <c r="B10" s="17" t="n">
        <v>2007853.1</v>
      </c>
      <c r="C10" s="17" t="n">
        <v>2735751</v>
      </c>
      <c r="D10" s="17" t="n">
        <v>3104899.7</v>
      </c>
      <c r="E10" s="17" t="n">
        <v>3275108.5</v>
      </c>
      <c r="F10" s="17" t="n">
        <v>3681442.44</v>
      </c>
    </row>
    <row r="11">
      <c r="A11" s="16" t="inlineStr">
        <is>
          <t>(7)  Goodwill</t>
        </is>
      </c>
      <c r="B11" s="17" t="n">
        <v>5379.2</v>
      </c>
      <c r="C11" s="17" t="n">
        <v>5791.8</v>
      </c>
      <c r="D11" s="17" t="n">
        <v>5796.4</v>
      </c>
      <c r="E11" s="17" t="n">
        <v>6070.9</v>
      </c>
      <c r="F11" s="17" t="n">
        <v>5891.08</v>
      </c>
    </row>
    <row r="12">
      <c r="A12" s="16" t="inlineStr">
        <is>
          <t>(8)  Deferred Tax Assets</t>
        </is>
      </c>
      <c r="B12" s="17" t="n">
        <v>49153.9</v>
      </c>
      <c r="C12" s="17" t="n">
        <v>69185.89999999999</v>
      </c>
      <c r="D12" s="17" t="n">
        <v>64175.8</v>
      </c>
      <c r="E12" s="17" t="n">
        <v>65943.3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2118229.3</v>
      </c>
      <c r="C14" s="23" t="n">
        <v>2911562.4</v>
      </c>
      <c r="D14" s="23" t="n">
        <v>3338163.7</v>
      </c>
      <c r="E14" s="23" t="n">
        <v>3603412.6</v>
      </c>
      <c r="F14" s="23" t="n">
        <v>4104300.04</v>
      </c>
    </row>
    <row r="15">
      <c r="A15" s="18" t="inlineStr">
        <is>
          <t>(11) Total Assets</t>
        </is>
      </c>
      <c r="B15" s="23" t="n">
        <v>3725302.2</v>
      </c>
      <c r="C15" s="23" t="n">
        <v>4964459.1</v>
      </c>
      <c r="D15" s="23" t="n">
        <v>5532196.6</v>
      </c>
      <c r="E15" s="23" t="n">
        <v>6691764.7</v>
      </c>
      <c r="F15" s="23" t="n">
        <v>7910679.59</v>
      </c>
    </row>
    <row r="16" ht="6" customHeight="1"/>
    <row r="17">
      <c r="A17" s="16" t="inlineStr">
        <is>
          <t>(12) Accounts Payable</t>
        </is>
      </c>
      <c r="B17" s="17" t="n">
        <v>193027.8</v>
      </c>
      <c r="C17" s="17" t="n">
        <v>268379.3</v>
      </c>
      <c r="D17" s="17" t="n">
        <v>227211.4</v>
      </c>
      <c r="E17" s="17" t="n">
        <v>265435.8</v>
      </c>
      <c r="F17" s="17" t="n">
        <v>84092.47</v>
      </c>
    </row>
    <row r="18">
      <c r="A18" s="16" t="inlineStr">
        <is>
          <t>(13) Short-Term Borrowings</t>
        </is>
      </c>
      <c r="B18" s="17" t="n">
        <v>119488</v>
      </c>
      <c r="C18" s="17" t="n">
        <v>19313.9</v>
      </c>
      <c r="D18" s="17" t="n">
        <v>9293.299999999999</v>
      </c>
      <c r="E18" s="17" t="n">
        <v>59857.9</v>
      </c>
      <c r="F18" s="17" t="n">
        <v>136540.33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758352.8</v>
      </c>
      <c r="C21" s="23" t="n">
        <v>986563.6</v>
      </c>
      <c r="D21" s="23" t="n">
        <v>942805.1</v>
      </c>
      <c r="E21" s="23" t="n">
        <v>1308655.9</v>
      </c>
      <c r="F21" s="23" t="n">
        <v>1453912.3</v>
      </c>
    </row>
    <row r="22">
      <c r="A22" s="16" t="inlineStr">
        <is>
          <t>(17) Long-Term Debt</t>
        </is>
      </c>
      <c r="B22" s="17" t="n">
        <v>613379.7</v>
      </c>
      <c r="C22" s="17" t="n">
        <v>839096.4</v>
      </c>
      <c r="D22" s="17" t="n">
        <v>918282.8</v>
      </c>
      <c r="E22" s="17" t="n">
        <v>958428.9</v>
      </c>
      <c r="F22" s="17" t="n">
        <v>896062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1573619.7</v>
      </c>
      <c r="C25" s="23" t="n">
        <v>2046626.7</v>
      </c>
      <c r="D25" s="23" t="n">
        <v>2078330.1</v>
      </c>
      <c r="E25" s="23" t="n">
        <v>2412493.1</v>
      </c>
      <c r="F25" s="23" t="n">
        <v>2465265.64</v>
      </c>
    </row>
    <row r="26" ht="6" customHeight="1"/>
    <row r="27">
      <c r="A27" s="16" t="inlineStr">
        <is>
          <t>(21) Common Stock &amp; APIC</t>
        </is>
      </c>
      <c r="B27" s="17" t="n">
        <v>259303.8</v>
      </c>
      <c r="C27" s="17" t="n">
        <v>259303.8</v>
      </c>
      <c r="D27" s="17" t="n">
        <v>259320.7</v>
      </c>
      <c r="E27" s="17" t="n">
        <v>259327.3</v>
      </c>
      <c r="F27" s="17" t="n">
        <v>258594.58</v>
      </c>
    </row>
    <row r="28">
      <c r="A28" s="16" t="inlineStr">
        <is>
          <t>(22) Retained Earnings</t>
        </is>
      </c>
      <c r="B28" s="17" t="n">
        <v>1887802.9</v>
      </c>
      <c r="C28" s="17" t="n">
        <v>2594891.2</v>
      </c>
      <c r="D28" s="17" t="n">
        <v>3128639.6</v>
      </c>
      <c r="E28" s="17" t="n">
        <v>3872973.4</v>
      </c>
      <c r="F28" s="17" t="n">
        <v>4691817.55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2149259.8</v>
      </c>
      <c r="C30" s="23" t="n">
        <v>2903019.7</v>
      </c>
      <c r="D30" s="23" t="n">
        <v>3429522.4</v>
      </c>
      <c r="E30" s="23" t="n">
        <v>4244266.5</v>
      </c>
      <c r="F30" s="23" t="n">
        <v>5404330.99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1064990.2</v>
      </c>
      <c r="C36" s="17" t="n">
        <v>1342814.1</v>
      </c>
      <c r="D36" s="17" t="n">
        <v>1465427.8</v>
      </c>
      <c r="E36" s="17" t="n">
        <v>2127627</v>
      </c>
      <c r="F36" s="17" t="n">
        <v>2760059.97</v>
      </c>
    </row>
    <row r="37">
      <c r="A37" s="16" t="inlineStr">
        <is>
          <t>Short-Term Investments</t>
        </is>
      </c>
      <c r="B37" s="17" t="n">
        <v>139923.5</v>
      </c>
      <c r="C37" s="17" t="n">
        <v>243686</v>
      </c>
      <c r="D37" s="17" t="n">
        <v>249375.4</v>
      </c>
      <c r="E37" s="17" t="n">
        <v>357520</v>
      </c>
      <c r="F37" s="17" t="n">
        <v>299890.93</v>
      </c>
    </row>
    <row r="38">
      <c r="A38" s="27" t="inlineStr">
        <is>
          <t>Cash &amp; Short-Term Investments</t>
        </is>
      </c>
      <c r="B38" s="28" t="n">
        <v>1204913.7</v>
      </c>
      <c r="C38" s="28" t="n">
        <v>1586500.1</v>
      </c>
      <c r="D38" s="28" t="n">
        <v>1714803.2</v>
      </c>
      <c r="E38" s="28" t="n">
        <v>2485147</v>
      </c>
      <c r="F38" s="28" t="n">
        <v>3059950.9</v>
      </c>
    </row>
    <row r="39">
      <c r="A39" s="16" t="inlineStr">
        <is>
          <t>Accounts Receivable (Trade)</t>
        </is>
      </c>
      <c r="B39" s="17" t="n">
        <v>197586.1</v>
      </c>
      <c r="C39" s="17" t="n">
        <v>231408.9</v>
      </c>
      <c r="D39" s="17" t="n">
        <v>201313.91</v>
      </c>
      <c r="E39" s="17" t="n">
        <v>270683.23</v>
      </c>
      <c r="F39" s="17" t="n">
        <v>280997.3</v>
      </c>
    </row>
    <row r="40">
      <c r="A40" s="16" t="inlineStr">
        <is>
          <t>Other Receivables</t>
        </is>
      </c>
      <c r="B40" s="17" t="n">
        <v>776.8</v>
      </c>
      <c r="C40" s="17" t="n">
        <v>0</v>
      </c>
      <c r="D40" s="17" t="n">
        <v>696.29</v>
      </c>
      <c r="E40" s="17" t="n">
        <v>1404.66</v>
      </c>
      <c r="F40" s="17" t="n">
        <v>0</v>
      </c>
    </row>
    <row r="41">
      <c r="A41" s="27" t="inlineStr">
        <is>
          <t>Net Receivables (Total)</t>
        </is>
      </c>
      <c r="B41" s="28" t="n">
        <v>198362.9</v>
      </c>
      <c r="C41" s="28" t="n">
        <v>231408.9</v>
      </c>
      <c r="D41" s="28" t="n">
        <v>202010.2</v>
      </c>
      <c r="E41" s="28" t="n">
        <v>272087.9</v>
      </c>
      <c r="F41" s="28" t="n">
        <v>280997.3</v>
      </c>
    </row>
    <row r="42">
      <c r="A42" s="16" t="inlineStr">
        <is>
          <t>Inventory</t>
        </is>
      </c>
      <c r="B42" s="17" t="n">
        <v>193102.3</v>
      </c>
      <c r="C42" s="17" t="n">
        <v>221149.1</v>
      </c>
      <c r="D42" s="17" t="n">
        <v>250997.1</v>
      </c>
      <c r="E42" s="17" t="n">
        <v>287868.8</v>
      </c>
      <c r="F42" s="17" t="n">
        <v>287298.5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10694</v>
      </c>
      <c r="C44" s="17" t="n">
        <v>13838.6</v>
      </c>
      <c r="D44" s="17" t="n">
        <v>26222.4</v>
      </c>
      <c r="E44" s="17" t="n">
        <v>43248.4</v>
      </c>
      <c r="F44" s="17" t="n">
        <v>178132.85</v>
      </c>
    </row>
    <row r="45">
      <c r="A45" s="25" t="inlineStr">
        <is>
          <t>Total Current Assets</t>
        </is>
      </c>
      <c r="B45" s="26" t="n">
        <v>1607072.9</v>
      </c>
      <c r="C45" s="26" t="n">
        <v>2052896.7</v>
      </c>
      <c r="D45" s="26" t="n">
        <v>2194032.9</v>
      </c>
      <c r="E45" s="26" t="n">
        <v>3088352.1</v>
      </c>
      <c r="F45" s="26" t="n">
        <v>3806379.54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2007853.1</v>
      </c>
      <c r="C47" s="17" t="n">
        <v>2735751</v>
      </c>
      <c r="D47" s="17" t="n">
        <v>3104899.7</v>
      </c>
      <c r="E47" s="17" t="n">
        <v>3275108.5</v>
      </c>
      <c r="F47" s="17" t="n">
        <v>3681442.44</v>
      </c>
    </row>
    <row r="48">
      <c r="A48" s="16" t="inlineStr">
        <is>
          <t>Goodwill</t>
        </is>
      </c>
      <c r="B48" s="17" t="n">
        <v>5379.2</v>
      </c>
      <c r="C48" s="17" t="n">
        <v>5791.8</v>
      </c>
      <c r="D48" s="17" t="n">
        <v>5796.4</v>
      </c>
      <c r="E48" s="17" t="n">
        <v>6070.9</v>
      </c>
      <c r="F48" s="17" t="n">
        <v>5891.08</v>
      </c>
    </row>
    <row r="49">
      <c r="A49" s="16" t="inlineStr">
        <is>
          <t>Intangible Assets</t>
        </is>
      </c>
      <c r="B49" s="17" t="n">
        <v>21442.5</v>
      </c>
      <c r="C49" s="17" t="n">
        <v>20207.4</v>
      </c>
      <c r="D49" s="17" t="n">
        <v>16970.3</v>
      </c>
      <c r="E49" s="17" t="n">
        <v>20211.6</v>
      </c>
      <c r="F49" s="17" t="n">
        <v>19061.53</v>
      </c>
    </row>
    <row r="50">
      <c r="A50" s="16" t="inlineStr">
        <is>
          <t>Long-Term Investments</t>
        </is>
      </c>
      <c r="B50" s="17" t="n">
        <v>29183.5</v>
      </c>
      <c r="C50" s="17" t="n">
        <v>68608.10000000001</v>
      </c>
      <c r="D50" s="17" t="n">
        <v>129267.6</v>
      </c>
      <c r="E50" s="17" t="n">
        <v>148867</v>
      </c>
      <c r="F50" s="17" t="n">
        <v>171884.5</v>
      </c>
    </row>
    <row r="51">
      <c r="A51" s="16" t="inlineStr">
        <is>
          <t>Tax Assets (Deferred)</t>
        </is>
      </c>
      <c r="B51" s="17" t="n">
        <v>49153.9</v>
      </c>
      <c r="C51" s="17" t="n">
        <v>69185.89999999999</v>
      </c>
      <c r="D51" s="17" t="n">
        <v>64175.8</v>
      </c>
      <c r="E51" s="17" t="n">
        <v>65943.3</v>
      </c>
      <c r="F51" s="17" t="n">
        <v>0</v>
      </c>
    </row>
    <row r="52">
      <c r="A52" s="16" t="inlineStr">
        <is>
          <t>Total Investments</t>
        </is>
      </c>
      <c r="B52" s="17" t="n">
        <v>169107</v>
      </c>
      <c r="C52" s="17" t="n">
        <v>312294.1</v>
      </c>
      <c r="D52" s="17" t="n">
        <v>378643</v>
      </c>
      <c r="E52" s="17" t="n">
        <v>506387</v>
      </c>
      <c r="F52" s="17" t="n">
        <v>471775.43</v>
      </c>
    </row>
    <row r="53">
      <c r="A53" s="16" t="inlineStr">
        <is>
          <t>Other Non-Current Assets</t>
        </is>
      </c>
      <c r="B53" s="17" t="n">
        <v>5217.1</v>
      </c>
      <c r="C53" s="17" t="n">
        <v>12018.2</v>
      </c>
      <c r="D53" s="17" t="n">
        <v>17053.9</v>
      </c>
      <c r="E53" s="17" t="n">
        <v>87211.3</v>
      </c>
      <c r="F53" s="17" t="n">
        <v>226020.49</v>
      </c>
    </row>
    <row r="54">
      <c r="A54" s="25" t="inlineStr">
        <is>
          <t>Total Non-Current Assets</t>
        </is>
      </c>
      <c r="B54" s="26" t="n">
        <v>2118229.3</v>
      </c>
      <c r="C54" s="26" t="n">
        <v>2911562.4</v>
      </c>
      <c r="D54" s="26" t="n">
        <v>3338163.7</v>
      </c>
      <c r="E54" s="26" t="n">
        <v>3603412.6</v>
      </c>
      <c r="F54" s="26" t="n">
        <v>4104300.04</v>
      </c>
    </row>
    <row r="55">
      <c r="A55" s="12" t="inlineStr">
        <is>
          <t>TOTAL ASSETS</t>
        </is>
      </c>
      <c r="B55" s="29" t="n">
        <v>3725302.2</v>
      </c>
      <c r="C55" s="29" t="n">
        <v>4964459.1</v>
      </c>
      <c r="D55" s="29" t="n">
        <v>5532196.6</v>
      </c>
      <c r="E55" s="29" t="n">
        <v>6691764.7</v>
      </c>
      <c r="F55" s="29" t="n">
        <v>7910679.59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193027.8</v>
      </c>
      <c r="C57" s="17" t="n">
        <v>268379.3</v>
      </c>
      <c r="D57" s="17" t="n">
        <v>227211.4</v>
      </c>
      <c r="E57" s="17" t="n">
        <v>265435.8</v>
      </c>
      <c r="F57" s="17" t="n">
        <v>84092.47</v>
      </c>
    </row>
    <row r="58">
      <c r="A58" s="16" t="inlineStr">
        <is>
          <t>Short-Term Debt</t>
        </is>
      </c>
      <c r="B58" s="17" t="n">
        <v>119488</v>
      </c>
      <c r="C58" s="17" t="n">
        <v>19313.9</v>
      </c>
      <c r="D58" s="17" t="n">
        <v>9293.299999999999</v>
      </c>
      <c r="E58" s="17" t="n">
        <v>59857.9</v>
      </c>
      <c r="F58" s="17" t="n">
        <v>136540.33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37216.2</v>
      </c>
      <c r="C61" s="17" t="n">
        <v>61865.6</v>
      </c>
      <c r="D61" s="17" t="n">
        <v>78172.5</v>
      </c>
      <c r="E61" s="17" t="n">
        <v>71337.7</v>
      </c>
      <c r="F61" s="17" t="n">
        <v>1233279.49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758352.8</v>
      </c>
      <c r="C63" s="26" t="n">
        <v>986563.6</v>
      </c>
      <c r="D63" s="26" t="n">
        <v>942805.1</v>
      </c>
      <c r="E63" s="26" t="n">
        <v>1308655.9</v>
      </c>
      <c r="F63" s="26" t="n">
        <v>1453912.3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613379.7</v>
      </c>
      <c r="C65" s="17" t="n">
        <v>839096.4</v>
      </c>
      <c r="D65" s="17" t="n">
        <v>918282.8</v>
      </c>
      <c r="E65" s="17" t="n">
        <v>958428.9</v>
      </c>
      <c r="F65" s="17" t="n">
        <v>896062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1873.9</v>
      </c>
      <c r="C68" s="17" t="n">
        <v>1031.4</v>
      </c>
      <c r="D68" s="17" t="n">
        <v>53.8</v>
      </c>
      <c r="E68" s="17" t="n">
        <v>3988.5</v>
      </c>
      <c r="F68" s="17" t="n">
        <v>3888.8</v>
      </c>
    </row>
    <row r="69">
      <c r="A69" s="16" t="inlineStr">
        <is>
          <t>Other Non-Current Liabilities</t>
        </is>
      </c>
      <c r="B69" s="17" t="n">
        <v>179249.1</v>
      </c>
      <c r="C69" s="17" t="n">
        <v>190171.2</v>
      </c>
      <c r="D69" s="17" t="n">
        <v>188506.6</v>
      </c>
      <c r="E69" s="17" t="n">
        <v>112664.5</v>
      </c>
      <c r="F69" s="17" t="n">
        <v>82663.52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1573619.7</v>
      </c>
      <c r="C71" s="29" t="n">
        <v>2046626.7</v>
      </c>
      <c r="D71" s="29" t="n">
        <v>2078330.1</v>
      </c>
      <c r="E71" s="29" t="n">
        <v>2412493.1</v>
      </c>
      <c r="F71" s="29" t="n">
        <v>2465265.64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259303.8</v>
      </c>
      <c r="C73" s="17" t="n">
        <v>259303.8</v>
      </c>
      <c r="D73" s="17" t="n">
        <v>259320.7</v>
      </c>
      <c r="E73" s="17" t="n">
        <v>259327.3</v>
      </c>
      <c r="F73" s="17" t="n">
        <v>258594.58</v>
      </c>
    </row>
    <row r="74">
      <c r="A74" s="16" t="inlineStr">
        <is>
          <t>Retained Earnings</t>
        </is>
      </c>
      <c r="B74" s="17" t="n">
        <v>1887802.9</v>
      </c>
      <c r="C74" s="17" t="n">
        <v>2594891.2</v>
      </c>
      <c r="D74" s="17" t="n">
        <v>3128639.6</v>
      </c>
      <c r="E74" s="17" t="n">
        <v>3872973.4</v>
      </c>
      <c r="F74" s="17" t="n">
        <v>4691817.55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2422.7</v>
      </c>
      <c r="C77" s="17" t="n">
        <v>14812.7</v>
      </c>
      <c r="D77" s="17" t="n">
        <v>24344.1</v>
      </c>
      <c r="E77" s="17" t="n">
        <v>35005.1</v>
      </c>
      <c r="F77" s="17" t="n">
        <v>41082.96</v>
      </c>
    </row>
    <row r="78">
      <c r="A78" s="25" t="inlineStr">
        <is>
          <t>Total Equity (inc. Minority)</t>
        </is>
      </c>
      <c r="B78" s="26" t="n">
        <v>2151682.5</v>
      </c>
      <c r="C78" s="26" t="n">
        <v>2917832.4</v>
      </c>
      <c r="D78" s="26" t="n">
        <v>3453866.5</v>
      </c>
      <c r="E78" s="26" t="n">
        <v>4279271.6</v>
      </c>
      <c r="F78" s="26" t="n">
        <v>5445413.95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753631.9</v>
      </c>
      <c r="C80" s="15" t="n">
        <v>888174.4</v>
      </c>
      <c r="D80" s="15" t="n">
        <v>956257.9</v>
      </c>
      <c r="E80" s="15" t="n">
        <v>1047042.1</v>
      </c>
      <c r="F80" s="15" t="n">
        <v>1064582.7</v>
      </c>
    </row>
    <row r="81">
      <c r="A81" s="14" t="inlineStr">
        <is>
          <t>Net Debt</t>
        </is>
      </c>
      <c r="B81" s="15" t="n">
        <v>-311358.3</v>
      </c>
      <c r="C81" s="15" t="n">
        <v>-454639.7</v>
      </c>
      <c r="D81" s="15" t="n">
        <v>-509169.9</v>
      </c>
      <c r="E81" s="15" t="n">
        <v>-1080584.9</v>
      </c>
      <c r="F81" s="15" t="n">
        <v>-1695477.27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1112160.72</v>
      </c>
      <c r="C5" s="23" t="n">
        <v>1610599.19</v>
      </c>
      <c r="D5" s="23" t="n">
        <v>1241967.3</v>
      </c>
      <c r="E5" s="23" t="n">
        <v>1826177</v>
      </c>
      <c r="F5" s="23" t="n">
        <v>2383175.56</v>
      </c>
    </row>
    <row r="6">
      <c r="A6" s="16" t="inlineStr">
        <is>
          <t>(2)  Capital Expenditures</t>
        </is>
      </c>
      <c r="B6" s="17" t="n">
        <v>-849436.46</v>
      </c>
      <c r="C6" s="17" t="n">
        <v>-1089626.46</v>
      </c>
      <c r="D6" s="17" t="n">
        <v>-955398.4</v>
      </c>
      <c r="E6" s="17" t="n">
        <v>-956007</v>
      </c>
      <c r="F6" s="17" t="n">
        <v>-1285591.56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397185.9</v>
      </c>
      <c r="C9" s="17" t="n">
        <v>82008.60000000001</v>
      </c>
      <c r="D9" s="17" t="n">
        <v>93347.39999999999</v>
      </c>
      <c r="E9" s="17" t="n">
        <v>29405</v>
      </c>
      <c r="F9" s="17" t="n">
        <v>41296.39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-265786.4</v>
      </c>
      <c r="C12" s="17" t="n">
        <v>-285234.18</v>
      </c>
      <c r="D12" s="17" t="n">
        <v>-291721.85</v>
      </c>
      <c r="E12" s="17" t="n">
        <v>-363055</v>
      </c>
      <c r="F12" s="17" t="n">
        <v>-471614.24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262724.26</v>
      </c>
      <c r="C15" s="23" t="n">
        <v>520972.73</v>
      </c>
      <c r="D15" s="23" t="n">
        <v>286568.9</v>
      </c>
      <c r="E15" s="23" t="n">
        <v>870170</v>
      </c>
      <c r="F15" s="23" t="n">
        <v>1097584.01</v>
      </c>
    </row>
    <row r="16">
      <c r="A16" s="14" t="inlineStr">
        <is>
          <t xml:space="preserve">     Net Change in Cash</t>
        </is>
      </c>
      <c r="B16" s="15" t="n">
        <v>404819.55</v>
      </c>
      <c r="C16" s="15" t="n">
        <v>277823.89</v>
      </c>
      <c r="D16" s="15" t="n">
        <v>122613.67</v>
      </c>
      <c r="E16" s="15" t="n">
        <v>662199.25</v>
      </c>
      <c r="F16" s="15" t="n">
        <v>726696.3199999999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663126.3100000001</v>
      </c>
      <c r="C21" s="17" t="n">
        <v>1144190.72</v>
      </c>
      <c r="D21" s="17" t="n">
        <v>838497.66</v>
      </c>
      <c r="E21" s="17" t="n">
        <v>1173268</v>
      </c>
      <c r="F21" s="17" t="n">
        <v>1735678.08</v>
      </c>
    </row>
    <row r="22">
      <c r="A22" s="16" t="inlineStr">
        <is>
          <t>Depreciation &amp; Amortisation</t>
        </is>
      </c>
      <c r="B22" s="17" t="n">
        <v>422394.87</v>
      </c>
      <c r="C22" s="17" t="n">
        <v>437254.27</v>
      </c>
      <c r="D22" s="17" t="n">
        <v>532190.92</v>
      </c>
      <c r="E22" s="17" t="n">
        <v>662796</v>
      </c>
      <c r="F22" s="17" t="n">
        <v>695223.8</v>
      </c>
    </row>
    <row r="23">
      <c r="A23" s="16" t="inlineStr">
        <is>
          <t>Deferred Income Tax</t>
        </is>
      </c>
      <c r="B23" s="17" t="n">
        <v>-105125.9</v>
      </c>
      <c r="C23" s="17" t="n">
        <v>0</v>
      </c>
      <c r="D23" s="17" t="n">
        <v>0</v>
      </c>
      <c r="E23" s="17" t="n">
        <v>0</v>
      </c>
      <c r="F23" s="17" t="n">
        <v>0</v>
      </c>
    </row>
    <row r="24">
      <c r="A24" s="16" t="inlineStr">
        <is>
          <t>Stock-Based Compensation</t>
        </is>
      </c>
      <c r="B24" s="17" t="n">
        <v>7.8</v>
      </c>
      <c r="C24" s="17" t="n">
        <v>302.4</v>
      </c>
      <c r="D24" s="17" t="n">
        <v>544.38</v>
      </c>
      <c r="E24" s="17" t="n">
        <v>1646.2</v>
      </c>
      <c r="F24" s="17" t="n">
        <v>0</v>
      </c>
    </row>
    <row r="25">
      <c r="A25" s="16" t="inlineStr">
        <is>
          <t>Change in Working Capital</t>
        </is>
      </c>
      <c r="B25" s="17" t="n">
        <v>132466.42</v>
      </c>
      <c r="C25" s="17" t="n">
        <v>122508.6</v>
      </c>
      <c r="D25" s="17" t="n">
        <v>-56852</v>
      </c>
      <c r="E25" s="17" t="n">
        <v>13350.9</v>
      </c>
      <c r="F25" s="17" t="n">
        <v>-183611.48</v>
      </c>
    </row>
    <row r="26">
      <c r="A26" s="20" t="inlineStr">
        <is>
          <t xml:space="preserve">  — Accounts Receivable</t>
        </is>
      </c>
      <c r="B26" s="17" t="n">
        <v>177059.19</v>
      </c>
      <c r="C26" s="17" t="n">
        <v>-32169.9</v>
      </c>
      <c r="D26" s="17" t="n">
        <v>29398.6</v>
      </c>
      <c r="E26" s="17" t="n">
        <v>-70077.8</v>
      </c>
      <c r="F26" s="17" t="n">
        <v>0</v>
      </c>
    </row>
    <row r="27">
      <c r="A27" s="20" t="inlineStr">
        <is>
          <t xml:space="preserve">  — Inventory</t>
        </is>
      </c>
      <c r="B27" s="17" t="n">
        <v>-55748.91</v>
      </c>
      <c r="C27" s="17" t="n">
        <v>-28046.83</v>
      </c>
      <c r="D27" s="17" t="n">
        <v>-29847.94</v>
      </c>
      <c r="E27" s="17" t="n">
        <v>-36871.7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8298.32</v>
      </c>
      <c r="C28" s="17" t="n">
        <v>7594.1</v>
      </c>
      <c r="D28" s="17" t="n">
        <v>770.71</v>
      </c>
      <c r="E28" s="17" t="n">
        <v>17073.8</v>
      </c>
      <c r="F28" s="17" t="n">
        <v>0</v>
      </c>
    </row>
    <row r="29">
      <c r="A29" s="20" t="inlineStr">
        <is>
          <t xml:space="preserve">  — Other Working Capital</t>
        </is>
      </c>
      <c r="B29" s="17" t="n">
        <v>2857.82</v>
      </c>
      <c r="C29" s="17" t="n">
        <v>175131.22</v>
      </c>
      <c r="D29" s="17" t="n">
        <v>-57173.37</v>
      </c>
      <c r="E29" s="17" t="n">
        <v>103226.6</v>
      </c>
      <c r="F29" s="17" t="n">
        <v>-183611.48</v>
      </c>
    </row>
    <row r="30">
      <c r="A30" s="16" t="inlineStr">
        <is>
          <t>Other Non-Cash Items</t>
        </is>
      </c>
      <c r="B30" s="17" t="n">
        <v>-708.78</v>
      </c>
      <c r="C30" s="17" t="n">
        <v>-93656.8</v>
      </c>
      <c r="D30" s="17" t="n">
        <v>-72413.66</v>
      </c>
      <c r="E30" s="17" t="n">
        <v>-24884.1</v>
      </c>
      <c r="F30" s="17" t="n">
        <v>135885.17</v>
      </c>
    </row>
    <row r="31">
      <c r="A31" s="25" t="inlineStr">
        <is>
          <t>Net Cash from Operations (CFO)</t>
        </is>
      </c>
      <c r="B31" s="26" t="n">
        <v>1112160.72</v>
      </c>
      <c r="C31" s="26" t="n">
        <v>1610599.19</v>
      </c>
      <c r="D31" s="26" t="n">
        <v>1241967.3</v>
      </c>
      <c r="E31" s="26" t="n">
        <v>1826177</v>
      </c>
      <c r="F31" s="26" t="n">
        <v>2383175.56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-849436.46</v>
      </c>
      <c r="C33" s="17" t="n">
        <v>-1089626.46</v>
      </c>
      <c r="D33" s="17" t="n">
        <v>-955398.4</v>
      </c>
      <c r="E33" s="17" t="n">
        <v>-956007</v>
      </c>
      <c r="F33" s="17" t="n">
        <v>-1285591.56</v>
      </c>
    </row>
    <row r="34">
      <c r="A34" s="20" t="inlineStr">
        <is>
          <t xml:space="preserve">  (Alt: Invest. in PP&amp;E)</t>
        </is>
      </c>
      <c r="B34" s="17" t="n">
        <v>-849436.46</v>
      </c>
      <c r="C34" s="17" t="n">
        <v>-1089626.46</v>
      </c>
      <c r="D34" s="17" t="n">
        <v>-949816.8199999999</v>
      </c>
      <c r="E34" s="17" t="n">
        <v>-956006.54</v>
      </c>
      <c r="F34" s="17" t="n">
        <v>-1285591.56</v>
      </c>
    </row>
    <row r="35">
      <c r="A35" s="16" t="inlineStr">
        <is>
          <t>Acquisitions (Net)</t>
        </is>
      </c>
      <c r="B35" s="17" t="n">
        <v>-160.7</v>
      </c>
      <c r="C35" s="17" t="n">
        <v>17246.91</v>
      </c>
      <c r="D35" s="17" t="n">
        <v>11752.68</v>
      </c>
      <c r="E35" s="17" t="n">
        <v>-3738.8</v>
      </c>
      <c r="F35" s="17" t="n">
        <v>805.26</v>
      </c>
    </row>
    <row r="36">
      <c r="A36" s="16" t="inlineStr">
        <is>
          <t>Purchases of Investments</t>
        </is>
      </c>
      <c r="B36" s="17" t="n">
        <v>-259688.42</v>
      </c>
      <c r="C36" s="17" t="n">
        <v>-237818.18</v>
      </c>
      <c r="D36" s="17" t="n">
        <v>-226281.97</v>
      </c>
      <c r="E36" s="17" t="n">
        <v>-240622.7</v>
      </c>
      <c r="F36" s="17" t="n">
        <v>-258017.33</v>
      </c>
    </row>
    <row r="37">
      <c r="A37" s="16" t="inlineStr">
        <is>
          <t>Sales / Maturities of Investments</t>
        </is>
      </c>
      <c r="B37" s="17" t="n">
        <v>264364.7</v>
      </c>
      <c r="C37" s="17" t="n">
        <v>108980.41</v>
      </c>
      <c r="D37" s="17" t="n">
        <v>170500.6</v>
      </c>
      <c r="E37" s="17" t="n">
        <v>186479.6</v>
      </c>
      <c r="F37" s="17" t="n">
        <v>220516.85</v>
      </c>
    </row>
    <row r="38">
      <c r="A38" s="16" t="inlineStr">
        <is>
          <t>Other Investing Activities</t>
        </is>
      </c>
      <c r="B38" s="17" t="n">
        <v>8555.01</v>
      </c>
      <c r="C38" s="17" t="n">
        <v>10289.09</v>
      </c>
      <c r="D38" s="17" t="n">
        <v>87724.91</v>
      </c>
      <c r="E38" s="17" t="n">
        <v>149045.64</v>
      </c>
      <c r="F38" s="17" t="n">
        <v>62077.45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397185.9</v>
      </c>
      <c r="C41" s="17" t="n">
        <v>82008.60000000001</v>
      </c>
      <c r="D41" s="17" t="n">
        <v>93347.39999999999</v>
      </c>
      <c r="E41" s="17" t="n">
        <v>29405</v>
      </c>
      <c r="F41" s="17" t="n">
        <v>41296.39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0</v>
      </c>
      <c r="C44" s="17" t="n">
        <v>-871.5700000000001</v>
      </c>
      <c r="D44" s="17" t="n">
        <v>0</v>
      </c>
      <c r="E44" s="17" t="n">
        <v>-3089.18</v>
      </c>
      <c r="F44" s="17" t="n">
        <v>0</v>
      </c>
    </row>
    <row r="45">
      <c r="A45" s="16" t="inlineStr">
        <is>
          <t>Dividends Paid</t>
        </is>
      </c>
      <c r="B45" s="17" t="n">
        <v>-265786.4</v>
      </c>
      <c r="C45" s="17" t="n">
        <v>-285234.18</v>
      </c>
      <c r="D45" s="17" t="n">
        <v>-291721.85</v>
      </c>
      <c r="E45" s="17" t="n">
        <v>-363055</v>
      </c>
      <c r="F45" s="17" t="n">
        <v>-471614.24</v>
      </c>
    </row>
    <row r="46">
      <c r="A46" s="16" t="inlineStr">
        <is>
          <t>Other Financing Activities</t>
        </is>
      </c>
      <c r="B46" s="17" t="n">
        <v>5208.94</v>
      </c>
      <c r="C46" s="17" t="n">
        <v>3853.15</v>
      </c>
      <c r="D46" s="17" t="n">
        <v>-6519.75</v>
      </c>
      <c r="E46" s="17" t="n">
        <v>-9561.799999999999</v>
      </c>
      <c r="F46" s="17" t="n">
        <v>4738.58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-7583.75</v>
      </c>
      <c r="C49" s="17" t="n">
        <v>58396.97</v>
      </c>
      <c r="D49" s="17" t="n">
        <v>-8338.799999999999</v>
      </c>
      <c r="E49" s="17" t="n">
        <v>47165.9</v>
      </c>
      <c r="F49" s="17" t="n">
        <v>29309.34</v>
      </c>
    </row>
    <row r="50">
      <c r="A50" s="14" t="inlineStr">
        <is>
          <t>Net Change in Cash</t>
        </is>
      </c>
      <c r="B50" s="15" t="n">
        <v>404819.55</v>
      </c>
      <c r="C50" s="15" t="n">
        <v>277823.89</v>
      </c>
      <c r="D50" s="15" t="n">
        <v>122613.67</v>
      </c>
      <c r="E50" s="15" t="n">
        <v>662199.25</v>
      </c>
      <c r="F50" s="15" t="n">
        <v>726696.3199999999</v>
      </c>
    </row>
    <row r="51">
      <c r="A51" s="16" t="inlineStr">
        <is>
          <t>Cash at Beginning of Period</t>
        </is>
      </c>
      <c r="B51" s="17" t="n">
        <v>660170.65</v>
      </c>
      <c r="C51" s="17" t="n">
        <v>1064990.19</v>
      </c>
      <c r="D51" s="17" t="n">
        <v>1342814.08</v>
      </c>
      <c r="E51" s="17" t="n">
        <v>1465428</v>
      </c>
      <c r="F51" s="17" t="n">
        <v>2033363.65</v>
      </c>
    </row>
    <row r="52">
      <c r="A52" s="25" t="inlineStr">
        <is>
          <t>Cash at End of Period</t>
        </is>
      </c>
      <c r="B52" s="26" t="n">
        <v>1064990.2</v>
      </c>
      <c r="C52" s="26" t="n">
        <v>1342814.08</v>
      </c>
      <c r="D52" s="26" t="n">
        <v>1465427.75</v>
      </c>
      <c r="E52" s="26" t="n">
        <v>2127627</v>
      </c>
      <c r="F52" s="26" t="n">
        <v>2760059.97</v>
      </c>
    </row>
    <row r="53">
      <c r="A53" s="25" t="inlineStr">
        <is>
          <t>Free Cash Flow</t>
        </is>
      </c>
      <c r="B53" s="26" t="n">
        <v>262724.26</v>
      </c>
      <c r="C53" s="26" t="n">
        <v>520972.73</v>
      </c>
      <c r="D53" s="26" t="n">
        <v>286568.9</v>
      </c>
      <c r="E53" s="26" t="n">
        <v>870170</v>
      </c>
      <c r="F53" s="26" t="n">
        <v>1097584.01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5186.08</v>
      </c>
      <c r="C61" s="17" t="n">
        <v>5185.88</v>
      </c>
      <c r="D61" s="17" t="n">
        <v>5185.85</v>
      </c>
      <c r="E61" s="17" t="n">
        <v>5185.51</v>
      </c>
      <c r="F61" s="17" t="n">
        <v>5186.2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2024</t>
        </is>
      </c>
      <c r="C4" s="13" t="inlineStr">
        <is>
          <t>2022</t>
        </is>
      </c>
      <c r="D4" s="13" t="inlineStr">
        <is>
          <t>2021</t>
        </is>
      </c>
      <c r="E4" s="13" t="inlineStr">
        <is>
          <t>2020</t>
        </is>
      </c>
      <c r="F4" s="13" t="inlineStr">
        <is>
          <t>2019</t>
        </is>
      </c>
    </row>
    <row r="5">
      <c r="A5" s="16" t="inlineStr">
        <is>
          <t>data</t>
        </is>
      </c>
      <c r="B5" s="17" t="n">
        <v>379846.4</v>
      </c>
      <c r="C5" s="17" t="n">
        <v>1991855.9</v>
      </c>
      <c r="D5" s="17" t="n">
        <v>1405300.3</v>
      </c>
      <c r="E5" s="17" t="n">
        <v>1178456.3</v>
      </c>
      <c r="F5" s="17" t="n">
        <v>927317.3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1884518.155972</v>
      </c>
      <c r="C5" s="43" t="inlineStr">
        <is>
          <t>FMP marketCap  |  price $363.35</t>
        </is>
      </c>
    </row>
    <row r="6">
      <c r="A6" s="16" t="inlineStr">
        <is>
          <t>Debt  (gross book value, $mm)</t>
        </is>
      </c>
      <c r="B6" s="42" t="n">
        <v>1032602.329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0.0429</v>
      </c>
      <c r="C12" s="43" t="inlineStr">
        <is>
          <t>FRED series DGS10  |  latest: 2026-04-15</t>
        </is>
      </c>
    </row>
    <row r="13">
      <c r="A13" s="46" t="inlineStr">
        <is>
          <t>► Selected Rf  (override if needed)</t>
        </is>
      </c>
      <c r="B13" s="47" t="n">
        <v>0.0429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1.251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1.168</v>
      </c>
      <c r="C17" s="43" t="inlineStr">
        <is>
          <t>Mean-reversion toward market beta of 1.0</t>
        </is>
      </c>
    </row>
    <row r="18">
      <c r="A18" s="16" t="inlineStr">
        <is>
          <t>Damodaran industry unlevered  (Semiconductors)</t>
        </is>
      </c>
      <c r="B18" s="49" t="n">
        <v>1.15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0.55x,  t = 16.0%)</t>
        </is>
      </c>
      <c r="B19" s="49" t="n">
        <v>1.679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1.349</v>
      </c>
      <c r="C20" s="43" t="inlineStr">
        <is>
          <t>AMD: 1.963  |  INTC: 1.349  |  QCOM: 1.279  |  AVGO:</t>
        </is>
      </c>
    </row>
    <row r="21">
      <c r="A21" s="46" t="inlineStr">
        <is>
          <t>► Selected beta  (user override)</t>
        </is>
      </c>
      <c r="B21" s="50" t="n">
        <v>1.362</v>
      </c>
      <c r="C21" s="48" t="inlineStr">
        <is>
          <t>Default = average of 4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1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2" t="inlineStr">
        <is>
          <t>AA-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0.0474</v>
      </c>
      <c r="C33" s="43" t="inlineStr">
        <is>
          <t>FRED BAMLC0A2CAAEY — AA</t>
        </is>
      </c>
    </row>
    <row r="34">
      <c r="A34" s="16" t="inlineStr">
        <is>
          <t>Interest Coverage Ratio  (EBIT / Gross Int Exp)</t>
        </is>
      </c>
      <c r="B34" s="52" t="n"/>
      <c r="C34" s="43" t="inlineStr">
        <is>
          <t>EBIT $1955696mm  /  Int Exp $0mm</t>
        </is>
      </c>
    </row>
    <row r="35">
      <c r="A35" s="16" t="inlineStr">
        <is>
          <t>Synthetic rating  (Damodaran ICR table)</t>
        </is>
      </c>
      <c r="B35" s="52" t="inlineStr">
        <is>
          <t>AAA</t>
        </is>
      </c>
      <c r="C35" s="43" t="inlineStr">
        <is>
          <t>ICR 999.0x  →  AAA</t>
        </is>
      </c>
    </row>
    <row r="36">
      <c r="A36" s="16" t="inlineStr">
        <is>
          <t>Synthetic Rd  (Rf + Damodaran default spread)</t>
        </is>
      </c>
      <c r="B36" s="45" t="n">
        <v>0.0483</v>
      </c>
      <c r="C36" s="43" t="inlineStr">
        <is>
          <t>Rf 4.29% + spread 0.54%</t>
        </is>
      </c>
    </row>
    <row r="37">
      <c r="A37" s="16" t="inlineStr">
        <is>
          <t>Accounting Rd  (Gross int exp / Avg gross debt)</t>
        </is>
      </c>
      <c r="B37" s="45" t="n">
        <v>0</v>
      </c>
      <c r="C37" s="43" t="inlineStr">
        <is>
          <t>Cross-check only — backward-looking</t>
        </is>
      </c>
    </row>
    <row r="38">
      <c r="A38" s="16" t="inlineStr">
        <is>
          <t xml:space="preserve">  Note: net interest INCOME of $94335mm  (int inc $94335mm &gt; int exp $0mm)</t>
        </is>
      </c>
      <c r="B38" s="52" t="n"/>
      <c r="C38" s="43" t="inlineStr">
        <is>
          <t>Gross Rd is the correct basis here — net figure is distorted</t>
        </is>
      </c>
    </row>
    <row r="39">
      <c r="A39" s="46" t="inlineStr">
        <is>
          <t>► Selected pre-tax Rd  (user override)</t>
        </is>
      </c>
      <c r="B39" s="47" t="n">
        <v>0.0319</v>
      </c>
      <c r="C39" s="48" t="inlineStr">
        <is>
          <t>Default = average of 3 source(s) above — override freely</t>
        </is>
      </c>
    </row>
    <row r="40">
      <c r="A40" s="41" t="n"/>
      <c r="B40" s="41" t="n"/>
      <c r="C40" s="41" t="n"/>
    </row>
    <row r="41" ht="18" customHeight="1">
      <c r="A41" s="24" t="inlineStr">
        <is>
          <t>STEP 6 — TAX RATE</t>
        </is>
      </c>
    </row>
    <row r="42">
      <c r="A42" s="16" t="inlineStr">
        <is>
          <t>Effective tax rate  (tax expense / pre-tax income)</t>
        </is>
      </c>
      <c r="B42" s="45" t="n">
        <v>0.1598</v>
      </c>
      <c r="C42" s="43" t="inlineStr">
        <is>
          <t>FMP: $329646mm  /  $2062812mm</t>
        </is>
      </c>
    </row>
    <row r="43">
      <c r="A43" s="46" t="inlineStr">
        <is>
          <t>► Selected tax rate  (user override)</t>
        </is>
      </c>
      <c r="B43" s="47" t="n">
        <v>0.1598</v>
      </c>
      <c r="C43" s="48" t="inlineStr">
        <is>
          <t>Adjust to normalised / marginal rate if preferred</t>
        </is>
      </c>
    </row>
    <row r="44">
      <c r="A44" s="41" t="n"/>
      <c r="B44" s="41" t="n"/>
      <c r="C44" s="41" t="n"/>
    </row>
    <row r="45" ht="18" customHeight="1">
      <c r="A45" s="3" t="inlineStr">
        <is>
          <t>WACC OUTPUT</t>
        </is>
      </c>
    </row>
    <row r="46" ht="22" customHeight="1">
      <c r="A46" s="53" t="inlineStr">
        <is>
          <t>WACC  =  (E/V × Re)  +  (D/V × Rd × (1 − t))</t>
        </is>
      </c>
      <c r="B46" s="54">
        <f>B8*B29+B9*B39*(1-B43)</f>
        <v/>
      </c>
      <c r="C46" s="55" t="inlineStr">
        <is>
          <t>Used as discount rate in DCF tab</t>
        </is>
      </c>
    </row>
    <row r="47">
      <c r="A47" s="41" t="n"/>
      <c r="B47" s="41" t="n"/>
      <c r="C47" s="41" t="n"/>
    </row>
    <row r="48" ht="18" customHeight="1">
      <c r="A48" s="9" t="inlineStr">
        <is>
          <t>SENSITIVITY — WACC (%)  by Beta offset × ERP offset</t>
        </is>
      </c>
    </row>
    <row r="49">
      <c r="A49" s="56" t="inlineStr">
        <is>
          <t>Beta offset  \  ERP offset →</t>
        </is>
      </c>
      <c r="B49" s="56" t="inlineStr">
        <is>
          <t>-1.0%</t>
        </is>
      </c>
      <c r="C49" s="56" t="inlineStr">
        <is>
          <t>-0.5%</t>
        </is>
      </c>
      <c r="D49" s="56" t="inlineStr">
        <is>
          <t>Base ERP</t>
        </is>
      </c>
      <c r="E49" s="56" t="inlineStr">
        <is>
          <t>+0.5%</t>
        </is>
      </c>
      <c r="F49" s="56" t="inlineStr">
        <is>
          <t>+1.0%</t>
        </is>
      </c>
    </row>
    <row r="50">
      <c r="A50" s="57" t="inlineStr">
        <is>
          <t>-1.0</t>
        </is>
      </c>
      <c r="B50" s="58">
        <f>B8*(B13+(B21+(-1.0))*(B26+(-0.01)))+B9*B39*(1-B43)</f>
        <v/>
      </c>
      <c r="C50" s="58">
        <f>B8*(B13+(B21+(-1.0))*(B26+(-0.005)))+B9*B39*(1-B43)</f>
        <v/>
      </c>
      <c r="D50" s="58">
        <f>B8*(B13+(B21+(-1.0))*(B26+(0.0)))+B9*B39*(1-B43)</f>
        <v/>
      </c>
      <c r="E50" s="58">
        <f>B8*(B13+(B21+(-1.0))*(B26+(0.005)))+B9*B39*(1-B43)</f>
        <v/>
      </c>
      <c r="F50" s="58">
        <f>B8*(B13+(B21+(-1.0))*(B26+(0.01)))+B9*B39*(1-B43)</f>
        <v/>
      </c>
    </row>
    <row r="51">
      <c r="A51" s="57" t="inlineStr">
        <is>
          <t>-0.5</t>
        </is>
      </c>
      <c r="B51" s="58">
        <f>B8*(B13+(B21+(-0.5))*(B26+(-0.01)))+B9*B39*(1-B43)</f>
        <v/>
      </c>
      <c r="C51" s="58">
        <f>B8*(B13+(B21+(-0.5))*(B26+(-0.005)))+B9*B39*(1-B43)</f>
        <v/>
      </c>
      <c r="D51" s="58">
        <f>B8*(B13+(B21+(-0.5))*(B26+(0.0)))+B9*B39*(1-B43)</f>
        <v/>
      </c>
      <c r="E51" s="58">
        <f>B8*(B13+(B21+(-0.5))*(B26+(0.005)))+B9*B39*(1-B43)</f>
        <v/>
      </c>
      <c r="F51" s="58">
        <f>B8*(B13+(B21+(-0.5))*(B26+(0.01)))+B9*B39*(1-B43)</f>
        <v/>
      </c>
    </row>
    <row r="52">
      <c r="A52" s="59" t="inlineStr">
        <is>
          <t>Base β</t>
        </is>
      </c>
      <c r="B52" s="60">
        <f>B8*(B13+(B21+(0.0))*(B26+(-0.01)))+B9*B39*(1-B43)</f>
        <v/>
      </c>
      <c r="C52" s="60">
        <f>B8*(B13+(B21+(0.0))*(B26+(-0.005)))+B9*B39*(1-B43)</f>
        <v/>
      </c>
      <c r="D52" s="61">
        <f>B8*(B13+(B21+(0.0))*(B26+(0.0)))+B9*B39*(1-B43)</f>
        <v/>
      </c>
      <c r="E52" s="60">
        <f>B8*(B13+(B21+(0.0))*(B26+(0.005)))+B9*B39*(1-B43)</f>
        <v/>
      </c>
      <c r="F52" s="60">
        <f>B8*(B13+(B21+(0.0))*(B26+(0.01)))+B9*B39*(1-B43)</f>
        <v/>
      </c>
    </row>
    <row r="53">
      <c r="A53" s="57" t="inlineStr">
        <is>
          <t>+0.5</t>
        </is>
      </c>
      <c r="B53" s="58">
        <f>B8*(B13+(B21+(0.5))*(B26+(-0.01)))+B9*B39*(1-B43)</f>
        <v/>
      </c>
      <c r="C53" s="58">
        <f>B8*(B13+(B21+(0.5))*(B26+(-0.005)))+B9*B39*(1-B43)</f>
        <v/>
      </c>
      <c r="D53" s="58">
        <f>B8*(B13+(B21+(0.5))*(B26+(0.0)))+B9*B39*(1-B43)</f>
        <v/>
      </c>
      <c r="E53" s="58">
        <f>B8*(B13+(B21+(0.5))*(B26+(0.005)))+B9*B39*(1-B43)</f>
        <v/>
      </c>
      <c r="F53" s="58">
        <f>B8*(B13+(B21+(0.5))*(B26+(0.01)))+B9*B39*(1-B43)</f>
        <v/>
      </c>
    </row>
    <row r="54">
      <c r="A54" s="57" t="inlineStr">
        <is>
          <t>+1.0</t>
        </is>
      </c>
      <c r="B54" s="58">
        <f>B8*(B13+(B21+(1.0))*(B26+(-0.01)))+B9*B39*(1-B43)</f>
        <v/>
      </c>
      <c r="C54" s="58">
        <f>B8*(B13+(B21+(1.0))*(B26+(-0.005)))+B9*B39*(1-B43)</f>
        <v/>
      </c>
      <c r="D54" s="58">
        <f>B8*(B13+(B21+(1.0))*(B26+(0.0)))+B9*B39*(1-B43)</f>
        <v/>
      </c>
      <c r="E54" s="58">
        <f>B8*(B13+(B21+(1.0))*(B26+(0.005)))+B9*B39*(1-B43)</f>
        <v/>
      </c>
      <c r="F54" s="58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2" t="inlineStr">
        <is>
          <t>Source / Notes</t>
        </is>
      </c>
    </row>
    <row r="4" ht="16" customHeight="1">
      <c r="A4" s="67" t="inlineStr">
        <is>
          <t>FMP analyst consensus: 2026E – 2029E  (4 years)   |   User estimates required from: 2030E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 t="n">
        <v>0.4261</v>
      </c>
      <c r="D7" s="70" t="n">
        <v>-0.0451</v>
      </c>
      <c r="E7" s="70" t="n">
        <v>0.3389</v>
      </c>
      <c r="F7" s="70" t="n">
        <v>0.3297</v>
      </c>
      <c r="G7" s="71" t="n">
        <v>0.3172</v>
      </c>
      <c r="H7" s="71" t="n">
        <v>0.2461</v>
      </c>
      <c r="I7" s="71" t="n">
        <v>0.2258</v>
      </c>
      <c r="J7" s="71" t="n">
        <v>0.0233</v>
      </c>
      <c r="K7" s="72" t="n">
        <v>0.08</v>
      </c>
      <c r="L7" s="73" t="n">
        <v>0.03</v>
      </c>
      <c r="M7" s="74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8" t="inlineStr">
        <is>
          <t>EBITDA Margin %</t>
        </is>
      </c>
      <c r="B8" s="70" t="n">
        <v>0.6872</v>
      </c>
      <c r="C8" s="70" t="n">
        <v>0.7037</v>
      </c>
      <c r="D8" s="70" t="n">
        <v>0.7048</v>
      </c>
      <c r="E8" s="70" t="n">
        <v>0.6858</v>
      </c>
      <c r="F8" s="70" t="n">
        <v>0.7151999999999999</v>
      </c>
      <c r="G8" s="71" t="n">
        <v>0.6993</v>
      </c>
      <c r="H8" s="71" t="n">
        <v>0.6993</v>
      </c>
      <c r="I8" s="71" t="n">
        <v>0.6993</v>
      </c>
      <c r="J8" s="71" t="n">
        <v>0.6993</v>
      </c>
      <c r="K8" s="72" t="n">
        <v>0.6993</v>
      </c>
      <c r="L8" s="73" t="n">
        <v>0.7151999999999999</v>
      </c>
      <c r="M8" s="74" t="inlineStr">
        <is>
          <t>FMP consensus years: margin back-calculated from analyst EBITDA / Revenue.  Terminal: enter your long-run normalised EBITDA margin.</t>
        </is>
      </c>
    </row>
    <row r="9" ht="20" customHeight="1">
      <c r="A9" s="68" t="inlineStr">
        <is>
          <t>D&amp;A as % of Revenue  (user input — FMP does not estimate)</t>
        </is>
      </c>
      <c r="B9" s="70" t="n">
        <v>0.2661</v>
      </c>
      <c r="C9" s="70" t="n">
        <v>0.1931</v>
      </c>
      <c r="D9" s="70" t="n">
        <v>0.2462</v>
      </c>
      <c r="E9" s="70" t="n">
        <v>0.229</v>
      </c>
      <c r="F9" s="70" t="n">
        <v>0.1806</v>
      </c>
      <c r="G9" s="72" t="n">
        <v>0.1806</v>
      </c>
      <c r="H9" s="72" t="n">
        <v>0.1806</v>
      </c>
      <c r="I9" s="72" t="n">
        <v>0.1806</v>
      </c>
      <c r="J9" s="72" t="n">
        <v>0.1806</v>
      </c>
      <c r="K9" s="72" t="n">
        <v>0.1806</v>
      </c>
      <c r="L9" s="73" t="n">
        <v>0.1806</v>
      </c>
      <c r="M9" s="74" t="inlineStr">
        <is>
          <t>Historical from 3-statement model.  FMP provides no forward D&amp;A estimate — enter your own.</t>
        </is>
      </c>
    </row>
    <row r="10" ht="20" customHeight="1">
      <c r="A10" s="68" t="inlineStr">
        <is>
          <t>CapEx as % of Revenue  (user input)</t>
        </is>
      </c>
      <c r="B10" s="70" t="n">
        <v>0.5351</v>
      </c>
      <c r="C10" s="70" t="n">
        <v>0.4813</v>
      </c>
      <c r="D10" s="70" t="n">
        <v>0.442</v>
      </c>
      <c r="E10" s="70" t="n">
        <v>0.3303</v>
      </c>
      <c r="F10" s="70" t="n">
        <v>0.334</v>
      </c>
      <c r="G10" s="72" t="n">
        <v>0.334</v>
      </c>
      <c r="H10" s="72" t="n">
        <v>0.334</v>
      </c>
      <c r="I10" s="72" t="n">
        <v>0.334</v>
      </c>
      <c r="J10" s="72" t="n">
        <v>0.334</v>
      </c>
      <c r="K10" s="72" t="n">
        <v>0.334</v>
      </c>
      <c r="L10" s="73" t="n">
        <v>0.334</v>
      </c>
      <c r="M10" s="74" t="inlineStr">
        <is>
          <t>Historical from cash flow statement.  Adjust for known capex programmes.</t>
        </is>
      </c>
    </row>
    <row r="11" ht="20" customHeight="1">
      <c r="A11" s="68" t="inlineStr">
        <is>
          <t>Change in NWC as % of Revenue  (user input)</t>
        </is>
      </c>
      <c r="B11" s="70" t="n">
        <v>0.01</v>
      </c>
      <c r="C11" s="70" t="n">
        <v>0.01</v>
      </c>
      <c r="D11" s="70" t="n">
        <v>0.01</v>
      </c>
      <c r="E11" s="70" t="n">
        <v>0.01</v>
      </c>
      <c r="F11" s="70" t="n">
        <v>0.01</v>
      </c>
      <c r="G11" s="72" t="n">
        <v>0.01</v>
      </c>
      <c r="H11" s="72" t="n">
        <v>0.01</v>
      </c>
      <c r="I11" s="72" t="n">
        <v>0.01</v>
      </c>
      <c r="J11" s="72" t="n">
        <v>0.01</v>
      </c>
      <c r="K11" s="72" t="n">
        <v>0.01</v>
      </c>
      <c r="L11" s="73" t="n">
        <v>0.01</v>
      </c>
      <c r="M11" s="74" t="inlineStr">
        <is>
          <t>Cross-ref historical NWC change from Ratios &amp; FCF tab.</t>
        </is>
      </c>
    </row>
    <row r="12" ht="20" customHeight="1">
      <c r="A12" s="68" t="inlineStr">
        <is>
          <t>Effective Tax Rate  (user input — adjust to normalised if needed)</t>
        </is>
      </c>
      <c r="B12" s="70" t="n">
        <v>0.1058</v>
      </c>
      <c r="C12" s="70" t="n">
        <v>0.1318</v>
      </c>
      <c r="D12" s="70" t="n">
        <v>0.131</v>
      </c>
      <c r="E12" s="70" t="n">
        <v>0.1766</v>
      </c>
      <c r="F12" s="70" t="n">
        <v>0.1598</v>
      </c>
      <c r="G12" s="72" t="n">
        <v>0.1598</v>
      </c>
      <c r="H12" s="72" t="n">
        <v>0.1598</v>
      </c>
      <c r="I12" s="72" t="n">
        <v>0.1598</v>
      </c>
      <c r="J12" s="72" t="n">
        <v>0.1598</v>
      </c>
      <c r="K12" s="72" t="n">
        <v>0.1598</v>
      </c>
      <c r="L12" s="73" t="n">
        <v>0.1598</v>
      </c>
      <c r="M12" s="74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 t="n">
        <v>1587415</v>
      </c>
      <c r="C15" s="76" t="n">
        <v>2263891.3</v>
      </c>
      <c r="D15" s="76" t="n">
        <v>2161736</v>
      </c>
      <c r="E15" s="76" t="n">
        <v>2894308</v>
      </c>
      <c r="F15" s="76" t="n">
        <v>3848510.9</v>
      </c>
      <c r="G15" s="77" t="n">
        <v>5069188.1</v>
      </c>
      <c r="H15" s="77" t="n">
        <v>6316906.7</v>
      </c>
      <c r="I15" s="77" t="n">
        <v>7743182.7</v>
      </c>
      <c r="J15" s="77" t="n">
        <v>7923916.4</v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4,897,870 — 5,279,944</t>
        </is>
      </c>
      <c r="H16" s="82" t="inlineStr">
        <is>
          <t>5,959,310 — 6,849,517</t>
        </is>
      </c>
      <c r="I16" s="82" t="inlineStr">
        <is>
          <t>6,663,175 — 8,377,620</t>
        </is>
      </c>
      <c r="J16" s="82" t="inlineStr">
        <is>
          <t>6,818,700 — 8,573,163</t>
        </is>
      </c>
      <c r="K16" s="83" t="inlineStr">
        <is>
          <t>—</t>
        </is>
      </c>
      <c r="L16" s="84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5" t="n">
        <v>21</v>
      </c>
      <c r="H17" s="85" t="n">
        <v>20</v>
      </c>
      <c r="I17" s="85" t="n">
        <v>10</v>
      </c>
      <c r="J17" s="85" t="n">
        <v>11</v>
      </c>
      <c r="K17" s="83" t="inlineStr">
        <is>
          <t>—</t>
        </is>
      </c>
      <c r="L17" s="84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9">
        <f>IFERROR(K15/J15-1,"")</f>
        <v/>
      </c>
      <c r="L18" s="90">
        <f>L7</f>
        <v/>
      </c>
      <c r="M18" s="80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5" t="inlineStr">
        <is>
          <t>EBITDA</t>
        </is>
      </c>
      <c r="B20" s="76" t="n">
        <v>1090845.1</v>
      </c>
      <c r="C20" s="76" t="n">
        <v>1593076.5</v>
      </c>
      <c r="D20" s="76" t="n">
        <v>1523506.8</v>
      </c>
      <c r="E20" s="76" t="n">
        <v>1984849</v>
      </c>
      <c r="F20" s="76" t="n">
        <v>2752481.9</v>
      </c>
      <c r="G20" s="77" t="n">
        <v>3545002.2</v>
      </c>
      <c r="H20" s="77" t="n">
        <v>4417561.1</v>
      </c>
      <c r="I20" s="77" t="n">
        <v>5414989.3</v>
      </c>
      <c r="J20" s="77" t="n">
        <v>5541380.6</v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3,425,195 — 3,692,389</t>
        </is>
      </c>
      <c r="H21" s="82" t="inlineStr">
        <is>
          <t>4,167,485 — 4,790,028</t>
        </is>
      </c>
      <c r="I21" s="82" t="inlineStr">
        <is>
          <t>4,659,714 — 5,858,667</t>
        </is>
      </c>
      <c r="J21" s="82" t="inlineStr">
        <is>
          <t>4,768,477 — 5,995,414</t>
        </is>
      </c>
      <c r="K21" s="83" t="inlineStr">
        <is>
          <t>—</t>
        </is>
      </c>
      <c r="L21" s="84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9">
        <f>IFERROR(K20/K15,"")</f>
        <v/>
      </c>
      <c r="L22" s="90">
        <f>IFERROR(L20/L15,"")</f>
        <v/>
      </c>
      <c r="M22" s="80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91" t="inlineStr">
        <is>
          <t xml:space="preserve">  Less: D&amp;A</t>
        </is>
      </c>
      <c r="B25" s="76" t="n">
        <v>-422394.9</v>
      </c>
      <c r="C25" s="76" t="n">
        <v>-437254.3</v>
      </c>
      <c r="D25" s="76" t="n">
        <v>-532190.9</v>
      </c>
      <c r="E25" s="76" t="n">
        <v>-662796</v>
      </c>
      <c r="F25" s="76" t="n">
        <v>-695223.8</v>
      </c>
      <c r="G25" s="92">
        <f>-G15*G9</f>
        <v/>
      </c>
      <c r="H25" s="92">
        <f>-H15*H9</f>
        <v/>
      </c>
      <c r="I25" s="92">
        <f>-I15*I9</f>
        <v/>
      </c>
      <c r="J25" s="92">
        <f>-J15*J9</f>
        <v/>
      </c>
      <c r="K25" s="78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3" t="n">
        <v>668450.2</v>
      </c>
      <c r="C26" s="93" t="n">
        <v>1155822.2</v>
      </c>
      <c r="D26" s="93" t="n">
        <v>991315.9</v>
      </c>
      <c r="E26" s="93" t="n">
        <v>1322053</v>
      </c>
      <c r="F26" s="93" t="n">
        <v>2057258.1</v>
      </c>
      <c r="G26" s="94">
        <f>G20+G25</f>
        <v/>
      </c>
      <c r="H26" s="94">
        <f>H20+H25</f>
        <v/>
      </c>
      <c r="I26" s="94">
        <f>I20+I25</f>
        <v/>
      </c>
      <c r="J26" s="94">
        <f>J20+J25</f>
        <v/>
      </c>
      <c r="K26" s="94">
        <f>K20+K25</f>
        <v/>
      </c>
      <c r="L26" s="94">
        <f>L20+L25</f>
        <v/>
      </c>
      <c r="M26" s="80">
        <f> EBITDA + D&amp;A  (GAAP operating income, EBIT)</f>
        <v/>
      </c>
    </row>
    <row r="27" ht="20" customHeight="1">
      <c r="A27" s="91" t="inlineStr">
        <is>
          <t xml:space="preserve">  Less: Tax on EBIT  (unlevered)</t>
        </is>
      </c>
      <c r="B27" s="95" t="n">
        <v>-70728.3</v>
      </c>
      <c r="C27" s="95" t="n">
        <v>-152326</v>
      </c>
      <c r="D27" s="95" t="n">
        <v>-129880</v>
      </c>
      <c r="E27" s="95" t="n">
        <v>-233516.8</v>
      </c>
      <c r="F27" s="95" t="n">
        <v>-328758.2</v>
      </c>
      <c r="G27" s="96">
        <f>-G26*G12</f>
        <v/>
      </c>
      <c r="H27" s="96">
        <f>-H26*H12</f>
        <v/>
      </c>
      <c r="I27" s="96">
        <f>-I26*I12</f>
        <v/>
      </c>
      <c r="J27" s="96">
        <f>-J26*J12</f>
        <v/>
      </c>
      <c r="K27" s="96">
        <f>-K26*K12</f>
        <v/>
      </c>
      <c r="L27" s="96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3" t="n">
        <v>597721.9</v>
      </c>
      <c r="C28" s="93" t="n">
        <v>1003496.2</v>
      </c>
      <c r="D28" s="93" t="n">
        <v>861435.9</v>
      </c>
      <c r="E28" s="93" t="n">
        <v>1088536.2</v>
      </c>
      <c r="F28" s="93" t="n">
        <v>1728499.9</v>
      </c>
      <c r="G28" s="97">
        <f>G26+G27</f>
        <v/>
      </c>
      <c r="H28" s="97">
        <f>H26+H27</f>
        <v/>
      </c>
      <c r="I28" s="97">
        <f>I26+I27</f>
        <v/>
      </c>
      <c r="J28" s="97">
        <f>J26+J27</f>
        <v/>
      </c>
      <c r="K28" s="97">
        <f>K26+K27</f>
        <v/>
      </c>
      <c r="L28" s="97">
        <f>L26+L27</f>
        <v/>
      </c>
      <c r="M28" s="80">
        <f> EBIT × (1 − tax rate)</f>
        <v/>
      </c>
    </row>
    <row r="29" ht="20" customHeight="1">
      <c r="A29" s="91" t="inlineStr">
        <is>
          <t xml:space="preserve">  (+) D&amp;A add-back  (non-cash)</t>
        </is>
      </c>
      <c r="B29" s="95" t="n">
        <v>422394.9</v>
      </c>
      <c r="C29" s="95" t="n">
        <v>437254.3</v>
      </c>
      <c r="D29" s="95" t="n">
        <v>532190.9</v>
      </c>
      <c r="E29" s="95" t="n">
        <v>662796</v>
      </c>
      <c r="F29" s="95" t="n">
        <v>695223.8</v>
      </c>
      <c r="G29" s="96">
        <f>-G25</f>
        <v/>
      </c>
      <c r="H29" s="96">
        <f>-H25</f>
        <v/>
      </c>
      <c r="I29" s="96">
        <f>-I25</f>
        <v/>
      </c>
      <c r="J29" s="96">
        <f>-J25</f>
        <v/>
      </c>
      <c r="K29" s="96">
        <f>-K25</f>
        <v/>
      </c>
      <c r="L29" s="96">
        <f>-L25</f>
        <v/>
      </c>
      <c r="M29" s="80">
        <f> D&amp;A added back (non-cash charge — converts NOPAT to cash basis)</f>
        <v/>
      </c>
    </row>
    <row r="30" ht="20" customHeight="1">
      <c r="A30" s="91" t="inlineStr">
        <is>
          <t xml:space="preserve">  (−) Capital Expenditures</t>
        </is>
      </c>
      <c r="B30" s="76" t="n">
        <v>-849436.5</v>
      </c>
      <c r="C30" s="76" t="n">
        <v>-1089626.5</v>
      </c>
      <c r="D30" s="76" t="n">
        <v>-955398.4</v>
      </c>
      <c r="E30" s="76" t="n">
        <v>-956007</v>
      </c>
      <c r="F30" s="76" t="n">
        <v>-1285591.6</v>
      </c>
      <c r="G30" s="96">
        <f>-G15*G10</f>
        <v/>
      </c>
      <c r="H30" s="96">
        <f>-H15*H10</f>
        <v/>
      </c>
      <c r="I30" s="96">
        <f>-I15*I10</f>
        <v/>
      </c>
      <c r="J30" s="96">
        <f>-J15*J10</f>
        <v/>
      </c>
      <c r="K30" s="96">
        <f>-K15*K10</f>
        <v/>
      </c>
      <c r="L30" s="96">
        <f>-L15*L10</f>
        <v/>
      </c>
      <c r="M30" s="80">
        <f> Revenue × CapEx % assumption  (negative = cash outflow)</f>
        <v/>
      </c>
    </row>
    <row r="31" ht="20" customHeight="1">
      <c r="A31" s="91" t="inlineStr">
        <is>
          <t xml:space="preserve">  (−) Increase in Net Working Capital</t>
        </is>
      </c>
      <c r="B31" s="95" t="n"/>
      <c r="C31" s="95" t="n"/>
      <c r="D31" s="95" t="n"/>
      <c r="E31" s="95" t="n"/>
      <c r="F31" s="95" t="n"/>
      <c r="G31" s="96">
        <f>-G15*G11</f>
        <v/>
      </c>
      <c r="H31" s="96">
        <f>-H15*H11</f>
        <v/>
      </c>
      <c r="I31" s="96">
        <f>-I15*I11</f>
        <v/>
      </c>
      <c r="J31" s="96">
        <f>-J15*J11</f>
        <v/>
      </c>
      <c r="K31" s="96">
        <f>-K15*K11</f>
        <v/>
      </c>
      <c r="L31" s="96">
        <f>-L15*L11</f>
        <v/>
      </c>
      <c r="M31" s="80">
        <f> Revenue × NWC % (positive revenue growth ties up cash in working capital)</f>
        <v/>
      </c>
    </row>
    <row r="32" ht="20" customHeight="1">
      <c r="A32" s="75" t="inlineStr">
        <is>
          <t>UNLEVERED FREE CASH FLOW  (UFCF)</t>
        </is>
      </c>
      <c r="B32" s="93" t="n">
        <v>170680.4</v>
      </c>
      <c r="C32" s="93" t="n">
        <v>351124</v>
      </c>
      <c r="D32" s="93" t="n">
        <v>438228.4</v>
      </c>
      <c r="E32" s="93" t="n">
        <v>795325.2</v>
      </c>
      <c r="F32" s="93" t="n">
        <v>1138132.2</v>
      </c>
      <c r="G32" s="97">
        <f>G28+G29+G30+G31</f>
        <v/>
      </c>
      <c r="H32" s="97">
        <f>H28+H29+H30+H31</f>
        <v/>
      </c>
      <c r="I32" s="97">
        <f>I28+I29+I30+I31</f>
        <v/>
      </c>
      <c r="J32" s="97">
        <f>J28+J29+J30+J31</f>
        <v/>
      </c>
      <c r="K32" s="97">
        <f>K28+K29+K30+K31</f>
        <v/>
      </c>
      <c r="L32" s="97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 t="n">
        <v>0.1075</v>
      </c>
      <c r="C33" s="87" t="n">
        <v>0.1551</v>
      </c>
      <c r="D33" s="87" t="n">
        <v>0.2027</v>
      </c>
      <c r="E33" s="87" t="n">
        <v>0.2748</v>
      </c>
      <c r="F33" s="87" t="n">
        <v>0.2957</v>
      </c>
      <c r="G33" s="98">
        <f>IFERROR(G32/G15,"")</f>
        <v/>
      </c>
      <c r="H33" s="98">
        <f>IFERROR(H32/H15,"")</f>
        <v/>
      </c>
      <c r="I33" s="98">
        <f>IFERROR(I32/I15,"")</f>
        <v/>
      </c>
      <c r="J33" s="98">
        <f>IFERROR(J32/J15,"")</f>
        <v/>
      </c>
      <c r="K33" s="98">
        <f>IFERROR(K32/K15,"")</f>
        <v/>
      </c>
      <c r="L33" s="98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9">
        <f>WACC!B46</f>
        <v/>
      </c>
      <c r="C36" s="100" t="n"/>
      <c r="D36" s="100" t="n"/>
      <c r="E36" s="100" t="n"/>
      <c r="F36" s="100" t="n"/>
      <c r="G36" s="100" t="n"/>
      <c r="H36" s="100" t="n"/>
      <c r="I36" s="100" t="n"/>
      <c r="J36" s="100" t="n"/>
      <c r="K36" s="100" t="n"/>
      <c r="L36" s="100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1" t="n">
        <v>0.03</v>
      </c>
      <c r="C37" s="100" t="n"/>
      <c r="D37" s="100" t="n"/>
      <c r="E37" s="100" t="n"/>
      <c r="F37" s="100" t="n"/>
      <c r="G37" s="100" t="n"/>
      <c r="H37" s="100" t="n"/>
      <c r="I37" s="100" t="n"/>
      <c r="J37" s="100" t="n"/>
      <c r="K37" s="100" t="n"/>
      <c r="L37" s="100" t="n"/>
      <c r="M37" s="74" t="inlineStr">
        <is>
          <t>Long-run nominal GDP growth rate — typically 2-4% for US.  Keep below WACC.</t>
        </is>
      </c>
    </row>
    <row r="38" ht="20" customHeight="1">
      <c r="A38" s="68" t="inlineStr">
        <is>
          <t>Terminal EV/EBITDA Multiple  (exit multiple method)</t>
        </is>
      </c>
      <c r="B38" s="102" t="n">
        <v>20</v>
      </c>
      <c r="C38" s="100" t="n"/>
      <c r="D38" s="100" t="n"/>
      <c r="E38" s="100" t="n"/>
      <c r="F38" s="100" t="n"/>
      <c r="G38" s="100" t="n"/>
      <c r="H38" s="100" t="n"/>
      <c r="I38" s="100" t="n"/>
      <c r="J38" s="100" t="n"/>
      <c r="K38" s="100" t="n"/>
      <c r="L38" s="100" t="n"/>
      <c r="M38" s="74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3" t="inlineStr">
        <is>
          <t>Terminal Year UFCF  (grown by g)</t>
        </is>
      </c>
      <c r="B40" s="104">
        <f>L32</f>
        <v/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7">
        <f>B40/(B36-B37)</f>
        <v/>
      </c>
      <c r="C41" s="106" t="n"/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7">
        <f>L20*B38</f>
        <v/>
      </c>
      <c r="C42" s="106" t="n"/>
      <c r="D42" s="106" t="n"/>
      <c r="E42" s="106" t="n"/>
      <c r="F42" s="106" t="n"/>
      <c r="G42" s="106" t="n"/>
      <c r="H42" s="106" t="n"/>
      <c r="I42" s="106" t="n"/>
      <c r="J42" s="106" t="n"/>
      <c r="K42" s="106" t="n"/>
      <c r="L42" s="106" t="n"/>
      <c r="M42" s="80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3" t="inlineStr">
        <is>
          <t>Discount Period  (mid-year convention)</t>
        </is>
      </c>
      <c r="G45" s="107" t="n">
        <v>0.5</v>
      </c>
      <c r="H45" s="107" t="n">
        <v>1.5</v>
      </c>
      <c r="I45" s="107" t="n">
        <v>2.5</v>
      </c>
      <c r="J45" s="107" t="n">
        <v>3.5</v>
      </c>
      <c r="K45" s="107" t="n">
        <v>4.5</v>
      </c>
      <c r="L45" s="108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3" t="inlineStr">
        <is>
          <t>Discount Factor  =  1 / (1 + WACC) ^ period</t>
        </is>
      </c>
      <c r="G46" s="109">
        <f>1/(1+B36)^G45</f>
        <v/>
      </c>
      <c r="H46" s="109">
        <f>1/(1+B36)^H45</f>
        <v/>
      </c>
      <c r="I46" s="109">
        <f>1/(1+B36)^I45</f>
        <v/>
      </c>
      <c r="J46" s="109">
        <f>1/(1+B36)^J45</f>
        <v/>
      </c>
      <c r="K46" s="109">
        <f>1/(1+B36)^K45</f>
        <v/>
      </c>
      <c r="L46" s="110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7">
        <f>G32*G46</f>
        <v/>
      </c>
      <c r="H47" s="97">
        <f>H32*H46</f>
        <v/>
      </c>
      <c r="I47" s="97">
        <f>I32*I46</f>
        <v/>
      </c>
      <c r="J47" s="97">
        <f>J32*J46</f>
        <v/>
      </c>
      <c r="K47" s="97">
        <f>K32*K46</f>
        <v/>
      </c>
      <c r="L47" s="106" t="n"/>
      <c r="M47" s="80">
        <f> UFCF × discount factor</f>
        <v/>
      </c>
    </row>
    <row r="48" ht="20" customHeight="1">
      <c r="A48" s="62" t="inlineStr">
        <is>
          <t>Sum of PV of FCFs  (explicit period)</t>
        </is>
      </c>
      <c r="B48" s="94">
        <f>G47+H47+I47+J47+K47</f>
        <v/>
      </c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80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4">
        <f>B41*L46</f>
        <v/>
      </c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1" t="n"/>
      <c r="L49" s="111" t="n"/>
      <c r="M49" s="80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4">
        <f>B42*L46</f>
        <v/>
      </c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80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7">
        <f>B48+B49</f>
        <v/>
      </c>
      <c r="C53" s="106" t="n"/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</row>
    <row r="54">
      <c r="A54" s="75" t="inlineStr">
        <is>
          <t>Enterprise Value  [Exit Multiple]</t>
        </is>
      </c>
      <c r="B54" s="97">
        <f>B48+B50</f>
        <v/>
      </c>
      <c r="C54" s="106" t="n"/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</row>
    <row r="55" ht="20" customHeight="1">
      <c r="A55" s="91" t="inlineStr">
        <is>
          <t xml:space="preserve">  Less: Net Debt  (Debt − Cash)</t>
        </is>
      </c>
      <c r="B55" s="104" t="n">
        <v>-1727457.6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80" t="inlineStr">
        <is>
          <t>Auto-linked from Balance Sheet: Debt $1,032,602mm − Cash $2,760,060mm = $-1,727,458mm  (negative = net cash)</t>
        </is>
      </c>
    </row>
    <row r="56" ht="20" customHeight="1">
      <c r="A56" s="91" t="inlineStr">
        <is>
          <t xml:space="preserve">  Less: Minority Interest</t>
        </is>
      </c>
      <c r="B56" s="104" t="n">
        <v>41083</v>
      </c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80" t="inlineStr">
        <is>
          <t>Auto-linked from Balance Sheet: minorityInterest</t>
        </is>
      </c>
    </row>
    <row r="57" ht="20" customHeight="1">
      <c r="A57" s="91" t="inlineStr">
        <is>
          <t xml:space="preserve">  Shares Outstanding — Diluted  (mm)</t>
        </is>
      </c>
      <c r="B57" s="104" t="n">
        <v>5186.2</v>
      </c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80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5" t="inlineStr">
        <is>
          <t>Implied Share Price  [Gordon Growth]  ($)</t>
        </is>
      </c>
      <c r="B59" s="112">
        <f>IFERROR((B53-B55-B56)/B57,"")</f>
        <v/>
      </c>
      <c r="C59" s="106" t="n"/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</row>
    <row r="60">
      <c r="A60" s="75" t="inlineStr">
        <is>
          <t>Implied Share Price  [Exit Multiple]  ($)</t>
        </is>
      </c>
      <c r="B60" s="112">
        <f>IFERROR((B54-B55-B56)/B57,"")</f>
        <v/>
      </c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</row>
    <row r="61" ht="20" customHeight="1">
      <c r="A61" s="103" t="inlineStr">
        <is>
          <t>Current Market Price  ($)</t>
        </is>
      </c>
      <c r="B61" s="113" t="n">
        <v>363.35</v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80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4">
        <f>IFERROR(B59/B61-1,"")</f>
        <v/>
      </c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</row>
    <row r="63">
      <c r="A63" s="62" t="inlineStr">
        <is>
          <t>Upside / (Downside)  [Exit Multiple]</t>
        </is>
      </c>
      <c r="B63" s="114">
        <f>IFERROR(B60/B61-1,"")</f>
        <v/>
      </c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5" t="inlineStr">
        <is>
          <t>JS SCORECARD — TSM  |  Master Prompt v2  |  17 Apr 2026</t>
        </is>
      </c>
    </row>
    <row r="2" ht="18" customHeight="1">
      <c r="A2" s="116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7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8" t="inlineStr">
        <is>
          <t>CRITERION</t>
        </is>
      </c>
      <c r="B6" s="119" t="inlineStr">
        <is>
          <t>PART</t>
        </is>
      </c>
      <c r="C6" s="119" t="inlineStr">
        <is>
          <t>WEIGHT %</t>
        </is>
      </c>
      <c r="D6" s="119" t="inlineStr">
        <is>
          <t>CALCULATED VALUE</t>
        </is>
      </c>
      <c r="E6" s="119" t="inlineStr">
        <is>
          <t>TIER  ▼</t>
        </is>
      </c>
      <c r="F6" s="119" t="inlineStr">
        <is>
          <t>SCORE</t>
        </is>
      </c>
      <c r="G6" s="119" t="inlineStr">
        <is>
          <t>WTD SCORE</t>
        </is>
      </c>
      <c r="H6" s="118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20" t="inlineStr">
        <is>
          <t xml:space="preserve">  Business Clarity</t>
        </is>
      </c>
      <c r="B8" s="121" t="inlineStr">
        <is>
          <t>P1</t>
        </is>
      </c>
      <c r="C8" s="122" t="n">
        <v>0.025</v>
      </c>
      <c r="D8" s="123" t="inlineStr">
        <is>
          <t>— user input required</t>
        </is>
      </c>
      <c r="E8" s="124" t="n"/>
      <c r="F8" s="125">
        <f>IF(E8="HIGH",10,IF(E8="MOD-HIGH",7,IF(E8="MOD-LOW",3,IF(E8="LOW",0,""))))</f>
        <v/>
      </c>
      <c r="G8" s="126">
        <f>IF(F8="","",C8*F8)</f>
        <v/>
      </c>
      <c r="H8" s="127" t="inlineStr"/>
    </row>
    <row r="9" ht="18" customHeight="1">
      <c r="A9" s="128" t="inlineStr">
        <is>
          <t xml:space="preserve">  Moat Profile</t>
        </is>
      </c>
      <c r="B9" s="129" t="inlineStr">
        <is>
          <t>P1</t>
        </is>
      </c>
      <c r="C9" s="130" t="n">
        <v>0.1</v>
      </c>
      <c r="D9" s="131" t="inlineStr">
        <is>
          <t>GM 59.9% ✓ (&gt;40%)  |  GM trend +0.3% ✗ (&gt;+1pp)  |  ROIC-WACC +38.3% ✓ (&gt;+5pp)  |  Rev consistency σ=18.1% ✗ (&lt;8%)  [2/4 indicators positive — proxy score]</t>
        </is>
      </c>
      <c r="E9" s="132" t="inlineStr">
        <is>
          <t>MOD-LOW</t>
        </is>
      </c>
      <c r="F9" s="133">
        <f>IF(E9="HIGH",10,IF(E9="MOD-HIGH",7,IF(E9="MOD-LOW",3,IF(E9="LOW",0,""))))</f>
        <v/>
      </c>
      <c r="G9" s="134">
        <f>IF(F9="","",C9*F9)</f>
        <v/>
      </c>
      <c r="H9" s="135" t="inlineStr">
        <is>
          <t>GM 59.9% ✓ (&gt;40%)  |  GM trend +0.3% ✗ (&gt;+1pp)  |  ROIC-WACC +38.3% ✓ (&gt;+5pp)  |  Rev consistency σ=18.1% ✗ (&lt;8%)  [2/4 indicators positive — proxy score]</t>
        </is>
      </c>
    </row>
    <row r="10" ht="18" customHeight="1">
      <c r="A10" s="120" t="inlineStr">
        <is>
          <t xml:space="preserve">  Long-Term Potential</t>
        </is>
      </c>
      <c r="B10" s="121" t="inlineStr">
        <is>
          <t>P1</t>
        </is>
      </c>
      <c r="C10" s="122" t="n">
        <v>0.1</v>
      </c>
      <c r="D10" s="123" t="inlineStr">
        <is>
          <t>— user input required</t>
        </is>
      </c>
      <c r="E10" s="124" t="n"/>
      <c r="F10" s="125">
        <f>IF(E10="HIGH",10,IF(E10="MOD-HIGH",7,IF(E10="MOD-LOW",3,IF(E10="LOW",0,""))))</f>
        <v/>
      </c>
      <c r="G10" s="126">
        <f>IF(F10="","",C10*F10)</f>
        <v/>
      </c>
      <c r="H10" s="127" t="inlineStr"/>
    </row>
    <row r="11" ht="18" customHeight="1">
      <c r="A11" s="128" t="inlineStr">
        <is>
          <t xml:space="preserve">  Management</t>
        </is>
      </c>
      <c r="B11" s="129" t="inlineStr">
        <is>
          <t>P1</t>
        </is>
      </c>
      <c r="C11" s="130" t="n">
        <v>0.075</v>
      </c>
      <c r="D11" s="131" t="inlineStr">
        <is>
          <t>ROIC trend +4.4% ✓ (≥-2pp)  |  GM maintained +0.3% ✓  |  Op margin +1.3% ✓ (≥-2pp)  |  Capital returns LOW ✗  [3/4 indicators positive — proxy score]</t>
        </is>
      </c>
      <c r="E11" s="136" t="inlineStr">
        <is>
          <t>MOD-HIGH</t>
        </is>
      </c>
      <c r="F11" s="133">
        <f>IF(E11="HIGH",10,IF(E11="MOD-HIGH",7,IF(E11="MOD-LOW",3,IF(E11="LOW",0,""))))</f>
        <v/>
      </c>
      <c r="G11" s="134">
        <f>IF(F11="","",C11*F11)</f>
        <v/>
      </c>
      <c r="H11" s="135" t="inlineStr">
        <is>
          <t>ROIC trend +4.4% ✓ (≥-2pp)  |  GM maintained +0.3% ✓  |  Op margin +1.3% ✓ (≥-2pp)  |  Capital returns LOW ✗  [3/4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8" t="inlineStr">
        <is>
          <t xml:space="preserve">  Revenue 3yr CAGR</t>
        </is>
      </c>
      <c r="B13" s="129" t="inlineStr">
        <is>
          <t>P2</t>
        </is>
      </c>
      <c r="C13" s="130" t="n">
        <v>0.1</v>
      </c>
      <c r="D13" s="131" t="inlineStr">
        <is>
          <t>19.3%</t>
        </is>
      </c>
      <c r="E13" s="137" t="inlineStr">
        <is>
          <t>HIGH</t>
        </is>
      </c>
      <c r="F13" s="133">
        <f>IF(E13="HIGH",10,IF(E13="MOD-HIGH",7,IF(E13="MOD-LOW",3,IF(E13="LOW",0,""))))</f>
        <v/>
      </c>
      <c r="G13" s="134">
        <f>IF(F13="","",C13*F13)</f>
        <v/>
      </c>
      <c r="H13" s="135" t="inlineStr">
        <is>
          <t>19.3%</t>
        </is>
      </c>
    </row>
    <row r="14" ht="18" customHeight="1">
      <c r="A14" s="128" t="inlineStr">
        <is>
          <t xml:space="preserve">  Cash Quality  (FCF / Net Income)</t>
        </is>
      </c>
      <c r="B14" s="129" t="inlineStr">
        <is>
          <t>P2</t>
        </is>
      </c>
      <c r="C14" s="130" t="n">
        <v>0.1</v>
      </c>
      <c r="D14" s="131" t="inlineStr">
        <is>
          <t>63%</t>
        </is>
      </c>
      <c r="E14" s="132" t="inlineStr">
        <is>
          <t>MOD-LOW</t>
        </is>
      </c>
      <c r="F14" s="133">
        <f>IF(E14="HIGH",10,IF(E14="MOD-HIGH",7,IF(E14="MOD-LOW",3,IF(E14="LOW",0,""))))</f>
        <v/>
      </c>
      <c r="G14" s="134">
        <f>IF(F14="","",C14*F14)</f>
        <v/>
      </c>
      <c r="H14" s="135" t="inlineStr">
        <is>
          <t>63%</t>
        </is>
      </c>
    </row>
    <row r="15" ht="18" customHeight="1">
      <c r="A15" s="128" t="inlineStr">
        <is>
          <t xml:space="preserve">  Capital Returns</t>
        </is>
      </c>
      <c r="B15" s="129" t="inlineStr">
        <is>
          <t>P2</t>
        </is>
      </c>
      <c r="C15" s="130" t="n">
        <v>0.05</v>
      </c>
      <c r="D15" s="131" t="inlineStr">
        <is>
          <t>No capital returns in latest year</t>
        </is>
      </c>
      <c r="E15" s="138" t="inlineStr">
        <is>
          <t>LOW</t>
        </is>
      </c>
      <c r="F15" s="133">
        <f>IF(E15="HIGH",10,IF(E15="MOD-HIGH",7,IF(E15="MOD-LOW",3,IF(E15="LOW",0,""))))</f>
        <v/>
      </c>
      <c r="G15" s="134">
        <f>IF(F15="","",C15*F15)</f>
        <v/>
      </c>
      <c r="H15" s="135" t="inlineStr">
        <is>
          <t>No capital returns in latest year</t>
        </is>
      </c>
    </row>
    <row r="16" ht="18" customHeight="1">
      <c r="A16" s="128" t="inlineStr">
        <is>
          <t xml:space="preserve">  ROIC</t>
        </is>
      </c>
      <c r="B16" s="129" t="inlineStr">
        <is>
          <t>P2</t>
        </is>
      </c>
      <c r="C16" s="130" t="n">
        <v>0.075</v>
      </c>
      <c r="D16" s="131" t="inlineStr">
        <is>
          <t>44.7%</t>
        </is>
      </c>
      <c r="E16" s="137" t="inlineStr">
        <is>
          <t>HIGH</t>
        </is>
      </c>
      <c r="F16" s="133">
        <f>IF(E16="HIGH",10,IF(E16="MOD-HIGH",7,IF(E16="MOD-LOW",3,IF(E16="LOW",0,""))))</f>
        <v/>
      </c>
      <c r="G16" s="134">
        <f>IF(F16="","",C16*F16)</f>
        <v/>
      </c>
      <c r="H16" s="135" t="inlineStr">
        <is>
          <t>44.7%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8" t="inlineStr">
        <is>
          <t xml:space="preserve">  Credit Risk  (D / EBITDA)</t>
        </is>
      </c>
      <c r="B18" s="129" t="inlineStr">
        <is>
          <t>P3</t>
        </is>
      </c>
      <c r="C18" s="130" t="n">
        <v>0.05</v>
      </c>
      <c r="D18" s="131" t="inlineStr">
        <is>
          <t>Net cash $1,727,458mm — no net leverage</t>
        </is>
      </c>
      <c r="E18" s="137" t="inlineStr">
        <is>
          <t>HIGH</t>
        </is>
      </c>
      <c r="F18" s="133">
        <f>IF(E18="HIGH",10,IF(E18="MOD-HIGH",7,IF(E18="MOD-LOW",3,IF(E18="LOW",0,""))))</f>
        <v/>
      </c>
      <c r="G18" s="134">
        <f>IF(F18="","",C18*F18)</f>
        <v/>
      </c>
      <c r="H18" s="135" t="inlineStr">
        <is>
          <t>Net cash $1,727,458mm — no net leverage</t>
        </is>
      </c>
    </row>
    <row r="19" ht="18" customHeight="1">
      <c r="A19" s="128" t="inlineStr">
        <is>
          <t xml:space="preserve">  Interest Cover  (EBIT / Interest)</t>
        </is>
      </c>
      <c r="B19" s="129" t="inlineStr">
        <is>
          <t>P3</t>
        </is>
      </c>
      <c r="C19" s="130" t="n">
        <v>0.075</v>
      </c>
      <c r="D19" s="131" t="inlineStr">
        <is>
          <t>No interest expense — debt-free</t>
        </is>
      </c>
      <c r="E19" s="137" t="inlineStr">
        <is>
          <t>HIGH</t>
        </is>
      </c>
      <c r="F19" s="133">
        <f>IF(E19="HIGH",10,IF(E19="MOD-HIGH",7,IF(E19="MOD-LOW",3,IF(E19="LOW",0,""))))</f>
        <v/>
      </c>
      <c r="G19" s="134">
        <f>IF(F19="","",C19*F19)</f>
        <v/>
      </c>
      <c r="H19" s="135" t="inlineStr">
        <is>
          <t>No interest expense — debt-free</t>
        </is>
      </c>
    </row>
    <row r="20" ht="18" customHeight="1">
      <c r="A20" s="128" t="inlineStr">
        <is>
          <t xml:space="preserve">  Execution Risk</t>
        </is>
      </c>
      <c r="B20" s="129" t="inlineStr">
        <is>
          <t>P3</t>
        </is>
      </c>
      <c r="C20" s="130" t="n">
        <v>0.05</v>
      </c>
      <c r="D20" s="131" t="inlineStr">
        <is>
          <t>Rev growth σ=18.1%  |  Op margin σ=3.8%  [proxy — lower σ = lower risk = higher score]</t>
        </is>
      </c>
      <c r="E20" s="132" t="inlineStr">
        <is>
          <t>MOD-LOW</t>
        </is>
      </c>
      <c r="F20" s="133">
        <f>IF(E20="HIGH",10,IF(E20="MOD-HIGH",7,IF(E20="MOD-LOW",3,IF(E20="LOW",0,""))))</f>
        <v/>
      </c>
      <c r="G20" s="134">
        <f>IF(F20="","",C20*F20)</f>
        <v/>
      </c>
      <c r="H20" s="135" t="inlineStr">
        <is>
          <t>Rev growth σ=18.1%  |  Op margin σ=3.8%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8" t="inlineStr">
        <is>
          <t xml:space="preserve">  Valuation vs Median  (P/E)</t>
        </is>
      </c>
      <c r="B22" s="129" t="inlineStr">
        <is>
          <t>P4</t>
        </is>
      </c>
      <c r="C22" s="130" t="n">
        <v>0.1</v>
      </c>
      <c r="D22" s="131" t="inlineStr">
        <is>
          <t>Current 28.5x  |  5yr avg 23.6x  |  Sector median 80.5x  [+21% vs benchmark]</t>
        </is>
      </c>
      <c r="E22" s="132" t="inlineStr">
        <is>
          <t>MOD-LOW</t>
        </is>
      </c>
      <c r="F22" s="133">
        <f>IF(E22="HIGH",10,IF(E22="MOD-HIGH",7,IF(E22="MOD-LOW",3,IF(E22="LOW",0,""))))</f>
        <v/>
      </c>
      <c r="G22" s="134">
        <f>IF(F22="","",C22*F22)</f>
        <v/>
      </c>
      <c r="H22" s="135" t="inlineStr">
        <is>
          <t>Current 28.5x  |  5yr avg 23.6x  |  Sector median 80.5x  [+21% vs benchmark]</t>
        </is>
      </c>
    </row>
    <row r="23" ht="18" customHeight="1">
      <c r="A23" s="128" t="inlineStr">
        <is>
          <t xml:space="preserve">  Valuation vs Median  (P/FCF)</t>
        </is>
      </c>
      <c r="B23" s="129" t="inlineStr">
        <is>
          <t>P4</t>
        </is>
      </c>
      <c r="C23" s="130" t="n">
        <v>0.1</v>
      </c>
      <c r="D23" s="131" t="inlineStr">
        <is>
          <t>Current 45.0x  |  5yr avg 45.9x  |  Sector median 51.8x  [-2% vs benchmark]</t>
        </is>
      </c>
      <c r="E23" s="136" t="inlineStr">
        <is>
          <t>MOD-HIGH</t>
        </is>
      </c>
      <c r="F23" s="133">
        <f>IF(E23="HIGH",10,IF(E23="MOD-HIGH",7,IF(E23="MOD-LOW",3,IF(E23="LOW",0,""))))</f>
        <v/>
      </c>
      <c r="G23" s="134">
        <f>IF(F23="","",C23*F23)</f>
        <v/>
      </c>
      <c r="H23" s="135" t="inlineStr">
        <is>
          <t>Current 45.0x  |  5yr avg 45.9x  |  Sector median 51.8x  [-2%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9" t="inlineStr">
        <is>
          <t>TOTAL SCORE  (max = 100.0)</t>
        </is>
      </c>
      <c r="B25" s="140" t="n"/>
      <c r="C25" s="140" t="n"/>
      <c r="D25" s="140" t="n"/>
      <c r="E25" s="140" t="n"/>
      <c r="F25" s="140" t="n"/>
      <c r="G25" s="141">
        <f>G8+G9+G10+G11+G13+G14+G15+G16+G18+G19+G20+G22+G23</f>
        <v/>
      </c>
      <c r="H25" s="142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43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4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2026-04-17T06:54:26Z</dcterms:created>
  <dcterms:modified xsi:type="dcterms:W3CDTF">2026-04-17T06:54:36Z</dcterms:modified>
</cp:coreProperties>
</file>