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B71C1C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b val="1"/>
      <color rgb="001B5E20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BDEFB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3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6" fillId="16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8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1" fillId="19" borderId="1" applyAlignment="1" pivotButton="0" quotePrefix="0" xfId="0">
      <alignment horizontal="center" vertical="center"/>
    </xf>
    <xf numFmtId="0" fontId="32" fillId="20" borderId="1" applyAlignment="1" pivotButton="0" quotePrefix="0" xfId="0">
      <alignment horizontal="center" vertical="center"/>
    </xf>
    <xf numFmtId="0" fontId="33" fillId="1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FDX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87926</v>
      </c>
    </row>
    <row r="8">
      <c r="A8" s="3" t="inlineStr">
        <is>
          <t>Gross Profit ($mm)</t>
        </is>
      </c>
      <c r="B8" s="7" t="n">
        <v>18995</v>
      </c>
    </row>
    <row r="9">
      <c r="A9" s="3" t="inlineStr">
        <is>
          <t>EBITDA ($mm)</t>
        </is>
      </c>
      <c r="B9" s="7" t="n">
        <v>10494</v>
      </c>
    </row>
    <row r="10">
      <c r="A10" s="3" t="inlineStr">
        <is>
          <t>EBIT ($mm)</t>
        </is>
      </c>
      <c r="B10" s="7" t="n">
        <v>6082</v>
      </c>
    </row>
    <row r="11">
      <c r="A11" s="3" t="inlineStr">
        <is>
          <t>Net Income ($mm)</t>
        </is>
      </c>
      <c r="B11" s="7" t="n">
        <v>4092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FDX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83794</v>
      </c>
      <c r="C5" s="16" t="n">
        <v>93512</v>
      </c>
      <c r="D5" s="16" t="n">
        <v>90155</v>
      </c>
      <c r="E5" s="16" t="n">
        <v>87693</v>
      </c>
      <c r="F5" s="16" t="n">
        <v>87926</v>
      </c>
    </row>
    <row r="6">
      <c r="A6" s="17" t="inlineStr">
        <is>
          <t>(2)  Cost of Revenue (COGS)</t>
        </is>
      </c>
      <c r="B6" s="18" t="n">
        <v>66005</v>
      </c>
      <c r="C6" s="18" t="n">
        <v>73345</v>
      </c>
      <c r="D6" s="18" t="n">
        <v>70989</v>
      </c>
      <c r="E6" s="18" t="n">
        <v>68741</v>
      </c>
      <c r="F6" s="18" t="n">
        <v>68931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11771</v>
      </c>
      <c r="C9" s="18" t="n">
        <v>13644</v>
      </c>
      <c r="D9" s="18" t="n">
        <v>13828</v>
      </c>
      <c r="E9" s="18" t="n">
        <v>12597</v>
      </c>
      <c r="F9" s="18" t="n">
        <v>12913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11771</v>
      </c>
      <c r="C11" s="18" t="n">
        <v>13644</v>
      </c>
      <c r="D11" s="18" t="n">
        <v>13828</v>
      </c>
      <c r="E11" s="18" t="n">
        <v>12597</v>
      </c>
      <c r="F11" s="18" t="n">
        <v>12913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3793</v>
      </c>
      <c r="C14" s="18" t="n">
        <v>3970</v>
      </c>
      <c r="D14" s="18" t="n">
        <v>4176</v>
      </c>
      <c r="E14" s="18" t="n">
        <v>4287</v>
      </c>
      <c r="F14" s="18" t="n">
        <v>4264</v>
      </c>
    </row>
    <row r="15">
      <c r="A15" s="19" t="inlineStr">
        <is>
          <t>(8)  EBIT (Operating Income)</t>
        </is>
      </c>
      <c r="B15" s="24" t="n">
        <v>6018</v>
      </c>
      <c r="C15" s="24" t="n">
        <v>6523</v>
      </c>
      <c r="D15" s="24" t="n">
        <v>5338</v>
      </c>
      <c r="E15" s="24" t="n">
        <v>6355</v>
      </c>
      <c r="F15" s="24" t="n">
        <v>6082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793</v>
      </c>
      <c r="C17" s="18" t="n">
        <v>689</v>
      </c>
      <c r="D17" s="18" t="n">
        <v>694</v>
      </c>
      <c r="E17" s="18" t="n">
        <v>745</v>
      </c>
      <c r="F17" s="18" t="n">
        <v>789</v>
      </c>
    </row>
    <row r="18">
      <c r="A18" s="21" t="inlineStr">
        <is>
          <t xml:space="preserve">     Interest Income</t>
        </is>
      </c>
      <c r="B18" s="18" t="n">
        <v>52</v>
      </c>
      <c r="C18" s="18" t="n">
        <v>53</v>
      </c>
      <c r="D18" s="18" t="n">
        <v>198</v>
      </c>
      <c r="E18" s="18" t="n">
        <v>370</v>
      </c>
      <c r="F18" s="18" t="n">
        <v>363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6674</v>
      </c>
      <c r="C21" s="24" t="n">
        <v>4896</v>
      </c>
      <c r="D21" s="24" t="n">
        <v>5363</v>
      </c>
      <c r="E21" s="24" t="n">
        <v>5836</v>
      </c>
      <c r="F21" s="24" t="n">
        <v>5441</v>
      </c>
    </row>
    <row r="22">
      <c r="A22" s="17" t="inlineStr">
        <is>
          <t>(11) Income Tax Expense</t>
        </is>
      </c>
      <c r="B22" s="18" t="n">
        <v>1443</v>
      </c>
      <c r="C22" s="18" t="n">
        <v>1070</v>
      </c>
      <c r="D22" s="18" t="n">
        <v>1391</v>
      </c>
      <c r="E22" s="18" t="n">
        <v>1505</v>
      </c>
      <c r="F22" s="18" t="n">
        <v>1349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5231</v>
      </c>
      <c r="C24" s="24" t="n">
        <v>3826</v>
      </c>
      <c r="D24" s="24" t="n">
        <v>3972</v>
      </c>
      <c r="E24" s="24" t="n">
        <v>4331</v>
      </c>
      <c r="F24" s="24" t="n">
        <v>4092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83794</v>
      </c>
      <c r="C30" s="16" t="n">
        <v>93512</v>
      </c>
      <c r="D30" s="16" t="n">
        <v>90155</v>
      </c>
      <c r="E30" s="16" t="n">
        <v>87693</v>
      </c>
      <c r="F30" s="16" t="n">
        <v>87926</v>
      </c>
    </row>
    <row r="31">
      <c r="A31" s="17" t="inlineStr">
        <is>
          <t>Cost of Revenue</t>
        </is>
      </c>
      <c r="B31" s="18" t="n">
        <v>66005</v>
      </c>
      <c r="C31" s="18" t="n">
        <v>73345</v>
      </c>
      <c r="D31" s="18" t="n">
        <v>70989</v>
      </c>
      <c r="E31" s="18" t="n">
        <v>68741</v>
      </c>
      <c r="F31" s="18" t="n">
        <v>68931</v>
      </c>
    </row>
    <row r="32">
      <c r="A32" s="26" t="inlineStr">
        <is>
          <t>Gross Profit</t>
        </is>
      </c>
      <c r="B32" s="27" t="n">
        <v>17789</v>
      </c>
      <c r="C32" s="27" t="n">
        <v>20167</v>
      </c>
      <c r="D32" s="27" t="n">
        <v>19166</v>
      </c>
      <c r="E32" s="27" t="n">
        <v>18952</v>
      </c>
      <c r="F32" s="27" t="n">
        <v>18995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11771</v>
      </c>
      <c r="C37" s="18" t="n">
        <v>13644</v>
      </c>
      <c r="D37" s="18" t="n">
        <v>13828</v>
      </c>
      <c r="E37" s="18" t="n">
        <v>12597</v>
      </c>
      <c r="F37" s="18" t="n">
        <v>12913</v>
      </c>
    </row>
    <row r="38">
      <c r="A38" s="17" t="inlineStr">
        <is>
          <t>Other Expenses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</row>
    <row r="39">
      <c r="A39" s="26" t="inlineStr">
        <is>
          <t>Total Operating Expenses</t>
        </is>
      </c>
      <c r="B39" s="27" t="n">
        <v>11771</v>
      </c>
      <c r="C39" s="27" t="n">
        <v>13644</v>
      </c>
      <c r="D39" s="27" t="n">
        <v>13828</v>
      </c>
      <c r="E39" s="27" t="n">
        <v>12597</v>
      </c>
      <c r="F39" s="27" t="n">
        <v>12913</v>
      </c>
    </row>
    <row r="40">
      <c r="A40" s="17" t="inlineStr">
        <is>
          <t>Cost &amp; Expenses (COGS + Opex)</t>
        </is>
      </c>
      <c r="B40" s="18" t="n">
        <v>77776</v>
      </c>
      <c r="C40" s="18" t="n">
        <v>86989</v>
      </c>
      <c r="D40" s="18" t="n">
        <v>84817</v>
      </c>
      <c r="E40" s="18" t="n">
        <v>81338</v>
      </c>
      <c r="F40" s="18" t="n">
        <v>81844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6018</v>
      </c>
      <c r="C42" s="16" t="n">
        <v>6523</v>
      </c>
      <c r="D42" s="16" t="n">
        <v>5338</v>
      </c>
      <c r="E42" s="16" t="n">
        <v>6355</v>
      </c>
      <c r="F42" s="16" t="n">
        <v>6082</v>
      </c>
    </row>
    <row r="43">
      <c r="A43" s="17" t="inlineStr">
        <is>
          <t>EBIT (FMP field)</t>
        </is>
      </c>
      <c r="B43" s="18" t="n">
        <v>7467</v>
      </c>
      <c r="C43" s="18" t="n">
        <v>5585</v>
      </c>
      <c r="D43" s="18" t="n">
        <v>6057</v>
      </c>
      <c r="E43" s="18" t="n">
        <v>6581</v>
      </c>
      <c r="F43" s="18" t="n">
        <v>6230</v>
      </c>
    </row>
    <row r="44">
      <c r="A44" s="26" t="inlineStr">
        <is>
          <t>EBITDA</t>
        </is>
      </c>
      <c r="B44" s="27" t="n">
        <v>11260</v>
      </c>
      <c r="C44" s="27" t="n">
        <v>9555</v>
      </c>
      <c r="D44" s="27" t="n">
        <v>10233</v>
      </c>
      <c r="E44" s="27" t="n">
        <v>10868</v>
      </c>
      <c r="F44" s="27" t="n">
        <v>10494</v>
      </c>
    </row>
    <row r="45">
      <c r="A45" s="17" t="inlineStr">
        <is>
          <t>Depreciation &amp; Amortisation</t>
        </is>
      </c>
      <c r="B45" s="18" t="n">
        <v>3793</v>
      </c>
      <c r="C45" s="18" t="n">
        <v>3970</v>
      </c>
      <c r="D45" s="18" t="n">
        <v>4176</v>
      </c>
      <c r="E45" s="18" t="n">
        <v>4287</v>
      </c>
      <c r="F45" s="18" t="n">
        <v>4264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52</v>
      </c>
      <c r="C47" s="18" t="n">
        <v>53</v>
      </c>
      <c r="D47" s="18" t="n">
        <v>198</v>
      </c>
      <c r="E47" s="18" t="n">
        <v>370</v>
      </c>
      <c r="F47" s="18" t="n">
        <v>363</v>
      </c>
    </row>
    <row r="48">
      <c r="A48" s="17" t="inlineStr">
        <is>
          <t>Interest Expense</t>
        </is>
      </c>
      <c r="B48" s="18" t="n">
        <v>793</v>
      </c>
      <c r="C48" s="18" t="n">
        <v>689</v>
      </c>
      <c r="D48" s="18" t="n">
        <v>694</v>
      </c>
      <c r="E48" s="18" t="n">
        <v>745</v>
      </c>
      <c r="F48" s="18" t="n">
        <v>789</v>
      </c>
    </row>
    <row r="49">
      <c r="A49" s="17" t="inlineStr">
        <is>
          <t>Net Interest Income</t>
        </is>
      </c>
      <c r="B49" s="18" t="n">
        <v>-741</v>
      </c>
      <c r="C49" s="18" t="n">
        <v>-636</v>
      </c>
      <c r="D49" s="18" t="n">
        <v>-496</v>
      </c>
      <c r="E49" s="18" t="n">
        <v>-375</v>
      </c>
      <c r="F49" s="18" t="n">
        <v>-426</v>
      </c>
    </row>
    <row r="50">
      <c r="A50" s="17" t="inlineStr">
        <is>
          <t>Non-Operating Income (ex-interest)</t>
        </is>
      </c>
      <c r="B50" s="18" t="n">
        <v>-1449</v>
      </c>
      <c r="C50" s="18" t="n">
        <v>938</v>
      </c>
      <c r="D50" s="18" t="n">
        <v>-719</v>
      </c>
      <c r="E50" s="18" t="n">
        <v>-226</v>
      </c>
      <c r="F50" s="18" t="n">
        <v>-148</v>
      </c>
    </row>
    <row r="51">
      <c r="A51" s="17" t="inlineStr">
        <is>
          <t>Total Other Income / (Expenses)</t>
        </is>
      </c>
      <c r="B51" s="18" t="n">
        <v>656</v>
      </c>
      <c r="C51" s="18" t="n">
        <v>-1627</v>
      </c>
      <c r="D51" s="18" t="n">
        <v>25</v>
      </c>
      <c r="E51" s="18" t="n">
        <v>-519</v>
      </c>
      <c r="F51" s="18" t="n">
        <v>-641</v>
      </c>
    </row>
    <row r="52">
      <c r="A52" s="26" t="inlineStr">
        <is>
          <t>EBT / Income Before Tax</t>
        </is>
      </c>
      <c r="B52" s="27" t="n">
        <v>6674</v>
      </c>
      <c r="C52" s="27" t="n">
        <v>4896</v>
      </c>
      <c r="D52" s="27" t="n">
        <v>5363</v>
      </c>
      <c r="E52" s="27" t="n">
        <v>5836</v>
      </c>
      <c r="F52" s="27" t="n">
        <v>5441</v>
      </c>
    </row>
    <row r="53">
      <c r="A53" s="17" t="inlineStr">
        <is>
          <t>Income Tax Expense</t>
        </is>
      </c>
      <c r="B53" s="18" t="n">
        <v>1443</v>
      </c>
      <c r="C53" s="18" t="n">
        <v>1070</v>
      </c>
      <c r="D53" s="18" t="n">
        <v>1391</v>
      </c>
      <c r="E53" s="18" t="n">
        <v>1505</v>
      </c>
      <c r="F53" s="18" t="n">
        <v>1349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5231</v>
      </c>
      <c r="C55" s="18" t="n">
        <v>3826</v>
      </c>
      <c r="D55" s="18" t="n">
        <v>3972</v>
      </c>
      <c r="E55" s="18" t="n">
        <v>4331</v>
      </c>
      <c r="F55" s="18" t="n">
        <v>4092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-1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5231</v>
      </c>
      <c r="C59" s="27" t="n">
        <v>3826</v>
      </c>
      <c r="D59" s="27" t="n">
        <v>3972</v>
      </c>
      <c r="E59" s="27" t="n">
        <v>4331</v>
      </c>
      <c r="F59" s="27" t="n">
        <v>4092</v>
      </c>
    </row>
    <row r="60">
      <c r="A60" s="15" t="inlineStr">
        <is>
          <t>Bottom Line Net Income</t>
        </is>
      </c>
      <c r="B60" s="16" t="n">
        <v>5221</v>
      </c>
      <c r="C60" s="16" t="n">
        <v>3819</v>
      </c>
      <c r="D60" s="16" t="n">
        <v>3966</v>
      </c>
      <c r="E60" s="16" t="n">
        <v>4325</v>
      </c>
      <c r="F60" s="16" t="n">
        <v>4092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19.77</v>
      </c>
      <c r="C62" s="18" t="n">
        <v>14.52</v>
      </c>
      <c r="D62" s="18" t="n">
        <v>15.61</v>
      </c>
      <c r="E62" s="18" t="n">
        <v>17.44</v>
      </c>
      <c r="F62" s="18" t="n">
        <v>16.96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264</v>
      </c>
      <c r="C64" s="18" t="n">
        <v>263</v>
      </c>
      <c r="D64" s="18" t="n">
        <v>254</v>
      </c>
      <c r="E64" s="18" t="n">
        <v>248</v>
      </c>
      <c r="F64" s="18" t="n">
        <v>243</v>
      </c>
    </row>
    <row r="65">
      <c r="A65" s="17" t="inlineStr">
        <is>
          <t>Shares Outstanding — Diluted (mm)</t>
        </is>
      </c>
      <c r="B65" s="18" t="n">
        <v>268</v>
      </c>
      <c r="C65" s="18" t="n">
        <v>266</v>
      </c>
      <c r="D65" s="18" t="n">
        <v>256</v>
      </c>
      <c r="E65" s="18" t="n">
        <v>251</v>
      </c>
      <c r="F65" s="18" t="n">
        <v>243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FDX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7087</v>
      </c>
      <c r="C5" s="18" t="n">
        <v>6897</v>
      </c>
      <c r="D5" s="18" t="n">
        <v>6856</v>
      </c>
      <c r="E5" s="18" t="n">
        <v>6501</v>
      </c>
      <c r="F5" s="18" t="n">
        <v>5502</v>
      </c>
    </row>
    <row r="6">
      <c r="A6" s="17" t="inlineStr">
        <is>
          <t>(2)  Receivables</t>
        </is>
      </c>
      <c r="B6" s="18" t="n">
        <v>12069</v>
      </c>
      <c r="C6" s="18" t="n">
        <v>11863</v>
      </c>
      <c r="D6" s="18" t="n">
        <v>10188</v>
      </c>
      <c r="E6" s="18" t="n">
        <v>10087</v>
      </c>
      <c r="F6" s="18" t="n">
        <v>11368</v>
      </c>
    </row>
    <row r="7">
      <c r="A7" s="17" t="inlineStr">
        <is>
          <t>(3)  Inventory</t>
        </is>
      </c>
      <c r="B7" s="18" t="n">
        <v>587</v>
      </c>
      <c r="C7" s="18" t="n">
        <v>637</v>
      </c>
      <c r="D7" s="18" t="n">
        <v>604</v>
      </c>
      <c r="E7" s="18" t="n">
        <v>614</v>
      </c>
      <c r="F7" s="18" t="n">
        <v>602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20580</v>
      </c>
      <c r="C9" s="24" t="n">
        <v>20365</v>
      </c>
      <c r="D9" s="24" t="n">
        <v>18577</v>
      </c>
      <c r="E9" s="24" t="n">
        <v>18207</v>
      </c>
      <c r="F9" s="24" t="n">
        <v>18386</v>
      </c>
    </row>
    <row r="10">
      <c r="A10" s="17" t="inlineStr">
        <is>
          <t>(6)  PP&amp;E (Net)</t>
        </is>
      </c>
      <c r="B10" s="18" t="n">
        <v>51135</v>
      </c>
      <c r="C10" s="18" t="n">
        <v>54704</v>
      </c>
      <c r="D10" s="18" t="n">
        <v>58045</v>
      </c>
      <c r="E10" s="18" t="n">
        <v>58606</v>
      </c>
      <c r="F10" s="18" t="n">
        <v>58095</v>
      </c>
    </row>
    <row r="11">
      <c r="A11" s="17" t="inlineStr">
        <is>
          <t>(7)  Goodwill</t>
        </is>
      </c>
      <c r="B11" s="18" t="n">
        <v>6992</v>
      </c>
      <c r="C11" s="18" t="n">
        <v>6544</v>
      </c>
      <c r="D11" s="18" t="n">
        <v>6435</v>
      </c>
      <c r="E11" s="18" t="n">
        <v>6423</v>
      </c>
      <c r="F11" s="18" t="n">
        <v>6603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1313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62197</v>
      </c>
      <c r="C14" s="24" t="n">
        <v>65629</v>
      </c>
      <c r="D14" s="24" t="n">
        <v>68533</v>
      </c>
      <c r="E14" s="24" t="n">
        <v>68800</v>
      </c>
      <c r="F14" s="24" t="n">
        <v>69241</v>
      </c>
    </row>
    <row r="15">
      <c r="A15" s="19" t="inlineStr">
        <is>
          <t>(11) Total Assets</t>
        </is>
      </c>
      <c r="B15" s="24" t="n">
        <v>82777</v>
      </c>
      <c r="C15" s="24" t="n">
        <v>85994</v>
      </c>
      <c r="D15" s="24" t="n">
        <v>87110</v>
      </c>
      <c r="E15" s="24" t="n">
        <v>87007</v>
      </c>
      <c r="F15" s="24" t="n">
        <v>87627</v>
      </c>
    </row>
    <row r="16" ht="6" customHeight="1"/>
    <row r="17">
      <c r="A17" s="17" t="inlineStr">
        <is>
          <t>(12) Accounts Payable</t>
        </is>
      </c>
      <c r="B17" s="18" t="n">
        <v>3841</v>
      </c>
      <c r="C17" s="18" t="n">
        <v>4030</v>
      </c>
      <c r="D17" s="18" t="n">
        <v>3848</v>
      </c>
      <c r="E17" s="18" t="n">
        <v>3189</v>
      </c>
      <c r="F17" s="18" t="n">
        <v>3692</v>
      </c>
    </row>
    <row r="18">
      <c r="A18" s="17" t="inlineStr">
        <is>
          <t>(13) Short-Term Borrowings</t>
        </is>
      </c>
      <c r="B18" s="18" t="n">
        <v>50</v>
      </c>
      <c r="C18" s="18" t="n">
        <v>50</v>
      </c>
      <c r="D18" s="18" t="n">
        <v>126</v>
      </c>
      <c r="E18" s="18" t="n">
        <v>68</v>
      </c>
      <c r="F18" s="18" t="n">
        <v>1428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13660</v>
      </c>
      <c r="C21" s="24" t="n">
        <v>14274</v>
      </c>
      <c r="D21" s="24" t="n">
        <v>13586</v>
      </c>
      <c r="E21" s="24" t="n">
        <v>13355</v>
      </c>
      <c r="F21" s="24" t="n">
        <v>15411</v>
      </c>
    </row>
    <row r="22">
      <c r="A22" s="17" t="inlineStr">
        <is>
          <t>(17) Long-Term Debt</t>
        </is>
      </c>
      <c r="B22" s="18" t="n">
        <v>20304</v>
      </c>
      <c r="C22" s="18" t="n">
        <v>19746</v>
      </c>
      <c r="D22" s="18" t="n">
        <v>20453</v>
      </c>
      <c r="E22" s="18" t="n">
        <v>20135</v>
      </c>
      <c r="F22" s="18" t="n">
        <v>19151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58609</v>
      </c>
      <c r="C25" s="24" t="n">
        <v>61055</v>
      </c>
      <c r="D25" s="24" t="n">
        <v>61055</v>
      </c>
      <c r="E25" s="24" t="n">
        <v>59425</v>
      </c>
      <c r="F25" s="24" t="n">
        <v>59553</v>
      </c>
    </row>
    <row r="26" ht="6" customHeight="1"/>
    <row r="27">
      <c r="A27" s="17" t="inlineStr">
        <is>
          <t>(21) Common Stock &amp; APIC</t>
        </is>
      </c>
      <c r="B27" s="18" t="n">
        <v>32</v>
      </c>
      <c r="C27" s="18" t="n">
        <v>32</v>
      </c>
      <c r="D27" s="18" t="n">
        <v>32</v>
      </c>
      <c r="E27" s="18" t="n">
        <v>32</v>
      </c>
      <c r="F27" s="18" t="n">
        <v>32</v>
      </c>
    </row>
    <row r="28">
      <c r="A28" s="17" t="inlineStr">
        <is>
          <t>(22) Retained Earnings</t>
        </is>
      </c>
      <c r="B28" s="18" t="n">
        <v>29817</v>
      </c>
      <c r="C28" s="18" t="n">
        <v>32782</v>
      </c>
      <c r="D28" s="18" t="n">
        <v>35259</v>
      </c>
      <c r="E28" s="18" t="n">
        <v>38649</v>
      </c>
      <c r="F28" s="18" t="n">
        <v>41402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24168</v>
      </c>
      <c r="C30" s="24" t="n">
        <v>24939</v>
      </c>
      <c r="D30" s="24" t="n">
        <v>26088</v>
      </c>
      <c r="E30" s="24" t="n">
        <v>27582</v>
      </c>
      <c r="F30" s="24" t="n">
        <v>28074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7087</v>
      </c>
      <c r="C36" s="18" t="n">
        <v>6897</v>
      </c>
      <c r="D36" s="18" t="n">
        <v>6856</v>
      </c>
      <c r="E36" s="18" t="n">
        <v>6501</v>
      </c>
      <c r="F36" s="18" t="n">
        <v>5502</v>
      </c>
    </row>
    <row r="37">
      <c r="A37" s="17" t="inlineStr">
        <is>
          <t>Short-Term Investments</t>
        </is>
      </c>
      <c r="B37" s="18" t="n">
        <v>0</v>
      </c>
      <c r="C37" s="18" t="n">
        <v>0</v>
      </c>
      <c r="D37" s="18" t="n">
        <v>0</v>
      </c>
      <c r="E37" s="18" t="n">
        <v>0</v>
      </c>
      <c r="F37" s="18" t="n">
        <v>70</v>
      </c>
    </row>
    <row r="38">
      <c r="A38" s="28" t="inlineStr">
        <is>
          <t>Cash &amp; Short-Term Investments</t>
        </is>
      </c>
      <c r="B38" s="29" t="n">
        <v>7087</v>
      </c>
      <c r="C38" s="29" t="n">
        <v>6897</v>
      </c>
      <c r="D38" s="29" t="n">
        <v>6856</v>
      </c>
      <c r="E38" s="29" t="n">
        <v>6501</v>
      </c>
      <c r="F38" s="29" t="n">
        <v>5572</v>
      </c>
    </row>
    <row r="39">
      <c r="A39" s="17" t="inlineStr">
        <is>
          <t>Accounts Receivable (Trade)</t>
        </is>
      </c>
      <c r="B39" s="18" t="n">
        <v>12069</v>
      </c>
      <c r="C39" s="18" t="n">
        <v>11863</v>
      </c>
      <c r="D39" s="18" t="n">
        <v>10188</v>
      </c>
      <c r="E39" s="18" t="n">
        <v>10087</v>
      </c>
      <c r="F39" s="18" t="n">
        <v>11368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12069</v>
      </c>
      <c r="C41" s="29" t="n">
        <v>11863</v>
      </c>
      <c r="D41" s="29" t="n">
        <v>10188</v>
      </c>
      <c r="E41" s="29" t="n">
        <v>10087</v>
      </c>
      <c r="F41" s="29" t="n">
        <v>11368</v>
      </c>
    </row>
    <row r="42">
      <c r="A42" s="17" t="inlineStr">
        <is>
          <t>Inventory</t>
        </is>
      </c>
      <c r="B42" s="18" t="n">
        <v>587</v>
      </c>
      <c r="C42" s="18" t="n">
        <v>637</v>
      </c>
      <c r="D42" s="18" t="n">
        <v>604</v>
      </c>
      <c r="E42" s="18" t="n">
        <v>614</v>
      </c>
      <c r="F42" s="18" t="n">
        <v>602</v>
      </c>
    </row>
    <row r="43">
      <c r="A43" s="17" t="inlineStr">
        <is>
          <t>Prepaids</t>
        </is>
      </c>
      <c r="B43" s="18" t="n">
        <v>837</v>
      </c>
      <c r="C43" s="18" t="n">
        <v>968</v>
      </c>
      <c r="D43" s="18" t="n">
        <v>0</v>
      </c>
      <c r="E43" s="18" t="n">
        <v>0</v>
      </c>
      <c r="F43" s="18" t="n">
        <v>831</v>
      </c>
    </row>
    <row r="44">
      <c r="A44" s="17" t="inlineStr">
        <is>
          <t>Other Current Assets</t>
        </is>
      </c>
      <c r="B44" s="18" t="n">
        <v>0</v>
      </c>
      <c r="C44" s="18" t="n">
        <v>0</v>
      </c>
      <c r="D44" s="18" t="n">
        <v>929</v>
      </c>
      <c r="E44" s="18" t="n">
        <v>1005</v>
      </c>
      <c r="F44" s="18" t="n">
        <v>13</v>
      </c>
    </row>
    <row r="45">
      <c r="A45" s="26" t="inlineStr">
        <is>
          <t>Total Current Assets</t>
        </is>
      </c>
      <c r="B45" s="27" t="n">
        <v>20580</v>
      </c>
      <c r="C45" s="27" t="n">
        <v>20365</v>
      </c>
      <c r="D45" s="27" t="n">
        <v>18577</v>
      </c>
      <c r="E45" s="27" t="n">
        <v>18207</v>
      </c>
      <c r="F45" s="27" t="n">
        <v>18386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51135</v>
      </c>
      <c r="C47" s="18" t="n">
        <v>54704</v>
      </c>
      <c r="D47" s="18" t="n">
        <v>58045</v>
      </c>
      <c r="E47" s="18" t="n">
        <v>58606</v>
      </c>
      <c r="F47" s="18" t="n">
        <v>58095</v>
      </c>
    </row>
    <row r="48">
      <c r="A48" s="17" t="inlineStr">
        <is>
          <t>Goodwill</t>
        </is>
      </c>
      <c r="B48" s="18" t="n">
        <v>6992</v>
      </c>
      <c r="C48" s="18" t="n">
        <v>6544</v>
      </c>
      <c r="D48" s="18" t="n">
        <v>6435</v>
      </c>
      <c r="E48" s="18" t="n">
        <v>6423</v>
      </c>
      <c r="F48" s="18" t="n">
        <v>6603</v>
      </c>
    </row>
    <row r="49">
      <c r="A49" s="17" t="inlineStr">
        <is>
          <t>Intangible Assets</t>
        </is>
      </c>
      <c r="B49" s="18" t="n">
        <v>352</v>
      </c>
      <c r="C49" s="18" t="n">
        <v>301</v>
      </c>
      <c r="D49" s="18" t="n">
        <v>0</v>
      </c>
      <c r="E49" s="18" t="n">
        <v>0</v>
      </c>
      <c r="F49" s="18" t="n">
        <v>0</v>
      </c>
    </row>
    <row r="50">
      <c r="A50" s="17" t="inlineStr">
        <is>
          <t>Long-Term Investments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506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1313</v>
      </c>
      <c r="F51" s="18" t="n">
        <v>0</v>
      </c>
    </row>
    <row r="52">
      <c r="A52" s="17" t="inlineStr">
        <is>
          <t>Total Investments</t>
        </is>
      </c>
      <c r="B52" s="18" t="n">
        <v>0</v>
      </c>
      <c r="C52" s="18" t="n">
        <v>0</v>
      </c>
      <c r="D52" s="18" t="n">
        <v>0</v>
      </c>
      <c r="E52" s="18" t="n">
        <v>0</v>
      </c>
      <c r="F52" s="18" t="n">
        <v>576</v>
      </c>
    </row>
    <row r="53">
      <c r="A53" s="17" t="inlineStr">
        <is>
          <t>Other Non-Current Assets</t>
        </is>
      </c>
      <c r="B53" s="18" t="n">
        <v>3718</v>
      </c>
      <c r="C53" s="18" t="n">
        <v>4080</v>
      </c>
      <c r="D53" s="18" t="n">
        <v>4053</v>
      </c>
      <c r="E53" s="18" t="n">
        <v>2458</v>
      </c>
      <c r="F53" s="18" t="n">
        <v>4037</v>
      </c>
    </row>
    <row r="54">
      <c r="A54" s="26" t="inlineStr">
        <is>
          <t>Total Non-Current Assets</t>
        </is>
      </c>
      <c r="B54" s="27" t="n">
        <v>62197</v>
      </c>
      <c r="C54" s="27" t="n">
        <v>65629</v>
      </c>
      <c r="D54" s="27" t="n">
        <v>68533</v>
      </c>
      <c r="E54" s="27" t="n">
        <v>68800</v>
      </c>
      <c r="F54" s="27" t="n">
        <v>69241</v>
      </c>
    </row>
    <row r="55">
      <c r="A55" s="13" t="inlineStr">
        <is>
          <t>TOTAL ASSETS</t>
        </is>
      </c>
      <c r="B55" s="30" t="n">
        <v>82777</v>
      </c>
      <c r="C55" s="30" t="n">
        <v>85994</v>
      </c>
      <c r="D55" s="30" t="n">
        <v>87110</v>
      </c>
      <c r="E55" s="30" t="n">
        <v>87007</v>
      </c>
      <c r="F55" s="30" t="n">
        <v>87627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3841</v>
      </c>
      <c r="C57" s="18" t="n">
        <v>4030</v>
      </c>
      <c r="D57" s="18" t="n">
        <v>3848</v>
      </c>
      <c r="E57" s="18" t="n">
        <v>3189</v>
      </c>
      <c r="F57" s="18" t="n">
        <v>3692</v>
      </c>
    </row>
    <row r="58">
      <c r="A58" s="17" t="inlineStr">
        <is>
          <t>Short-Term Debt</t>
        </is>
      </c>
      <c r="B58" s="18" t="n">
        <v>50</v>
      </c>
      <c r="C58" s="18" t="n">
        <v>50</v>
      </c>
      <c r="D58" s="18" t="n">
        <v>126</v>
      </c>
      <c r="E58" s="18" t="n">
        <v>68</v>
      </c>
      <c r="F58" s="18" t="n">
        <v>1428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2277</v>
      </c>
      <c r="C61" s="18" t="n">
        <v>1780</v>
      </c>
      <c r="D61" s="18" t="n">
        <v>1647</v>
      </c>
      <c r="E61" s="18" t="n">
        <v>1916</v>
      </c>
      <c r="F61" s="18" t="n">
        <v>1648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13660</v>
      </c>
      <c r="C63" s="27" t="n">
        <v>14274</v>
      </c>
      <c r="D63" s="27" t="n">
        <v>13586</v>
      </c>
      <c r="E63" s="27" t="n">
        <v>13355</v>
      </c>
      <c r="F63" s="27" t="n">
        <v>15411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20304</v>
      </c>
      <c r="C65" s="18" t="n">
        <v>19746</v>
      </c>
      <c r="D65" s="18" t="n">
        <v>20453</v>
      </c>
      <c r="E65" s="18" t="n">
        <v>20135</v>
      </c>
      <c r="F65" s="18" t="n">
        <v>19151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3927</v>
      </c>
      <c r="C68" s="18" t="n">
        <v>4093</v>
      </c>
      <c r="D68" s="18" t="n">
        <v>4489</v>
      </c>
      <c r="E68" s="18" t="n">
        <v>4482</v>
      </c>
      <c r="F68" s="18" t="n">
        <v>4205</v>
      </c>
    </row>
    <row r="69">
      <c r="A69" s="17" t="inlineStr">
        <is>
          <t>Other Non-Current Liabilities</t>
        </is>
      </c>
      <c r="B69" s="18" t="n">
        <v>6914</v>
      </c>
      <c r="C69" s="18" t="n">
        <v>8019</v>
      </c>
      <c r="D69" s="18" t="n">
        <v>7164</v>
      </c>
      <c r="E69" s="18" t="n">
        <v>6400</v>
      </c>
      <c r="F69" s="18" t="n">
        <v>6514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58609</v>
      </c>
      <c r="C71" s="30" t="n">
        <v>61055</v>
      </c>
      <c r="D71" s="30" t="n">
        <v>61055</v>
      </c>
      <c r="E71" s="30" t="n">
        <v>59425</v>
      </c>
      <c r="F71" s="30" t="n">
        <v>59553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32</v>
      </c>
      <c r="C73" s="18" t="n">
        <v>32</v>
      </c>
      <c r="D73" s="18" t="n">
        <v>32</v>
      </c>
      <c r="E73" s="18" t="n">
        <v>32</v>
      </c>
      <c r="F73" s="18" t="n">
        <v>32</v>
      </c>
    </row>
    <row r="74">
      <c r="A74" s="17" t="inlineStr">
        <is>
          <t>Retained Earnings</t>
        </is>
      </c>
      <c r="B74" s="18" t="n">
        <v>29817</v>
      </c>
      <c r="C74" s="18" t="n">
        <v>32782</v>
      </c>
      <c r="D74" s="18" t="n">
        <v>35259</v>
      </c>
      <c r="E74" s="18" t="n">
        <v>38649</v>
      </c>
      <c r="F74" s="18" t="n">
        <v>41402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24168</v>
      </c>
      <c r="C78" s="27" t="n">
        <v>24939</v>
      </c>
      <c r="D78" s="27" t="n">
        <v>26088</v>
      </c>
      <c r="E78" s="27" t="n">
        <v>27582</v>
      </c>
      <c r="F78" s="27" t="n">
        <v>28074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FDX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10135</v>
      </c>
      <c r="C5" s="24" t="n">
        <v>9832</v>
      </c>
      <c r="D5" s="24" t="n">
        <v>8815</v>
      </c>
      <c r="E5" s="24" t="n">
        <v>8312</v>
      </c>
      <c r="F5" s="24" t="n">
        <v>7036</v>
      </c>
    </row>
    <row r="6">
      <c r="A6" s="17" t="inlineStr">
        <is>
          <t>(2)  Capital Expenditures</t>
        </is>
      </c>
      <c r="B6" s="18" t="n">
        <v>-5884</v>
      </c>
      <c r="C6" s="18" t="n">
        <v>-6763</v>
      </c>
      <c r="D6" s="18" t="n">
        <v>-6174</v>
      </c>
      <c r="E6" s="18" t="n">
        <v>-5176</v>
      </c>
      <c r="F6" s="18" t="n">
        <v>-4055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-2106</v>
      </c>
      <c r="C9" s="18" t="n">
        <v>-161</v>
      </c>
      <c r="D9" s="18" t="n">
        <v>-152</v>
      </c>
      <c r="E9" s="18" t="n">
        <v>-147</v>
      </c>
      <c r="F9" s="18" t="n">
        <v>-157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740</v>
      </c>
      <c r="C11" s="18" t="n">
        <v>184</v>
      </c>
      <c r="D11" s="18" t="n">
        <v>231</v>
      </c>
      <c r="E11" s="18" t="n">
        <v>491</v>
      </c>
      <c r="F11" s="18" t="n">
        <v>524</v>
      </c>
    </row>
    <row r="12">
      <c r="A12" s="17" t="inlineStr">
        <is>
          <t>(7)  Dividends Paid</t>
        </is>
      </c>
      <c r="B12" s="18" t="n">
        <v>-686</v>
      </c>
      <c r="C12" s="18" t="n">
        <v>-793</v>
      </c>
      <c r="D12" s="18" t="n">
        <v>-1177</v>
      </c>
      <c r="E12" s="18" t="n">
        <v>-1259</v>
      </c>
      <c r="F12" s="18" t="n">
        <v>-1339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4251</v>
      </c>
      <c r="C15" s="24" t="n">
        <v>3069</v>
      </c>
      <c r="D15" s="24" t="n">
        <v>2641</v>
      </c>
      <c r="E15" s="24" t="n">
        <v>3136</v>
      </c>
      <c r="F15" s="24" t="n">
        <v>2981</v>
      </c>
    </row>
    <row r="16">
      <c r="A16" s="15" t="inlineStr">
        <is>
          <t xml:space="preserve">     Net Change in Cash</t>
        </is>
      </c>
      <c r="B16" s="16" t="n">
        <v>2206</v>
      </c>
      <c r="C16" s="16" t="n">
        <v>-190</v>
      </c>
      <c r="D16" s="16" t="n">
        <v>-74</v>
      </c>
      <c r="E16" s="16" t="n">
        <v>-355</v>
      </c>
      <c r="F16" s="16" t="n">
        <v>-999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5231</v>
      </c>
      <c r="C21" s="18" t="n">
        <v>3826</v>
      </c>
      <c r="D21" s="18" t="n">
        <v>3972</v>
      </c>
      <c r="E21" s="18" t="n">
        <v>4331</v>
      </c>
      <c r="F21" s="18" t="n">
        <v>4092</v>
      </c>
    </row>
    <row r="22">
      <c r="A22" s="17" t="inlineStr">
        <is>
          <t>Depreciation &amp; Amortisation</t>
        </is>
      </c>
      <c r="B22" s="18" t="n">
        <v>3793</v>
      </c>
      <c r="C22" s="18" t="n">
        <v>3970</v>
      </c>
      <c r="D22" s="18" t="n">
        <v>4176</v>
      </c>
      <c r="E22" s="18" t="n">
        <v>4287</v>
      </c>
      <c r="F22" s="18" t="n">
        <v>4264</v>
      </c>
    </row>
    <row r="23">
      <c r="A23" s="17" t="inlineStr">
        <is>
          <t>Deferred Income Tax</t>
        </is>
      </c>
      <c r="B23" s="18" t="n">
        <v>2887</v>
      </c>
      <c r="C23" s="18" t="n">
        <v>2931</v>
      </c>
      <c r="D23" s="18" t="n">
        <v>-182</v>
      </c>
      <c r="E23" s="18" t="n">
        <v>0</v>
      </c>
      <c r="F23" s="18" t="n">
        <v>0</v>
      </c>
    </row>
    <row r="24">
      <c r="A24" s="17" t="inlineStr">
        <is>
          <t>Stock-Based Compensation</t>
        </is>
      </c>
      <c r="B24" s="18" t="n">
        <v>200</v>
      </c>
      <c r="C24" s="18" t="n">
        <v>190</v>
      </c>
      <c r="D24" s="18" t="n">
        <v>182</v>
      </c>
      <c r="E24" s="18" t="n">
        <v>163</v>
      </c>
      <c r="F24" s="18" t="n">
        <v>154</v>
      </c>
    </row>
    <row r="25">
      <c r="A25" s="17" t="inlineStr">
        <is>
          <t>Change in Working Capital</t>
        </is>
      </c>
      <c r="B25" s="18" t="n">
        <v>-1872</v>
      </c>
      <c r="C25" s="18" t="n">
        <v>-3119</v>
      </c>
      <c r="D25" s="18" t="n">
        <v>-3173</v>
      </c>
      <c r="E25" s="18" t="n">
        <v>-3431</v>
      </c>
      <c r="F25" s="18" t="n">
        <v>-4713</v>
      </c>
    </row>
    <row r="26">
      <c r="A26" s="21" t="inlineStr">
        <is>
          <t xml:space="preserve">  — Accounts Receivable</t>
        </is>
      </c>
      <c r="B26" s="18" t="n">
        <v>-1389</v>
      </c>
      <c r="C26" s="18" t="n">
        <v>-310</v>
      </c>
      <c r="D26" s="18" t="n">
        <v>782</v>
      </c>
      <c r="E26" s="18" t="n">
        <v>-270</v>
      </c>
      <c r="F26" s="18" t="n">
        <v>-1780</v>
      </c>
    </row>
    <row r="27">
      <c r="A27" s="21" t="inlineStr">
        <is>
          <t xml:space="preserve">  — Inventory</t>
        </is>
      </c>
      <c r="B27" s="18" t="n">
        <v>1389</v>
      </c>
      <c r="C27" s="18" t="n">
        <v>0</v>
      </c>
      <c r="D27" s="18" t="n">
        <v>0</v>
      </c>
      <c r="E27" s="18" t="n">
        <v>0</v>
      </c>
      <c r="F27" s="18" t="n">
        <v>0</v>
      </c>
    </row>
    <row r="28">
      <c r="A28" s="21" t="inlineStr">
        <is>
          <t xml:space="preserve">  — Accounts Payable</t>
        </is>
      </c>
      <c r="B28" s="18" t="n">
        <v>71</v>
      </c>
      <c r="C28" s="18" t="n">
        <v>-1861</v>
      </c>
      <c r="D28" s="18" t="n">
        <v>-3331</v>
      </c>
      <c r="E28" s="18" t="n">
        <v>-2553</v>
      </c>
      <c r="F28" s="18" t="n">
        <v>-2445</v>
      </c>
    </row>
    <row r="29">
      <c r="A29" s="21" t="inlineStr">
        <is>
          <t xml:space="preserve">  — Other Working Capital</t>
        </is>
      </c>
      <c r="B29" s="18" t="n">
        <v>-1943</v>
      </c>
      <c r="C29" s="18" t="n">
        <v>-948</v>
      </c>
      <c r="D29" s="18" t="n">
        <v>-624</v>
      </c>
      <c r="E29" s="18" t="n">
        <v>-608</v>
      </c>
      <c r="F29" s="18" t="n">
        <v>-475</v>
      </c>
    </row>
    <row r="30">
      <c r="A30" s="17" t="inlineStr">
        <is>
          <t>Other Non-Cash Items</t>
        </is>
      </c>
      <c r="B30" s="18" t="n">
        <v>-104</v>
      </c>
      <c r="C30" s="18" t="n">
        <v>2034</v>
      </c>
      <c r="D30" s="18" t="n">
        <v>3840</v>
      </c>
      <c r="E30" s="18" t="n">
        <v>2962</v>
      </c>
      <c r="F30" s="18" t="n">
        <v>3239</v>
      </c>
    </row>
    <row r="31">
      <c r="A31" s="26" t="inlineStr">
        <is>
          <t>Net Cash from Operations (CFO)</t>
        </is>
      </c>
      <c r="B31" s="27" t="n">
        <v>10135</v>
      </c>
      <c r="C31" s="27" t="n">
        <v>9832</v>
      </c>
      <c r="D31" s="27" t="n">
        <v>8815</v>
      </c>
      <c r="E31" s="27" t="n">
        <v>8312</v>
      </c>
      <c r="F31" s="27" t="n">
        <v>7036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-5884</v>
      </c>
      <c r="C33" s="18" t="n">
        <v>-6763</v>
      </c>
      <c r="D33" s="18" t="n">
        <v>-6174</v>
      </c>
      <c r="E33" s="18" t="n">
        <v>-5176</v>
      </c>
      <c r="F33" s="18" t="n">
        <v>-4055</v>
      </c>
    </row>
    <row r="34">
      <c r="A34" s="21" t="inlineStr">
        <is>
          <t xml:space="preserve">  (Alt: Invest. in PP&amp;E)</t>
        </is>
      </c>
      <c r="B34" s="18" t="n">
        <v>-5884</v>
      </c>
      <c r="C34" s="18" t="n">
        <v>-6763</v>
      </c>
      <c r="D34" s="18" t="n">
        <v>-6174</v>
      </c>
      <c r="E34" s="18" t="n">
        <v>-5176</v>
      </c>
      <c r="F34" s="18" t="n">
        <v>-4055</v>
      </c>
    </row>
    <row r="35">
      <c r="A35" s="17" t="inlineStr">
        <is>
          <t>Acquisitions (Net)</t>
        </is>
      </c>
      <c r="B35" s="18" t="n">
        <v>-228</v>
      </c>
      <c r="C35" s="18" t="n">
        <v>94</v>
      </c>
      <c r="D35" s="18" t="n">
        <v>84</v>
      </c>
      <c r="E35" s="18" t="n">
        <v>114</v>
      </c>
      <c r="F35" s="18" t="n">
        <v>115</v>
      </c>
    </row>
    <row r="36">
      <c r="A36" s="17" t="inlineStr">
        <is>
          <t>Purchases of Investments</t>
        </is>
      </c>
      <c r="B36" s="18" t="n">
        <v>0</v>
      </c>
      <c r="C36" s="18" t="n">
        <v>-147</v>
      </c>
      <c r="D36" s="18" t="n">
        <v>-84</v>
      </c>
      <c r="E36" s="18" t="n">
        <v>-176</v>
      </c>
      <c r="F36" s="18" t="n">
        <v>-262</v>
      </c>
    </row>
    <row r="37">
      <c r="A37" s="17" t="inlineStr">
        <is>
          <t>Sales / Maturities of Investments</t>
        </is>
      </c>
      <c r="B37" s="18" t="n">
        <v>0</v>
      </c>
      <c r="C37" s="18" t="n">
        <v>-94</v>
      </c>
      <c r="D37" s="18" t="n">
        <v>-84</v>
      </c>
      <c r="E37" s="18" t="n">
        <v>38</v>
      </c>
      <c r="F37" s="18" t="n">
        <v>110</v>
      </c>
    </row>
    <row r="38">
      <c r="A38" s="17" t="inlineStr">
        <is>
          <t>Other Investing Activities</t>
        </is>
      </c>
      <c r="B38" s="18" t="n">
        <v>102</v>
      </c>
      <c r="C38" s="18" t="n">
        <v>94</v>
      </c>
      <c r="D38" s="18" t="n">
        <v>84</v>
      </c>
      <c r="E38" s="18" t="n">
        <v>0</v>
      </c>
      <c r="F38" s="18" t="n">
        <v>0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-2106</v>
      </c>
      <c r="C41" s="18" t="n">
        <v>-161</v>
      </c>
      <c r="D41" s="18" t="n">
        <v>-152</v>
      </c>
      <c r="E41" s="18" t="n">
        <v>-147</v>
      </c>
      <c r="F41" s="18" t="n">
        <v>-157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740</v>
      </c>
      <c r="C43" s="18" t="n">
        <v>184</v>
      </c>
      <c r="D43" s="18" t="n">
        <v>231</v>
      </c>
      <c r="E43" s="18" t="n">
        <v>491</v>
      </c>
      <c r="F43" s="18" t="n">
        <v>524</v>
      </c>
    </row>
    <row r="44">
      <c r="A44" s="17" t="inlineStr">
        <is>
          <t>Common Stock Repurchased (Buybacks)</t>
        </is>
      </c>
      <c r="B44" s="18" t="n">
        <v>0</v>
      </c>
      <c r="C44" s="18" t="n">
        <v>-2248</v>
      </c>
      <c r="D44" s="18" t="n">
        <v>-1500</v>
      </c>
      <c r="E44" s="18" t="n">
        <v>-2500</v>
      </c>
      <c r="F44" s="18" t="n">
        <v>-3017</v>
      </c>
    </row>
    <row r="45">
      <c r="A45" s="17" t="inlineStr">
        <is>
          <t>Dividends Paid</t>
        </is>
      </c>
      <c r="B45" s="18" t="n">
        <v>-686</v>
      </c>
      <c r="C45" s="18" t="n">
        <v>-793</v>
      </c>
      <c r="D45" s="18" t="n">
        <v>-1177</v>
      </c>
      <c r="E45" s="18" t="n">
        <v>-1259</v>
      </c>
      <c r="F45" s="18" t="n">
        <v>-1339</v>
      </c>
    </row>
    <row r="46">
      <c r="A46" s="17" t="inlineStr">
        <is>
          <t>Other Financing Activities</t>
        </is>
      </c>
      <c r="B46" s="18" t="n">
        <v>-38</v>
      </c>
      <c r="C46" s="18" t="n">
        <v>-1</v>
      </c>
      <c r="D46" s="18" t="n">
        <v>1</v>
      </c>
      <c r="E46" s="18" t="n">
        <v>-11</v>
      </c>
      <c r="F46" s="18" t="n">
        <v>-30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171</v>
      </c>
      <c r="C49" s="18" t="n">
        <v>-187</v>
      </c>
      <c r="D49" s="18" t="n">
        <v>-118</v>
      </c>
      <c r="E49" s="18" t="n">
        <v>-41</v>
      </c>
      <c r="F49" s="18" t="n">
        <v>76</v>
      </c>
    </row>
    <row r="50">
      <c r="A50" s="15" t="inlineStr">
        <is>
          <t>Net Change in Cash</t>
        </is>
      </c>
      <c r="B50" s="16" t="n">
        <v>2206</v>
      </c>
      <c r="C50" s="16" t="n">
        <v>-190</v>
      </c>
      <c r="D50" s="16" t="n">
        <v>-74</v>
      </c>
      <c r="E50" s="16" t="n">
        <v>-355</v>
      </c>
      <c r="F50" s="16" t="n">
        <v>-999</v>
      </c>
    </row>
    <row r="51">
      <c r="A51" s="17" t="inlineStr">
        <is>
          <t>Cash at Beginning of Period</t>
        </is>
      </c>
      <c r="B51" s="18" t="n">
        <v>4881</v>
      </c>
      <c r="C51" s="18" t="n">
        <v>7087</v>
      </c>
      <c r="D51" s="18" t="n">
        <v>6897</v>
      </c>
      <c r="E51" s="18" t="n">
        <v>6856</v>
      </c>
      <c r="F51" s="18" t="n">
        <v>6501</v>
      </c>
    </row>
    <row r="52">
      <c r="A52" s="26" t="inlineStr">
        <is>
          <t>Cash at End of Period</t>
        </is>
      </c>
      <c r="B52" s="27" t="n">
        <v>7087</v>
      </c>
      <c r="C52" s="27" t="n">
        <v>6897</v>
      </c>
      <c r="D52" s="27" t="n">
        <v>6823</v>
      </c>
      <c r="E52" s="27" t="n">
        <v>6501</v>
      </c>
      <c r="F52" s="27" t="n">
        <v>5502</v>
      </c>
    </row>
    <row r="53">
      <c r="A53" s="26" t="inlineStr">
        <is>
          <t>Free Cash Flow</t>
        </is>
      </c>
      <c r="B53" s="27" t="n">
        <v>4251</v>
      </c>
      <c r="C53" s="27" t="n">
        <v>3069</v>
      </c>
      <c r="D53" s="27" t="n">
        <v>2641</v>
      </c>
      <c r="E53" s="27" t="n">
        <v>3136</v>
      </c>
      <c r="F53" s="27" t="n">
        <v>2981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FDX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268</v>
      </c>
      <c r="C61" s="18" t="n">
        <v>266</v>
      </c>
      <c r="D61" s="18" t="n">
        <v>256</v>
      </c>
      <c r="E61" s="18" t="n">
        <v>251</v>
      </c>
      <c r="F61" s="18" t="n">
        <v>243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FDX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23720</v>
      </c>
      <c r="C5" s="18" t="n">
        <v>22291</v>
      </c>
      <c r="D5" s="18" t="n">
        <v>23090</v>
      </c>
      <c r="E5" s="18" t="n">
        <v>25564</v>
      </c>
      <c r="F5" s="18" t="n">
        <v>23085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FDX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94058.783215</v>
      </c>
      <c r="C5" s="44" t="inlineStr">
        <is>
          <t>FMP marketCap  |  price $394.2</t>
        </is>
      </c>
    </row>
    <row r="6">
      <c r="A6" s="17" t="inlineStr">
        <is>
          <t>Debt  (gross book value, $mm)</t>
        </is>
      </c>
      <c r="B6" s="43" t="n">
        <v>20579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0.0457</v>
      </c>
      <c r="C12" s="44" t="inlineStr">
        <is>
          <t>FRED series DGS10  |  latest: 2026-05-21</t>
        </is>
      </c>
    </row>
    <row r="13">
      <c r="A13" s="47" t="inlineStr">
        <is>
          <t>► Selected Rf  (override if needed)</t>
        </is>
      </c>
      <c r="B13" s="48" t="n">
        <v>0.0457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1.303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1.203</v>
      </c>
      <c r="C17" s="44" t="inlineStr">
        <is>
          <t>Mean-reversion toward market beta of 1.0</t>
        </is>
      </c>
    </row>
    <row r="18">
      <c r="A18" s="17" t="inlineStr">
        <is>
          <t>Damodaran industry unlevered  (Integrated Freight &amp; Logistics)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0.22x,  t = 24.8%)</t>
        </is>
      </c>
      <c r="B19" s="50" t="n">
        <v>1.165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1.224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7.7</v>
      </c>
      <c r="C33" s="44" t="inlineStr">
        <is>
          <t>EBIT $6082mm  /  Int Exp $789mm</t>
        </is>
      </c>
    </row>
    <row r="34">
      <c r="A34" s="17" t="inlineStr">
        <is>
          <t>Synthetic rating  (Damodaran ICR table)</t>
        </is>
      </c>
      <c r="B34" s="53" t="inlineStr">
        <is>
          <t>A+</t>
        </is>
      </c>
      <c r="C34" s="44" t="inlineStr">
        <is>
          <t>ICR 7.7x  →  A+</t>
        </is>
      </c>
    </row>
    <row r="35">
      <c r="A35" s="17" t="inlineStr">
        <is>
          <t>Synthetic Rd  (Rf + Damodaran default spread)</t>
        </is>
      </c>
      <c r="B35" s="46" t="n">
        <v>0.0553</v>
      </c>
      <c r="C35" s="44" t="inlineStr">
        <is>
          <t>Rf 4.57% + spread 0.96%</t>
        </is>
      </c>
    </row>
    <row r="36">
      <c r="A36" s="17" t="inlineStr">
        <is>
          <t>Accounting Rd  (Gross int exp / Avg gross debt)</t>
        </is>
      </c>
      <c r="B36" s="46" t="n">
        <v>0.03869354126820656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0.047</v>
      </c>
      <c r="C37" s="49" t="inlineStr">
        <is>
          <t>Default = average of 2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0.2479</v>
      </c>
      <c r="C40" s="44" t="inlineStr">
        <is>
          <t>FMP: $1349mm  /  $5441mm</t>
        </is>
      </c>
    </row>
    <row r="41">
      <c r="A41" s="47" t="inlineStr">
        <is>
          <t>► Selected tax rate  (user override)</t>
        </is>
      </c>
      <c r="B41" s="48" t="n">
        <v>0.2479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MAX(8.5%, (E/V × Re) + (D/V × Rd × (1 − t)))</t>
        </is>
      </c>
      <c r="B44" s="55">
        <f>MAX(0.085, B8*B28+B9*B37*(1-B41))</f>
        <v/>
      </c>
      <c r="C44" s="56" t="inlineStr">
        <is>
          <t>Floored 8.5% (D-001); raw formula below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FDX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0.0645</v>
      </c>
      <c r="H7" s="71" t="n">
        <v>0.0501</v>
      </c>
      <c r="I7" s="71" t="n">
        <v>0.0468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0.1187</v>
      </c>
      <c r="H8" s="71" t="n">
        <v>0.1187</v>
      </c>
      <c r="I8" s="71" t="n">
        <v>0.1187</v>
      </c>
      <c r="J8" s="72">
        <f>I8</f>
        <v/>
      </c>
      <c r="K8" s="72">
        <f>I8</f>
        <v/>
      </c>
      <c r="L8" s="73" t="n">
        <v>0.1194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93597.5</v>
      </c>
      <c r="H15" s="77" t="n">
        <v>98284</v>
      </c>
      <c r="I15" s="77" t="n">
        <v>102886.5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92,735 — 94,400</t>
        </is>
      </c>
      <c r="H16" s="82" t="inlineStr">
        <is>
          <t>96,683 — 100,268</t>
        </is>
      </c>
      <c r="I16" s="82" t="inlineStr">
        <is>
          <t>102,841 — 102,932</t>
        </is>
      </c>
      <c r="J16" s="82" t="inlineStr">
        <is>
          <t>105,706 — 109,296</t>
        </is>
      </c>
      <c r="K16" s="82" t="inlineStr">
        <is>
          <t>110,565 — 114,320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18</v>
      </c>
      <c r="H17" s="84" t="n">
        <v>19</v>
      </c>
      <c r="I17" s="84" t="n">
        <v>14</v>
      </c>
      <c r="J17" s="85" t="n">
        <v>9</v>
      </c>
      <c r="K17" s="84" t="n">
        <v>13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6" t="inlineStr">
        <is>
          <t>—</t>
        </is>
      </c>
      <c r="C18" s="87">
        <f>IFERROR(C15/B15-1,"")</f>
        <v/>
      </c>
      <c r="D18" s="87">
        <f>IFERROR(D15/C15-1,"")</f>
        <v/>
      </c>
      <c r="E18" s="87">
        <f>IFERROR(E15/D15-1,"")</f>
        <v/>
      </c>
      <c r="F18" s="87">
        <f>IFERROR(F15/E15-1,"")</f>
        <v/>
      </c>
      <c r="G18" s="88">
        <f>IFERROR(G15/F15-1,"")</f>
        <v/>
      </c>
      <c r="H18" s="88">
        <f>IFERROR(H15/G15-1,"")</f>
        <v/>
      </c>
      <c r="I18" s="88">
        <f>IFERROR(I15/H15-1,"")</f>
        <v/>
      </c>
      <c r="J18" s="88">
        <f>IFERROR(J15/I15-1,"")</f>
        <v/>
      </c>
      <c r="K18" s="88">
        <f>IFERROR(K15/J15-1,"")</f>
        <v/>
      </c>
      <c r="L18" s="89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11107.1</v>
      </c>
      <c r="H20" s="77" t="n">
        <v>11663.2</v>
      </c>
      <c r="I20" s="77" t="n">
        <v>12209.4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11,005 — 11,202</t>
        </is>
      </c>
      <c r="H21" s="82" t="inlineStr">
        <is>
          <t>11,473 — 11,899</t>
        </is>
      </c>
      <c r="I21" s="82" t="inlineStr">
        <is>
          <t>12,204 — 12,215</t>
        </is>
      </c>
      <c r="J21" s="82" t="inlineStr">
        <is>
          <t>12,544 — 12,970</t>
        </is>
      </c>
      <c r="K21" s="82" t="inlineStr">
        <is>
          <t>13,121 — 13,566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7">
        <f>IFERROR(B20/B15,"")</f>
        <v/>
      </c>
      <c r="C22" s="87">
        <f>IFERROR(C20/C15,"")</f>
        <v/>
      </c>
      <c r="D22" s="87">
        <f>IFERROR(D20/D15,"")</f>
        <v/>
      </c>
      <c r="E22" s="87">
        <f>IFERROR(E20/E15,"")</f>
        <v/>
      </c>
      <c r="F22" s="87">
        <f>IFERROR(F20/F15,"")</f>
        <v/>
      </c>
      <c r="G22" s="88">
        <f>IFERROR(G20/G15,"")</f>
        <v/>
      </c>
      <c r="H22" s="88">
        <f>IFERROR(H20/H15,"")</f>
        <v/>
      </c>
      <c r="I22" s="88">
        <f>IFERROR(I20/I15,"")</f>
        <v/>
      </c>
      <c r="J22" s="88">
        <f>IFERROR(J20/J15,"")</f>
        <v/>
      </c>
      <c r="K22" s="88">
        <f>IFERROR(K20/K15,"")</f>
        <v/>
      </c>
      <c r="L22" s="89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0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1">
        <f>-G15*G9</f>
        <v/>
      </c>
      <c r="H25" s="91">
        <f>-H15*H9</f>
        <v/>
      </c>
      <c r="I25" s="91">
        <f>-I15*I9</f>
        <v/>
      </c>
      <c r="J25" s="91">
        <f>-J15*J9</f>
        <v/>
      </c>
      <c r="K25" s="91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2">
        <f>B20+B25</f>
        <v/>
      </c>
      <c r="C26" s="92">
        <f>C20+C25</f>
        <v/>
      </c>
      <c r="D26" s="92">
        <f>D20+D25</f>
        <v/>
      </c>
      <c r="E26" s="92">
        <f>E20+E25</f>
        <v/>
      </c>
      <c r="F26" s="92">
        <f>F20+F25</f>
        <v/>
      </c>
      <c r="G26" s="93">
        <f>G20+G25</f>
        <v/>
      </c>
      <c r="H26" s="93">
        <f>H20+H25</f>
        <v/>
      </c>
      <c r="I26" s="93">
        <f>I20+I25</f>
        <v/>
      </c>
      <c r="J26" s="93">
        <f>J20+J25</f>
        <v/>
      </c>
      <c r="K26" s="93">
        <f>K20+K25</f>
        <v/>
      </c>
      <c r="L26" s="93">
        <f>L20+L25</f>
        <v/>
      </c>
      <c r="M26" s="80">
        <f> EBITDA + D&amp;A  (GAAP operating income, EBIT)</f>
        <v/>
      </c>
    </row>
    <row r="27" ht="20" customHeight="1">
      <c r="A27" s="90" t="inlineStr">
        <is>
          <t xml:space="preserve">  Less: Tax on EBIT  (unlevered)</t>
        </is>
      </c>
      <c r="B27" s="94">
        <f>-B26*B12</f>
        <v/>
      </c>
      <c r="C27" s="94">
        <f>-C26*C12</f>
        <v/>
      </c>
      <c r="D27" s="94">
        <f>-D26*D12</f>
        <v/>
      </c>
      <c r="E27" s="94">
        <f>-E26*E12</f>
        <v/>
      </c>
      <c r="F27" s="94">
        <f>-F26*F12</f>
        <v/>
      </c>
      <c r="G27" s="95">
        <f>-G26*G12</f>
        <v/>
      </c>
      <c r="H27" s="95">
        <f>-H26*H12</f>
        <v/>
      </c>
      <c r="I27" s="95">
        <f>-I26*I12</f>
        <v/>
      </c>
      <c r="J27" s="95">
        <f>-J26*J12</f>
        <v/>
      </c>
      <c r="K27" s="95">
        <f>-K26*K12</f>
        <v/>
      </c>
      <c r="L27" s="95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2">
        <f>B26+B27</f>
        <v/>
      </c>
      <c r="C28" s="92">
        <f>C26+C27</f>
        <v/>
      </c>
      <c r="D28" s="92">
        <f>D26+D27</f>
        <v/>
      </c>
      <c r="E28" s="92">
        <f>E26+E27</f>
        <v/>
      </c>
      <c r="F28" s="92">
        <f>F26+F27</f>
        <v/>
      </c>
      <c r="G28" s="96">
        <f>G26+G27</f>
        <v/>
      </c>
      <c r="H28" s="96">
        <f>H26+H27</f>
        <v/>
      </c>
      <c r="I28" s="96">
        <f>I26+I27</f>
        <v/>
      </c>
      <c r="J28" s="96">
        <f>J26+J27</f>
        <v/>
      </c>
      <c r="K28" s="96">
        <f>K26+K27</f>
        <v/>
      </c>
      <c r="L28" s="96">
        <f>L26+L27</f>
        <v/>
      </c>
      <c r="M28" s="80">
        <f> EBIT × (1 − tax rate)</f>
        <v/>
      </c>
    </row>
    <row r="29" ht="20" customHeight="1">
      <c r="A29" s="90" t="inlineStr">
        <is>
          <t xml:space="preserve">  (+) D&amp;A add-back  (non-cash)</t>
        </is>
      </c>
      <c r="B29" s="94">
        <f>-B25</f>
        <v/>
      </c>
      <c r="C29" s="94">
        <f>-C25</f>
        <v/>
      </c>
      <c r="D29" s="94">
        <f>-D25</f>
        <v/>
      </c>
      <c r="E29" s="94">
        <f>-E25</f>
        <v/>
      </c>
      <c r="F29" s="94">
        <f>-F25</f>
        <v/>
      </c>
      <c r="G29" s="95">
        <f>-G25</f>
        <v/>
      </c>
      <c r="H29" s="95">
        <f>-H25</f>
        <v/>
      </c>
      <c r="I29" s="95">
        <f>-I25</f>
        <v/>
      </c>
      <c r="J29" s="95">
        <f>-J25</f>
        <v/>
      </c>
      <c r="K29" s="95">
        <f>-K25</f>
        <v/>
      </c>
      <c r="L29" s="95">
        <f>-L25</f>
        <v/>
      </c>
      <c r="M29" s="80">
        <f> D&amp;A added back (non-cash charge — converts NOPAT to cash basis)</f>
        <v/>
      </c>
    </row>
    <row r="30" ht="20" customHeight="1">
      <c r="A30" s="90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5">
        <f>-G15*G10</f>
        <v/>
      </c>
      <c r="H30" s="95">
        <f>-H15*H10</f>
        <v/>
      </c>
      <c r="I30" s="95">
        <f>-I15*I10</f>
        <v/>
      </c>
      <c r="J30" s="95">
        <f>-J15*J10</f>
        <v/>
      </c>
      <c r="K30" s="95">
        <f>-K15*K10</f>
        <v/>
      </c>
      <c r="L30" s="95">
        <f>-L15*L10</f>
        <v/>
      </c>
      <c r="M30" s="80">
        <f> Revenue × CapEx % assumption  (negative = cash outflow)</f>
        <v/>
      </c>
    </row>
    <row r="31" ht="20" customHeight="1">
      <c r="A31" s="90" t="inlineStr">
        <is>
          <t xml:space="preserve">  (−) Increase in Net Working Capital</t>
        </is>
      </c>
      <c r="B31" s="94" t="n"/>
      <c r="C31" s="94">
        <f>-(('Balance Sheet'!C9-'Balance Sheet'!C21)-('Balance Sheet'!B9-'Balance Sheet'!B21))</f>
        <v/>
      </c>
      <c r="D31" s="94">
        <f>-(('Balance Sheet'!D9-'Balance Sheet'!D21)-('Balance Sheet'!C9-'Balance Sheet'!C21))</f>
        <v/>
      </c>
      <c r="E31" s="94">
        <f>-(('Balance Sheet'!E9-'Balance Sheet'!E21)-('Balance Sheet'!D9-'Balance Sheet'!D21))</f>
        <v/>
      </c>
      <c r="F31" s="94">
        <f>-(('Balance Sheet'!F9-'Balance Sheet'!F21)-('Balance Sheet'!E9-'Balance Sheet'!E21))</f>
        <v/>
      </c>
      <c r="G31" s="95">
        <f>-G15*G11</f>
        <v/>
      </c>
      <c r="H31" s="95">
        <f>-H15*H11</f>
        <v/>
      </c>
      <c r="I31" s="95">
        <f>-I15*I11</f>
        <v/>
      </c>
      <c r="J31" s="95">
        <f>-J15*J11</f>
        <v/>
      </c>
      <c r="K31" s="95">
        <f>-K15*K11</f>
        <v/>
      </c>
      <c r="L31" s="95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2">
        <f>B28+B29+B30+B31</f>
        <v/>
      </c>
      <c r="C32" s="92">
        <f>C28+C29+C30+C31</f>
        <v/>
      </c>
      <c r="D32" s="92">
        <f>D28+D29+D30+D31</f>
        <v/>
      </c>
      <c r="E32" s="92">
        <f>E28+E29+E30+E31</f>
        <v/>
      </c>
      <c r="F32" s="92">
        <f>F28+F29+F30+F31</f>
        <v/>
      </c>
      <c r="G32" s="96">
        <f>G28+G29+G30+G31</f>
        <v/>
      </c>
      <c r="H32" s="96">
        <f>H28+H29+H30+H31</f>
        <v/>
      </c>
      <c r="I32" s="96">
        <f>I28+I29+I30+I31</f>
        <v/>
      </c>
      <c r="J32" s="96">
        <f>J28+J29+J30+J31</f>
        <v/>
      </c>
      <c r="K32" s="96">
        <f>K28+K29+K30+K31</f>
        <v/>
      </c>
      <c r="L32" s="96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7">
        <f>B32/B15</f>
        <v/>
      </c>
      <c r="C33" s="87">
        <f>C32/C15</f>
        <v/>
      </c>
      <c r="D33" s="87">
        <f>D32/D15</f>
        <v/>
      </c>
      <c r="E33" s="87">
        <f>E32/E15</f>
        <v/>
      </c>
      <c r="F33" s="87">
        <f>F32/F15</f>
        <v/>
      </c>
      <c r="G33" s="97">
        <f>IFERROR(G32/G15,"")</f>
        <v/>
      </c>
      <c r="H33" s="97">
        <f>IFERROR(H32/H15,"")</f>
        <v/>
      </c>
      <c r="I33" s="97">
        <f>IFERROR(I32/I15,"")</f>
        <v/>
      </c>
      <c r="J33" s="97">
        <f>IFERROR(J32/J15,"")</f>
        <v/>
      </c>
      <c r="K33" s="97">
        <f>IFERROR(K32/K15,"")</f>
        <v/>
      </c>
      <c r="L33" s="97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8">
        <f>WACC!B44</f>
        <v/>
      </c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100" t="n">
        <v>0.025</v>
      </c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74" t="inlineStr">
        <is>
          <t>Growth tier: LOW (-2.0% 3yr avg rev growth).  Bear 2.00% / Base 2.5% / Bull 3.00%.  Keep below WACC.</t>
        </is>
      </c>
    </row>
    <row r="38" ht="20" customHeight="1">
      <c r="A38" s="68" t="inlineStr">
        <is>
          <t>Terminal EV/EBITDA Multiple  (exit multiple method)</t>
        </is>
      </c>
      <c r="B38" s="101" t="n">
        <v>10</v>
      </c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74" t="inlineStr">
        <is>
          <t>Growth tier: LOW (-2.0% 3yr avg rev growth).  Bear 8x / Base 10x / Bull 12x.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2" t="inlineStr">
        <is>
          <t>Terminal Year UFCF  (grown by g)</t>
        </is>
      </c>
      <c r="B40" s="103">
        <f>L32</f>
        <v/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6">
        <f>B40/(B36-B37)</f>
        <v/>
      </c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6">
        <f>L20*B38</f>
        <v/>
      </c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2" t="inlineStr">
        <is>
          <t>Discount Period  (mid-year convention)</t>
        </is>
      </c>
      <c r="G45" s="106" t="n">
        <v>0.5</v>
      </c>
      <c r="H45" s="106" t="n">
        <v>1.5</v>
      </c>
      <c r="I45" s="106" t="n">
        <v>2.5</v>
      </c>
      <c r="J45" s="106" t="n">
        <v>3.5</v>
      </c>
      <c r="K45" s="106" t="n">
        <v>4.5</v>
      </c>
      <c r="L45" s="107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2" t="inlineStr">
        <is>
          <t>Discount Factor  =  1 / (1 + WACC) ^ period</t>
        </is>
      </c>
      <c r="G46" s="108">
        <f>1/(1+B36)^G45</f>
        <v/>
      </c>
      <c r="H46" s="108">
        <f>1/(1+B36)^H45</f>
        <v/>
      </c>
      <c r="I46" s="108">
        <f>1/(1+B36)^I45</f>
        <v/>
      </c>
      <c r="J46" s="108">
        <f>1/(1+B36)^J45</f>
        <v/>
      </c>
      <c r="K46" s="108">
        <f>1/(1+B36)^K45</f>
        <v/>
      </c>
      <c r="L46" s="109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6">
        <f>G32*G46</f>
        <v/>
      </c>
      <c r="H47" s="96">
        <f>H32*H46</f>
        <v/>
      </c>
      <c r="I47" s="96">
        <f>I32*I46</f>
        <v/>
      </c>
      <c r="J47" s="96">
        <f>J32*J46</f>
        <v/>
      </c>
      <c r="K47" s="96">
        <f>K32*K46</f>
        <v/>
      </c>
      <c r="L47" s="105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3">
        <f>G47+H47+I47+J47+K47</f>
        <v/>
      </c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3">
        <f>B41*L46</f>
        <v/>
      </c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3">
        <f>B42*L46</f>
        <v/>
      </c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6">
        <f>B48+B49</f>
        <v/>
      </c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</row>
    <row r="54">
      <c r="A54" s="75" t="inlineStr">
        <is>
          <t>Enterprise Value  [Exit Multiple]</t>
        </is>
      </c>
      <c r="B54" s="96">
        <f>B48+B50</f>
        <v/>
      </c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</row>
    <row r="55" ht="20" customHeight="1">
      <c r="A55" s="90" t="inlineStr">
        <is>
          <t xml:space="preserve">  Less: Net Debt  (Debt − Cash)</t>
        </is>
      </c>
      <c r="B55" s="103">
        <f>'Balance Sheet'!F81</f>
        <v/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80" t="inlineStr">
        <is>
          <t>Linked from Balance Sheet: Total Debt (ST+LT) − Cash &amp; Equivalents  (negative = net cash)</t>
        </is>
      </c>
    </row>
    <row r="56" ht="20" customHeight="1">
      <c r="A56" s="90" t="inlineStr">
        <is>
          <t xml:space="preserve">  Less: Minority Interest</t>
        </is>
      </c>
      <c r="B56" s="103" t="n">
        <v>0</v>
      </c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80" t="inlineStr">
        <is>
          <t>Auto-linked from Balance Sheet: minorityInterest</t>
        </is>
      </c>
    </row>
    <row r="57" ht="20" customHeight="1">
      <c r="A57" s="90" t="inlineStr">
        <is>
          <t xml:space="preserve">  Shares Outstanding — Diluted  (mm)</t>
        </is>
      </c>
      <c r="B57" s="103" t="n">
        <v>243</v>
      </c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1">
        <f>IFERROR((B53-B55-B56)/B57,"")</f>
        <v/>
      </c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</row>
    <row r="60">
      <c r="A60" s="75" t="inlineStr">
        <is>
          <t>Implied Share Price  [Exit Multiple]  ($)</t>
        </is>
      </c>
      <c r="B60" s="111">
        <f>IFERROR((B54-B55-B56)/B57,"")</f>
        <v/>
      </c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20" customHeight="1">
      <c r="A61" s="102" t="inlineStr">
        <is>
          <t>Current Market Price  ($)</t>
        </is>
      </c>
      <c r="B61" s="112" t="n">
        <v>394.2</v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3">
        <f>IFERROR(B59/B61-1,"")</f>
        <v/>
      </c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</row>
    <row r="63">
      <c r="A63" s="63" t="inlineStr">
        <is>
          <t>Upside / (Downside)  [Exit Multiple]</t>
        </is>
      </c>
      <c r="B63" s="113">
        <f>IFERROR(B60/B61-1,"")</f>
        <v/>
      </c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4" t="inlineStr">
        <is>
          <t>JS SCORECARD — FDX  |  Master Prompt v2  |  24 May 2026  |  Sector bucket: Stable Compounder</t>
        </is>
      </c>
    </row>
    <row r="2" ht="18" customHeight="1">
      <c r="A2" s="115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6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7" t="inlineStr">
        <is>
          <t>CRITERION</t>
        </is>
      </c>
      <c r="B6" s="118" t="inlineStr">
        <is>
          <t>PART</t>
        </is>
      </c>
      <c r="C6" s="118" t="inlineStr">
        <is>
          <t>WEIGHT %</t>
        </is>
      </c>
      <c r="D6" s="118" t="inlineStr">
        <is>
          <t>CALCULATED VALUE</t>
        </is>
      </c>
      <c r="E6" s="118" t="inlineStr">
        <is>
          <t>TIER  ▼</t>
        </is>
      </c>
      <c r="F6" s="118" t="inlineStr">
        <is>
          <t>SCORE</t>
        </is>
      </c>
      <c r="G6" s="118" t="inlineStr">
        <is>
          <t>WTD SCORE</t>
        </is>
      </c>
      <c r="H6" s="117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9" t="inlineStr">
        <is>
          <t xml:space="preserve">  Business Clarity</t>
        </is>
      </c>
      <c r="B8" s="120" t="inlineStr">
        <is>
          <t>P1</t>
        </is>
      </c>
      <c r="C8" s="121" t="n">
        <v>0.025</v>
      </c>
      <c r="D8" s="122" t="inlineStr">
        <is>
          <t>— user input required</t>
        </is>
      </c>
      <c r="E8" s="123" t="n"/>
      <c r="F8" s="124">
        <f>IF(E8="HIGH",10,IF(E8="MOD-HIGH",7,IF(E8="MOD-LOW",3,IF(E8="LOW",0,""))))</f>
        <v/>
      </c>
      <c r="G8" s="125">
        <f>IF(F8="",0,C8*F8*10)</f>
        <v/>
      </c>
      <c r="H8" s="126" t="inlineStr"/>
    </row>
    <row r="9" ht="18" customHeight="1">
      <c r="A9" s="127" t="inlineStr">
        <is>
          <t xml:space="preserve">  Moat Profile</t>
        </is>
      </c>
      <c r="B9" s="128" t="inlineStr">
        <is>
          <t>P1</t>
        </is>
      </c>
      <c r="C9" s="129" t="n">
        <v>0.1</v>
      </c>
      <c r="D9" s="130" t="inlineStr">
        <is>
          <t>GM 21.6% ✗ (&gt;40%)  |  GM trend +0.0% ✗ (&gt;+1pp)  |  ROIC-WACC +1.8% ✗ (&gt;+5pp)  |  Rev consistency σ=6.1% ✓ (&lt;8%)  [1/4 indicators positive — proxy score]</t>
        </is>
      </c>
      <c r="E9" s="131" t="inlineStr">
        <is>
          <t>LOW</t>
        </is>
      </c>
      <c r="F9" s="132" t="n">
        <v>2.5</v>
      </c>
      <c r="G9" s="133">
        <f>IF(F9="",0,C9*F9*10)</f>
        <v/>
      </c>
      <c r="H9" s="134" t="inlineStr">
        <is>
          <t>GM 21.6% ✗ (&gt;40%)  |  GM trend +0.0% ✗ (&gt;+1pp)  |  ROIC-WACC +1.8% ✗ (&gt;+5pp)  |  Rev consistency σ=6.1% ✓ (&lt;8%)  [1/4 indicators positive — proxy score]</t>
        </is>
      </c>
    </row>
    <row r="10" ht="18" customHeight="1">
      <c r="A10" s="119" t="inlineStr">
        <is>
          <t xml:space="preserve">  Long-Term Potential</t>
        </is>
      </c>
      <c r="B10" s="120" t="inlineStr">
        <is>
          <t>P1</t>
        </is>
      </c>
      <c r="C10" s="121" t="n">
        <v>0.1</v>
      </c>
      <c r="D10" s="122" t="inlineStr">
        <is>
          <t>— user input required</t>
        </is>
      </c>
      <c r="E10" s="123" t="n"/>
      <c r="F10" s="124">
        <f>IF(E10="HIGH",10,IF(E10="MOD-HIGH",7,IF(E10="MOD-LOW",3,IF(E10="LOW",0,""))))</f>
        <v/>
      </c>
      <c r="G10" s="125">
        <f>IF(F10="",0,C10*F10*10)</f>
        <v/>
      </c>
      <c r="H10" s="126" t="inlineStr"/>
    </row>
    <row r="11" ht="18" customHeight="1">
      <c r="A11" s="127" t="inlineStr">
        <is>
          <t xml:space="preserve">  Management</t>
        </is>
      </c>
      <c r="B11" s="128" t="inlineStr">
        <is>
          <t>P1</t>
        </is>
      </c>
      <c r="C11" s="129" t="n">
        <v>0.075</v>
      </c>
      <c r="D11" s="130" t="inlineStr">
        <is>
          <t>ROIC trend -2.9% ✗ (&gt;=-2pp)  |  GM maintained +0.0% ✓  |  Op margin -0.1% ✓ (≥-2pp)  |  Capital returns MOD-HIGH ✓  |  Share count -2.1%/yr ✓ (net buyback)  |  Goodwill/Equity 24% ✓ (&lt;40%)  [5/6 indicators positive — proxy score]</t>
        </is>
      </c>
      <c r="E11" s="135" t="inlineStr">
        <is>
          <t>MOD-HIGH</t>
        </is>
      </c>
      <c r="F11" s="132" t="n">
        <v>8.33</v>
      </c>
      <c r="G11" s="133">
        <f>IF(F11="",0,C11*F11*10)</f>
        <v/>
      </c>
      <c r="H11" s="134" t="inlineStr">
        <is>
          <t>ROIC trend -2.9% ✗ (&gt;=-2pp)  |  GM maintained +0.0% ✓  |  Op margin -0.1% ✓ (≥-2pp)  |  Capital returns MOD-HIGH ✓  |  Share count -2.1%/yr ✓ (net buyback)  |  Goodwill/Equity 24% ✓ (&lt;40%)  [5/6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7" t="inlineStr">
        <is>
          <t xml:space="preserve">  Revenue 3yr CAGR</t>
        </is>
      </c>
      <c r="B13" s="128" t="inlineStr">
        <is>
          <t>P2</t>
        </is>
      </c>
      <c r="C13" s="129" t="n">
        <v>0.1</v>
      </c>
      <c r="D13" s="130" t="inlineStr">
        <is>
          <t>-2.0%</t>
        </is>
      </c>
      <c r="E13" s="131" t="inlineStr">
        <is>
          <t>LOW</t>
        </is>
      </c>
      <c r="F13" s="132" t="n">
        <v>0</v>
      </c>
      <c r="G13" s="133">
        <f>IF(F13="",0,C13*F13*10)</f>
        <v/>
      </c>
      <c r="H13" s="134" t="inlineStr">
        <is>
          <t>-2.0%</t>
        </is>
      </c>
    </row>
    <row r="14" ht="18" customHeight="1">
      <c r="A14" s="127" t="inlineStr">
        <is>
          <t xml:space="preserve">  Cash Quality  (FCF / Net Income)</t>
        </is>
      </c>
      <c r="B14" s="128" t="inlineStr">
        <is>
          <t>P2</t>
        </is>
      </c>
      <c r="C14" s="129" t="n">
        <v>0.1</v>
      </c>
      <c r="D14" s="130" t="inlineStr">
        <is>
          <t>73%</t>
        </is>
      </c>
      <c r="E14" s="135" t="inlineStr">
        <is>
          <t>MOD-HIGH</t>
        </is>
      </c>
      <c r="F14" s="132" t="n">
        <v>7.43</v>
      </c>
      <c r="G14" s="133">
        <f>IF(F14="",0,C14*F14*10)</f>
        <v/>
      </c>
      <c r="H14" s="134" t="inlineStr">
        <is>
          <t>73%</t>
        </is>
      </c>
    </row>
    <row r="15" ht="18" customHeight="1">
      <c r="A15" s="127" t="inlineStr">
        <is>
          <t xml:space="preserve">  Capital Returns</t>
        </is>
      </c>
      <c r="B15" s="128" t="inlineStr">
        <is>
          <t>P2</t>
        </is>
      </c>
      <c r="C15" s="129" t="n">
        <v>0.05</v>
      </c>
      <c r="D15" s="130" t="inlineStr">
        <is>
          <t>$3,017mm latest FY — 4yr equity-funded  [payout 101% of FCF — &gt; 100%, unsustainable]</t>
        </is>
      </c>
      <c r="E15" s="135" t="inlineStr">
        <is>
          <t>MOD-HIGH</t>
        </is>
      </c>
      <c r="F15" s="132" t="n">
        <v>4.5</v>
      </c>
      <c r="G15" s="133">
        <f>IF(F15="",0,C15*F15*10)</f>
        <v/>
      </c>
      <c r="H15" s="134" t="inlineStr">
        <is>
          <t>$3,017mm latest FY — 4yr equity-funded  [payout 101% of FCF — &gt; 100%, unsustainable]</t>
        </is>
      </c>
    </row>
    <row r="16" ht="18" customHeight="1">
      <c r="A16" s="127" t="inlineStr">
        <is>
          <t xml:space="preserve">  ROIC</t>
        </is>
      </c>
      <c r="B16" s="128" t="inlineStr">
        <is>
          <t>P2</t>
        </is>
      </c>
      <c r="C16" s="129" t="n">
        <v>0.075</v>
      </c>
      <c r="D16" s="130" t="inlineStr">
        <is>
          <t>10.8%</t>
        </is>
      </c>
      <c r="E16" s="136" t="inlineStr">
        <is>
          <t>MOD-LOW</t>
        </is>
      </c>
      <c r="F16" s="132" t="n">
        <v>6.23</v>
      </c>
      <c r="G16" s="133">
        <f>IF(F16="",0,C16*F16*10)</f>
        <v/>
      </c>
      <c r="H16" s="134" t="inlineStr">
        <is>
          <t>10.8%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7" t="inlineStr">
        <is>
          <t xml:space="preserve">  Credit Risk  (D / EBITDA)</t>
        </is>
      </c>
      <c r="B18" s="128" t="inlineStr">
        <is>
          <t>P3</t>
        </is>
      </c>
      <c r="C18" s="129" t="n">
        <v>0.05</v>
      </c>
      <c r="D18" s="130" t="inlineStr">
        <is>
          <t>2.0x</t>
        </is>
      </c>
      <c r="E18" s="135" t="inlineStr">
        <is>
          <t>MOD-HIGH</t>
        </is>
      </c>
      <c r="F18" s="132" t="n">
        <v>9.08</v>
      </c>
      <c r="G18" s="133">
        <f>IF(F18="",0,C18*F18*10)</f>
        <v/>
      </c>
      <c r="H18" s="134" t="inlineStr">
        <is>
          <t>2.0x</t>
        </is>
      </c>
    </row>
    <row r="19" ht="18" customHeight="1">
      <c r="A19" s="127" t="inlineStr">
        <is>
          <t xml:space="preserve">  Interest Cover  (EBIT / Interest)</t>
        </is>
      </c>
      <c r="B19" s="128" t="inlineStr">
        <is>
          <t>P3</t>
        </is>
      </c>
      <c r="C19" s="129" t="n">
        <v>0.075</v>
      </c>
      <c r="D19" s="130" t="inlineStr">
        <is>
          <t>7.7x</t>
        </is>
      </c>
      <c r="E19" s="135" t="inlineStr">
        <is>
          <t>MOD-HIGH</t>
        </is>
      </c>
      <c r="F19" s="132" t="n">
        <v>8.85</v>
      </c>
      <c r="G19" s="133">
        <f>IF(F19="",0,C19*F19*10)</f>
        <v/>
      </c>
      <c r="H19" s="134" t="inlineStr">
        <is>
          <t>7.7x</t>
        </is>
      </c>
    </row>
    <row r="20" ht="18" customHeight="1">
      <c r="A20" s="127" t="inlineStr">
        <is>
          <t xml:space="preserve">  Execution Risk</t>
        </is>
      </c>
      <c r="B20" s="128" t="inlineStr">
        <is>
          <t>P3</t>
        </is>
      </c>
      <c r="C20" s="129" t="n">
        <v>0.05</v>
      </c>
      <c r="D20" s="130" t="inlineStr">
        <is>
          <t>Rev growth σ=6.1%  |  OM trend -0.3%, σ=0.5%  [quality = direction + stability]</t>
        </is>
      </c>
      <c r="E20" s="135" t="inlineStr">
        <is>
          <t>MOD-HIGH</t>
        </is>
      </c>
      <c r="F20" s="132" t="n">
        <v>6.67</v>
      </c>
      <c r="G20" s="133">
        <f>IF(F20="",0,C20*F20*10)</f>
        <v/>
      </c>
      <c r="H20" s="134" t="inlineStr">
        <is>
          <t>Rev growth σ=6.1%  |  OM trend -0.3%, σ=0.5%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7" t="inlineStr">
        <is>
          <t xml:space="preserve">  Valuation vs Median  (P/E)</t>
        </is>
      </c>
      <c r="B22" s="128" t="inlineStr">
        <is>
          <t>P4</t>
        </is>
      </c>
      <c r="C22" s="129" t="n">
        <v>0.1</v>
      </c>
      <c r="D22" s="130" t="inlineStr">
        <is>
          <t>Current 13.0x  |  5yr avg 14.5x  |  DCF-implied 12.1x [ref only — not used as benchmark]  [-10% vs benchmark]  [trail=8.55 | fwd_pe=19.9x→1.53 | abs=12.0 → blended 40/40/20=6.43]  PEG=113.66 (fwd_pe=19.9x / eps_growth=18%)  [revision:Modest upgrade expected→+0.25]</t>
        </is>
      </c>
      <c r="E22" s="137" t="inlineStr">
        <is>
          <t>HIGH</t>
        </is>
      </c>
      <c r="F22" s="132" t="n">
        <v>6.68</v>
      </c>
      <c r="G22" s="133">
        <f>IF(F22="",0,C22*F22*10)</f>
        <v/>
      </c>
      <c r="H22" s="134" t="inlineStr">
        <is>
          <t>Current 13.0x  |  5yr avg 14.5x  |  DCF-implied 12.1x [ref only — not used as benchmark]  [-10% vs benchmark]  [trail=8.55 | fwd_pe=19.9x→1.53 | abs=12.0 → blended 40/40/20=6.43]  PEG=113.66 (fwd_pe=19.9x / eps_growth=18%)  [revision:Modest upgrade expected→+0.25]</t>
        </is>
      </c>
    </row>
    <row r="23" ht="18" customHeight="1">
      <c r="A23" s="127" t="inlineStr">
        <is>
          <t xml:space="preserve">  Valuation vs Median  (P/FCF)</t>
        </is>
      </c>
      <c r="B23" s="128" t="inlineStr">
        <is>
          <t>P4</t>
        </is>
      </c>
      <c r="C23" s="129" t="n">
        <v>0.1</v>
      </c>
      <c r="D23" s="130" t="inlineStr">
        <is>
          <t>Current 17.8x  |  5yr avg 19.5x  |  DCF-implied 16.6x [ref only — not used as benchmark]  [-9% vs benchmark]  [trail=8.31 | fwd_pfcf=30.2x→0.00 | abs=10.0 → blended 40/40/20=5.32]</t>
        </is>
      </c>
      <c r="E23" s="135" t="inlineStr">
        <is>
          <t>MOD-HIGH</t>
        </is>
      </c>
      <c r="F23" s="132" t="n">
        <v>5.32</v>
      </c>
      <c r="G23" s="133">
        <f>IF(F23="",0,C23*F23*10)</f>
        <v/>
      </c>
      <c r="H23" s="134" t="inlineStr">
        <is>
          <t>Current 17.8x  |  5yr avg 19.5x  |  DCF-implied 16.6x [ref only — not used as benchmark]  [-9% vs benchmark]  [trail=8.31 | fwd_pfcf=30.2x→0.00 | abs=10.0 → blended 40/40/20=5.32]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8" t="inlineStr">
        <is>
          <t>TOTAL SCORE  (max = 100.0)</t>
        </is>
      </c>
      <c r="B25" s="139" t="n"/>
      <c r="C25" s="139" t="n"/>
      <c r="D25" s="139" t="n"/>
      <c r="E25" s="139" t="n"/>
      <c r="F25" s="139" t="n"/>
      <c r="G25" s="140">
        <f>G8+G9+G10+G11+G13+G14+G15+G16+G18+G19+G20+G22+G23</f>
        <v/>
      </c>
      <c r="H25" s="141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2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3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2026-05-24T11:25:34Z</dcterms:created>
  <dcterms:modified xmlns:dcterms="http://purl.org/dc/terms/" xmlns:xsi="http://www.w3.org/2001/XMLSchema-instance" xsi:type="dcterms:W3CDTF">2026-05-24T11:25:48Z</dcterms:modified>
</cp:coreProperties>
</file>