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FDX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87926</v>
      </c>
    </row>
    <row r="8">
      <c r="A8" s="3" t="inlineStr">
        <is>
          <t>Gross Profit ($mm)</t>
        </is>
      </c>
      <c r="B8" s="7" t="n">
        <v>18995</v>
      </c>
    </row>
    <row r="9">
      <c r="A9" s="3" t="inlineStr">
        <is>
          <t>EBITDA ($mm)</t>
        </is>
      </c>
      <c r="B9" s="7" t="n">
        <v>10494</v>
      </c>
    </row>
    <row r="10">
      <c r="A10" s="3" t="inlineStr">
        <is>
          <t>EBIT ($mm)</t>
        </is>
      </c>
      <c r="B10" s="7" t="n">
        <v>6082</v>
      </c>
    </row>
    <row r="11">
      <c r="A11" s="3" t="inlineStr">
        <is>
          <t>Net Income ($mm)</t>
        </is>
      </c>
      <c r="B11" s="7" t="n">
        <v>4092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83794</v>
      </c>
      <c r="C5" s="16" t="n">
        <v>93512</v>
      </c>
      <c r="D5" s="16" t="n">
        <v>90155</v>
      </c>
      <c r="E5" s="16" t="n">
        <v>87693</v>
      </c>
      <c r="F5" s="16" t="n">
        <v>87926</v>
      </c>
    </row>
    <row r="6">
      <c r="A6" s="17" t="inlineStr">
        <is>
          <t>(2)  Cost of Revenue (COGS)</t>
        </is>
      </c>
      <c r="B6" s="18" t="n">
        <v>66005</v>
      </c>
      <c r="C6" s="18" t="n">
        <v>73345</v>
      </c>
      <c r="D6" s="18" t="n">
        <v>70989</v>
      </c>
      <c r="E6" s="18" t="n">
        <v>68741</v>
      </c>
      <c r="F6" s="18" t="n">
        <v>68931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11771</v>
      </c>
      <c r="C9" s="18" t="n">
        <v>13644</v>
      </c>
      <c r="D9" s="18" t="n">
        <v>13828</v>
      </c>
      <c r="E9" s="18" t="n">
        <v>12597</v>
      </c>
      <c r="F9" s="18" t="n">
        <v>12913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11771</v>
      </c>
      <c r="C11" s="18" t="n">
        <v>13644</v>
      </c>
      <c r="D11" s="18" t="n">
        <v>13828</v>
      </c>
      <c r="E11" s="18" t="n">
        <v>12597</v>
      </c>
      <c r="F11" s="18" t="n">
        <v>12913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3793</v>
      </c>
      <c r="C14" s="18" t="n">
        <v>3970</v>
      </c>
      <c r="D14" s="18" t="n">
        <v>4176</v>
      </c>
      <c r="E14" s="18" t="n">
        <v>4287</v>
      </c>
      <c r="F14" s="18" t="n">
        <v>4264</v>
      </c>
    </row>
    <row r="15">
      <c r="A15" s="19" t="inlineStr">
        <is>
          <t>(8)  EBIT (Operating Income)</t>
        </is>
      </c>
      <c r="B15" s="24" t="n">
        <v>6018</v>
      </c>
      <c r="C15" s="24" t="n">
        <v>6523</v>
      </c>
      <c r="D15" s="24" t="n">
        <v>5338</v>
      </c>
      <c r="E15" s="24" t="n">
        <v>6355</v>
      </c>
      <c r="F15" s="24" t="n">
        <v>6082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793</v>
      </c>
      <c r="C17" s="18" t="n">
        <v>689</v>
      </c>
      <c r="D17" s="18" t="n">
        <v>694</v>
      </c>
      <c r="E17" s="18" t="n">
        <v>745</v>
      </c>
      <c r="F17" s="18" t="n">
        <v>789</v>
      </c>
    </row>
    <row r="18">
      <c r="A18" s="21" t="inlineStr">
        <is>
          <t xml:space="preserve">     Interest Income</t>
        </is>
      </c>
      <c r="B18" s="18" t="n">
        <v>52</v>
      </c>
      <c r="C18" s="18" t="n">
        <v>53</v>
      </c>
      <c r="D18" s="18" t="n">
        <v>198</v>
      </c>
      <c r="E18" s="18" t="n">
        <v>370</v>
      </c>
      <c r="F18" s="18" t="n">
        <v>363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6674</v>
      </c>
      <c r="C21" s="24" t="n">
        <v>4896</v>
      </c>
      <c r="D21" s="24" t="n">
        <v>5363</v>
      </c>
      <c r="E21" s="24" t="n">
        <v>5836</v>
      </c>
      <c r="F21" s="24" t="n">
        <v>5441</v>
      </c>
    </row>
    <row r="22">
      <c r="A22" s="17" t="inlineStr">
        <is>
          <t>(11) Income Tax Expense</t>
        </is>
      </c>
      <c r="B22" s="18" t="n">
        <v>1443</v>
      </c>
      <c r="C22" s="18" t="n">
        <v>1070</v>
      </c>
      <c r="D22" s="18" t="n">
        <v>1391</v>
      </c>
      <c r="E22" s="18" t="n">
        <v>1505</v>
      </c>
      <c r="F22" s="18" t="n">
        <v>1349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5231</v>
      </c>
      <c r="C24" s="24" t="n">
        <v>3826</v>
      </c>
      <c r="D24" s="24" t="n">
        <v>3972</v>
      </c>
      <c r="E24" s="24" t="n">
        <v>4331</v>
      </c>
      <c r="F24" s="24" t="n">
        <v>4092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83794</v>
      </c>
      <c r="C30" s="16" t="n">
        <v>93512</v>
      </c>
      <c r="D30" s="16" t="n">
        <v>90155</v>
      </c>
      <c r="E30" s="16" t="n">
        <v>87693</v>
      </c>
      <c r="F30" s="16" t="n">
        <v>87926</v>
      </c>
    </row>
    <row r="31">
      <c r="A31" s="17" t="inlineStr">
        <is>
          <t>Cost of Revenue</t>
        </is>
      </c>
      <c r="B31" s="18" t="n">
        <v>66005</v>
      </c>
      <c r="C31" s="18" t="n">
        <v>73345</v>
      </c>
      <c r="D31" s="18" t="n">
        <v>70989</v>
      </c>
      <c r="E31" s="18" t="n">
        <v>68741</v>
      </c>
      <c r="F31" s="18" t="n">
        <v>68931</v>
      </c>
    </row>
    <row r="32">
      <c r="A32" s="26" t="inlineStr">
        <is>
          <t>Gross Profit</t>
        </is>
      </c>
      <c r="B32" s="27" t="n">
        <v>17789</v>
      </c>
      <c r="C32" s="27" t="n">
        <v>20167</v>
      </c>
      <c r="D32" s="27" t="n">
        <v>19166</v>
      </c>
      <c r="E32" s="27" t="n">
        <v>18952</v>
      </c>
      <c r="F32" s="27" t="n">
        <v>18995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11771</v>
      </c>
      <c r="C37" s="18" t="n">
        <v>13644</v>
      </c>
      <c r="D37" s="18" t="n">
        <v>13828</v>
      </c>
      <c r="E37" s="18" t="n">
        <v>12597</v>
      </c>
      <c r="F37" s="18" t="n">
        <v>12913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11771</v>
      </c>
      <c r="C39" s="27" t="n">
        <v>13644</v>
      </c>
      <c r="D39" s="27" t="n">
        <v>13828</v>
      </c>
      <c r="E39" s="27" t="n">
        <v>12597</v>
      </c>
      <c r="F39" s="27" t="n">
        <v>12913</v>
      </c>
    </row>
    <row r="40">
      <c r="A40" s="17" t="inlineStr">
        <is>
          <t>Cost &amp; Expenses (COGS + Opex)</t>
        </is>
      </c>
      <c r="B40" s="18" t="n">
        <v>77776</v>
      </c>
      <c r="C40" s="18" t="n">
        <v>86989</v>
      </c>
      <c r="D40" s="18" t="n">
        <v>84817</v>
      </c>
      <c r="E40" s="18" t="n">
        <v>81338</v>
      </c>
      <c r="F40" s="18" t="n">
        <v>81844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6018</v>
      </c>
      <c r="C42" s="16" t="n">
        <v>6523</v>
      </c>
      <c r="D42" s="16" t="n">
        <v>5338</v>
      </c>
      <c r="E42" s="16" t="n">
        <v>6355</v>
      </c>
      <c r="F42" s="16" t="n">
        <v>6082</v>
      </c>
    </row>
    <row r="43">
      <c r="A43" s="17" t="inlineStr">
        <is>
          <t>EBIT (FMP field)</t>
        </is>
      </c>
      <c r="B43" s="18" t="n">
        <v>7467</v>
      </c>
      <c r="C43" s="18" t="n">
        <v>5585</v>
      </c>
      <c r="D43" s="18" t="n">
        <v>6057</v>
      </c>
      <c r="E43" s="18" t="n">
        <v>6581</v>
      </c>
      <c r="F43" s="18" t="n">
        <v>6230</v>
      </c>
    </row>
    <row r="44">
      <c r="A44" s="26" t="inlineStr">
        <is>
          <t>EBITDA</t>
        </is>
      </c>
      <c r="B44" s="27" t="n">
        <v>11260</v>
      </c>
      <c r="C44" s="27" t="n">
        <v>9555</v>
      </c>
      <c r="D44" s="27" t="n">
        <v>10233</v>
      </c>
      <c r="E44" s="27" t="n">
        <v>10868</v>
      </c>
      <c r="F44" s="27" t="n">
        <v>10494</v>
      </c>
    </row>
    <row r="45">
      <c r="A45" s="17" t="inlineStr">
        <is>
          <t>Depreciation &amp; Amortisation</t>
        </is>
      </c>
      <c r="B45" s="18" t="n">
        <v>3793</v>
      </c>
      <c r="C45" s="18" t="n">
        <v>3970</v>
      </c>
      <c r="D45" s="18" t="n">
        <v>4176</v>
      </c>
      <c r="E45" s="18" t="n">
        <v>4287</v>
      </c>
      <c r="F45" s="18" t="n">
        <v>4264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52</v>
      </c>
      <c r="C47" s="18" t="n">
        <v>53</v>
      </c>
      <c r="D47" s="18" t="n">
        <v>198</v>
      </c>
      <c r="E47" s="18" t="n">
        <v>370</v>
      </c>
      <c r="F47" s="18" t="n">
        <v>363</v>
      </c>
    </row>
    <row r="48">
      <c r="A48" s="17" t="inlineStr">
        <is>
          <t>Interest Expense</t>
        </is>
      </c>
      <c r="B48" s="18" t="n">
        <v>793</v>
      </c>
      <c r="C48" s="18" t="n">
        <v>689</v>
      </c>
      <c r="D48" s="18" t="n">
        <v>694</v>
      </c>
      <c r="E48" s="18" t="n">
        <v>745</v>
      </c>
      <c r="F48" s="18" t="n">
        <v>789</v>
      </c>
    </row>
    <row r="49">
      <c r="A49" s="17" t="inlineStr">
        <is>
          <t>Net Interest Income</t>
        </is>
      </c>
      <c r="B49" s="18" t="n">
        <v>-741</v>
      </c>
      <c r="C49" s="18" t="n">
        <v>-636</v>
      </c>
      <c r="D49" s="18" t="n">
        <v>-496</v>
      </c>
      <c r="E49" s="18" t="n">
        <v>-375</v>
      </c>
      <c r="F49" s="18" t="n">
        <v>-426</v>
      </c>
    </row>
    <row r="50">
      <c r="A50" s="17" t="inlineStr">
        <is>
          <t>Non-Operating Income (ex-interest)</t>
        </is>
      </c>
      <c r="B50" s="18" t="n">
        <v>-1449</v>
      </c>
      <c r="C50" s="18" t="n">
        <v>938</v>
      </c>
      <c r="D50" s="18" t="n">
        <v>-719</v>
      </c>
      <c r="E50" s="18" t="n">
        <v>-226</v>
      </c>
      <c r="F50" s="18" t="n">
        <v>-148</v>
      </c>
    </row>
    <row r="51">
      <c r="A51" s="17" t="inlineStr">
        <is>
          <t>Total Other Income / (Expenses)</t>
        </is>
      </c>
      <c r="B51" s="18" t="n">
        <v>656</v>
      </c>
      <c r="C51" s="18" t="n">
        <v>-1627</v>
      </c>
      <c r="D51" s="18" t="n">
        <v>25</v>
      </c>
      <c r="E51" s="18" t="n">
        <v>-519</v>
      </c>
      <c r="F51" s="18" t="n">
        <v>-641</v>
      </c>
    </row>
    <row r="52">
      <c r="A52" s="26" t="inlineStr">
        <is>
          <t>EBT / Income Before Tax</t>
        </is>
      </c>
      <c r="B52" s="27" t="n">
        <v>6674</v>
      </c>
      <c r="C52" s="27" t="n">
        <v>4896</v>
      </c>
      <c r="D52" s="27" t="n">
        <v>5363</v>
      </c>
      <c r="E52" s="27" t="n">
        <v>5836</v>
      </c>
      <c r="F52" s="27" t="n">
        <v>5441</v>
      </c>
    </row>
    <row r="53">
      <c r="A53" s="17" t="inlineStr">
        <is>
          <t>Income Tax Expense</t>
        </is>
      </c>
      <c r="B53" s="18" t="n">
        <v>1443</v>
      </c>
      <c r="C53" s="18" t="n">
        <v>1070</v>
      </c>
      <c r="D53" s="18" t="n">
        <v>1391</v>
      </c>
      <c r="E53" s="18" t="n">
        <v>1505</v>
      </c>
      <c r="F53" s="18" t="n">
        <v>1349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5231</v>
      </c>
      <c r="C55" s="18" t="n">
        <v>3826</v>
      </c>
      <c r="D55" s="18" t="n">
        <v>3972</v>
      </c>
      <c r="E55" s="18" t="n">
        <v>4331</v>
      </c>
      <c r="F55" s="18" t="n">
        <v>4092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5231</v>
      </c>
      <c r="C59" s="27" t="n">
        <v>3826</v>
      </c>
      <c r="D59" s="27" t="n">
        <v>3972</v>
      </c>
      <c r="E59" s="27" t="n">
        <v>4331</v>
      </c>
      <c r="F59" s="27" t="n">
        <v>4092</v>
      </c>
    </row>
    <row r="60">
      <c r="A60" s="15" t="inlineStr">
        <is>
          <t>Bottom Line Net Income</t>
        </is>
      </c>
      <c r="B60" s="16" t="n">
        <v>5221</v>
      </c>
      <c r="C60" s="16" t="n">
        <v>3819</v>
      </c>
      <c r="D60" s="16" t="n">
        <v>3966</v>
      </c>
      <c r="E60" s="16" t="n">
        <v>4325</v>
      </c>
      <c r="F60" s="16" t="n">
        <v>4092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19.77</v>
      </c>
      <c r="C62" s="18" t="n">
        <v>14.52</v>
      </c>
      <c r="D62" s="18" t="n">
        <v>15.61</v>
      </c>
      <c r="E62" s="18" t="n">
        <v>17.44</v>
      </c>
      <c r="F62" s="18" t="n">
        <v>16.96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264</v>
      </c>
      <c r="C64" s="18" t="n">
        <v>263</v>
      </c>
      <c r="D64" s="18" t="n">
        <v>254</v>
      </c>
      <c r="E64" s="18" t="n">
        <v>248</v>
      </c>
      <c r="F64" s="18" t="n">
        <v>243</v>
      </c>
    </row>
    <row r="65">
      <c r="A65" s="17" t="inlineStr">
        <is>
          <t>Shares Outstanding — Diluted (mm)</t>
        </is>
      </c>
      <c r="B65" s="18" t="n">
        <v>268</v>
      </c>
      <c r="C65" s="18" t="n">
        <v>266</v>
      </c>
      <c r="D65" s="18" t="n">
        <v>256</v>
      </c>
      <c r="E65" s="18" t="n">
        <v>251</v>
      </c>
      <c r="F65" s="18" t="n">
        <v>243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7087</v>
      </c>
      <c r="C5" s="18" t="n">
        <v>6897</v>
      </c>
      <c r="D5" s="18" t="n">
        <v>6856</v>
      </c>
      <c r="E5" s="18" t="n">
        <v>6501</v>
      </c>
      <c r="F5" s="18" t="n">
        <v>5502</v>
      </c>
    </row>
    <row r="6">
      <c r="A6" s="17" t="inlineStr">
        <is>
          <t>(2)  Receivables</t>
        </is>
      </c>
      <c r="B6" s="18" t="n">
        <v>12069</v>
      </c>
      <c r="C6" s="18" t="n">
        <v>11863</v>
      </c>
      <c r="D6" s="18" t="n">
        <v>10188</v>
      </c>
      <c r="E6" s="18" t="n">
        <v>10087</v>
      </c>
      <c r="F6" s="18" t="n">
        <v>11368</v>
      </c>
    </row>
    <row r="7">
      <c r="A7" s="17" t="inlineStr">
        <is>
          <t>(3)  Inventory</t>
        </is>
      </c>
      <c r="B7" s="18" t="n">
        <v>587</v>
      </c>
      <c r="C7" s="18" t="n">
        <v>637</v>
      </c>
      <c r="D7" s="18" t="n">
        <v>604</v>
      </c>
      <c r="E7" s="18" t="n">
        <v>614</v>
      </c>
      <c r="F7" s="18" t="n">
        <v>602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20580</v>
      </c>
      <c r="C9" s="24" t="n">
        <v>20365</v>
      </c>
      <c r="D9" s="24" t="n">
        <v>18577</v>
      </c>
      <c r="E9" s="24" t="n">
        <v>18207</v>
      </c>
      <c r="F9" s="24" t="n">
        <v>18386</v>
      </c>
    </row>
    <row r="10">
      <c r="A10" s="17" t="inlineStr">
        <is>
          <t>(6)  PP&amp;E (Net)</t>
        </is>
      </c>
      <c r="B10" s="18" t="n">
        <v>51135</v>
      </c>
      <c r="C10" s="18" t="n">
        <v>54704</v>
      </c>
      <c r="D10" s="18" t="n">
        <v>58045</v>
      </c>
      <c r="E10" s="18" t="n">
        <v>58606</v>
      </c>
      <c r="F10" s="18" t="n">
        <v>58095</v>
      </c>
    </row>
    <row r="11">
      <c r="A11" s="17" t="inlineStr">
        <is>
          <t>(7)  Goodwill</t>
        </is>
      </c>
      <c r="B11" s="18" t="n">
        <v>6992</v>
      </c>
      <c r="C11" s="18" t="n">
        <v>6544</v>
      </c>
      <c r="D11" s="18" t="n">
        <v>6435</v>
      </c>
      <c r="E11" s="18" t="n">
        <v>6423</v>
      </c>
      <c r="F11" s="18" t="n">
        <v>6603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1313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62197</v>
      </c>
      <c r="C14" s="24" t="n">
        <v>65629</v>
      </c>
      <c r="D14" s="24" t="n">
        <v>68533</v>
      </c>
      <c r="E14" s="24" t="n">
        <v>68800</v>
      </c>
      <c r="F14" s="24" t="n">
        <v>69241</v>
      </c>
    </row>
    <row r="15">
      <c r="A15" s="19" t="inlineStr">
        <is>
          <t>(11) Total Assets</t>
        </is>
      </c>
      <c r="B15" s="24" t="n">
        <v>82777</v>
      </c>
      <c r="C15" s="24" t="n">
        <v>85994</v>
      </c>
      <c r="D15" s="24" t="n">
        <v>87110</v>
      </c>
      <c r="E15" s="24" t="n">
        <v>87007</v>
      </c>
      <c r="F15" s="24" t="n">
        <v>87627</v>
      </c>
    </row>
    <row r="16" ht="6" customHeight="1"/>
    <row r="17">
      <c r="A17" s="17" t="inlineStr">
        <is>
          <t>(12) Accounts Payable</t>
        </is>
      </c>
      <c r="B17" s="18" t="n">
        <v>3841</v>
      </c>
      <c r="C17" s="18" t="n">
        <v>4030</v>
      </c>
      <c r="D17" s="18" t="n">
        <v>3848</v>
      </c>
      <c r="E17" s="18" t="n">
        <v>3189</v>
      </c>
      <c r="F17" s="18" t="n">
        <v>3692</v>
      </c>
    </row>
    <row r="18">
      <c r="A18" s="17" t="inlineStr">
        <is>
          <t>(13) Short-Term Borrowings</t>
        </is>
      </c>
      <c r="B18" s="18" t="n">
        <v>50</v>
      </c>
      <c r="C18" s="18" t="n">
        <v>50</v>
      </c>
      <c r="D18" s="18" t="n">
        <v>126</v>
      </c>
      <c r="E18" s="18" t="n">
        <v>68</v>
      </c>
      <c r="F18" s="18" t="n">
        <v>1428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13660</v>
      </c>
      <c r="C21" s="24" t="n">
        <v>14274</v>
      </c>
      <c r="D21" s="24" t="n">
        <v>13586</v>
      </c>
      <c r="E21" s="24" t="n">
        <v>13355</v>
      </c>
      <c r="F21" s="24" t="n">
        <v>15411</v>
      </c>
    </row>
    <row r="22">
      <c r="A22" s="17" t="inlineStr">
        <is>
          <t>(17) Long-Term Debt</t>
        </is>
      </c>
      <c r="B22" s="18" t="n">
        <v>20304</v>
      </c>
      <c r="C22" s="18" t="n">
        <v>19746</v>
      </c>
      <c r="D22" s="18" t="n">
        <v>20453</v>
      </c>
      <c r="E22" s="18" t="n">
        <v>20135</v>
      </c>
      <c r="F22" s="18" t="n">
        <v>19151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58609</v>
      </c>
      <c r="C25" s="24" t="n">
        <v>61055</v>
      </c>
      <c r="D25" s="24" t="n">
        <v>61055</v>
      </c>
      <c r="E25" s="24" t="n">
        <v>59425</v>
      </c>
      <c r="F25" s="24" t="n">
        <v>59553</v>
      </c>
    </row>
    <row r="26" ht="6" customHeight="1"/>
    <row r="27">
      <c r="A27" s="17" t="inlineStr">
        <is>
          <t>(21) Common Stock &amp; APIC</t>
        </is>
      </c>
      <c r="B27" s="18" t="n">
        <v>32</v>
      </c>
      <c r="C27" s="18" t="n">
        <v>32</v>
      </c>
      <c r="D27" s="18" t="n">
        <v>32</v>
      </c>
      <c r="E27" s="18" t="n">
        <v>32</v>
      </c>
      <c r="F27" s="18" t="n">
        <v>32</v>
      </c>
    </row>
    <row r="28">
      <c r="A28" s="17" t="inlineStr">
        <is>
          <t>(22) Retained Earnings</t>
        </is>
      </c>
      <c r="B28" s="18" t="n">
        <v>29817</v>
      </c>
      <c r="C28" s="18" t="n">
        <v>32782</v>
      </c>
      <c r="D28" s="18" t="n">
        <v>35259</v>
      </c>
      <c r="E28" s="18" t="n">
        <v>38649</v>
      </c>
      <c r="F28" s="18" t="n">
        <v>41402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24168</v>
      </c>
      <c r="C30" s="24" t="n">
        <v>24939</v>
      </c>
      <c r="D30" s="24" t="n">
        <v>26088</v>
      </c>
      <c r="E30" s="24" t="n">
        <v>27582</v>
      </c>
      <c r="F30" s="24" t="n">
        <v>28074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7087</v>
      </c>
      <c r="C36" s="18" t="n">
        <v>6897</v>
      </c>
      <c r="D36" s="18" t="n">
        <v>6856</v>
      </c>
      <c r="E36" s="18" t="n">
        <v>6501</v>
      </c>
      <c r="F36" s="18" t="n">
        <v>5502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70</v>
      </c>
    </row>
    <row r="38">
      <c r="A38" s="28" t="inlineStr">
        <is>
          <t>Cash &amp; Short-Term Investments</t>
        </is>
      </c>
      <c r="B38" s="29" t="n">
        <v>7087</v>
      </c>
      <c r="C38" s="29" t="n">
        <v>6897</v>
      </c>
      <c r="D38" s="29" t="n">
        <v>6856</v>
      </c>
      <c r="E38" s="29" t="n">
        <v>6501</v>
      </c>
      <c r="F38" s="29" t="n">
        <v>5572</v>
      </c>
    </row>
    <row r="39">
      <c r="A39" s="17" t="inlineStr">
        <is>
          <t>Accounts Receivable (Trade)</t>
        </is>
      </c>
      <c r="B39" s="18" t="n">
        <v>12069</v>
      </c>
      <c r="C39" s="18" t="n">
        <v>11863</v>
      </c>
      <c r="D39" s="18" t="n">
        <v>10188</v>
      </c>
      <c r="E39" s="18" t="n">
        <v>10087</v>
      </c>
      <c r="F39" s="18" t="n">
        <v>11368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12069</v>
      </c>
      <c r="C41" s="29" t="n">
        <v>11863</v>
      </c>
      <c r="D41" s="29" t="n">
        <v>10188</v>
      </c>
      <c r="E41" s="29" t="n">
        <v>10087</v>
      </c>
      <c r="F41" s="29" t="n">
        <v>11368</v>
      </c>
    </row>
    <row r="42">
      <c r="A42" s="17" t="inlineStr">
        <is>
          <t>Inventory</t>
        </is>
      </c>
      <c r="B42" s="18" t="n">
        <v>587</v>
      </c>
      <c r="C42" s="18" t="n">
        <v>637</v>
      </c>
      <c r="D42" s="18" t="n">
        <v>604</v>
      </c>
      <c r="E42" s="18" t="n">
        <v>614</v>
      </c>
      <c r="F42" s="18" t="n">
        <v>602</v>
      </c>
    </row>
    <row r="43">
      <c r="A43" s="17" t="inlineStr">
        <is>
          <t>Prepaids</t>
        </is>
      </c>
      <c r="B43" s="18" t="n">
        <v>837</v>
      </c>
      <c r="C43" s="18" t="n">
        <v>968</v>
      </c>
      <c r="D43" s="18" t="n">
        <v>0</v>
      </c>
      <c r="E43" s="18" t="n">
        <v>0</v>
      </c>
      <c r="F43" s="18" t="n">
        <v>831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929</v>
      </c>
      <c r="E44" s="18" t="n">
        <v>1005</v>
      </c>
      <c r="F44" s="18" t="n">
        <v>13</v>
      </c>
    </row>
    <row r="45">
      <c r="A45" s="26" t="inlineStr">
        <is>
          <t>Total Current Assets</t>
        </is>
      </c>
      <c r="B45" s="27" t="n">
        <v>20580</v>
      </c>
      <c r="C45" s="27" t="n">
        <v>20365</v>
      </c>
      <c r="D45" s="27" t="n">
        <v>18577</v>
      </c>
      <c r="E45" s="27" t="n">
        <v>18207</v>
      </c>
      <c r="F45" s="27" t="n">
        <v>18386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51135</v>
      </c>
      <c r="C47" s="18" t="n">
        <v>54704</v>
      </c>
      <c r="D47" s="18" t="n">
        <v>58045</v>
      </c>
      <c r="E47" s="18" t="n">
        <v>58606</v>
      </c>
      <c r="F47" s="18" t="n">
        <v>58095</v>
      </c>
    </row>
    <row r="48">
      <c r="A48" s="17" t="inlineStr">
        <is>
          <t>Goodwill</t>
        </is>
      </c>
      <c r="B48" s="18" t="n">
        <v>6992</v>
      </c>
      <c r="C48" s="18" t="n">
        <v>6544</v>
      </c>
      <c r="D48" s="18" t="n">
        <v>6435</v>
      </c>
      <c r="E48" s="18" t="n">
        <v>6423</v>
      </c>
      <c r="F48" s="18" t="n">
        <v>6603</v>
      </c>
    </row>
    <row r="49">
      <c r="A49" s="17" t="inlineStr">
        <is>
          <t>Intangible Assets</t>
        </is>
      </c>
      <c r="B49" s="18" t="n">
        <v>352</v>
      </c>
      <c r="C49" s="18" t="n">
        <v>301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506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1313</v>
      </c>
      <c r="F51" s="18" t="n">
        <v>0</v>
      </c>
    </row>
    <row r="52">
      <c r="A52" s="17" t="inlineStr">
        <is>
          <t>Total Investments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576</v>
      </c>
    </row>
    <row r="53">
      <c r="A53" s="17" t="inlineStr">
        <is>
          <t>Other Non-Current Assets</t>
        </is>
      </c>
      <c r="B53" s="18" t="n">
        <v>3718</v>
      </c>
      <c r="C53" s="18" t="n">
        <v>4080</v>
      </c>
      <c r="D53" s="18" t="n">
        <v>4053</v>
      </c>
      <c r="E53" s="18" t="n">
        <v>2458</v>
      </c>
      <c r="F53" s="18" t="n">
        <v>4037</v>
      </c>
    </row>
    <row r="54">
      <c r="A54" s="26" t="inlineStr">
        <is>
          <t>Total Non-Current Assets</t>
        </is>
      </c>
      <c r="B54" s="27" t="n">
        <v>62197</v>
      </c>
      <c r="C54" s="27" t="n">
        <v>65629</v>
      </c>
      <c r="D54" s="27" t="n">
        <v>68533</v>
      </c>
      <c r="E54" s="27" t="n">
        <v>68800</v>
      </c>
      <c r="F54" s="27" t="n">
        <v>69241</v>
      </c>
    </row>
    <row r="55">
      <c r="A55" s="13" t="inlineStr">
        <is>
          <t>TOTAL ASSETS</t>
        </is>
      </c>
      <c r="B55" s="30" t="n">
        <v>82777</v>
      </c>
      <c r="C55" s="30" t="n">
        <v>85994</v>
      </c>
      <c r="D55" s="30" t="n">
        <v>87110</v>
      </c>
      <c r="E55" s="30" t="n">
        <v>87007</v>
      </c>
      <c r="F55" s="30" t="n">
        <v>87627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3841</v>
      </c>
      <c r="C57" s="18" t="n">
        <v>4030</v>
      </c>
      <c r="D57" s="18" t="n">
        <v>3848</v>
      </c>
      <c r="E57" s="18" t="n">
        <v>3189</v>
      </c>
      <c r="F57" s="18" t="n">
        <v>3692</v>
      </c>
    </row>
    <row r="58">
      <c r="A58" s="17" t="inlineStr">
        <is>
          <t>Short-Term Debt</t>
        </is>
      </c>
      <c r="B58" s="18" t="n">
        <v>50</v>
      </c>
      <c r="C58" s="18" t="n">
        <v>50</v>
      </c>
      <c r="D58" s="18" t="n">
        <v>126</v>
      </c>
      <c r="E58" s="18" t="n">
        <v>68</v>
      </c>
      <c r="F58" s="18" t="n">
        <v>1428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2277</v>
      </c>
      <c r="C61" s="18" t="n">
        <v>1780</v>
      </c>
      <c r="D61" s="18" t="n">
        <v>1647</v>
      </c>
      <c r="E61" s="18" t="n">
        <v>1916</v>
      </c>
      <c r="F61" s="18" t="n">
        <v>1648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13660</v>
      </c>
      <c r="C63" s="27" t="n">
        <v>14274</v>
      </c>
      <c r="D63" s="27" t="n">
        <v>13586</v>
      </c>
      <c r="E63" s="27" t="n">
        <v>13355</v>
      </c>
      <c r="F63" s="27" t="n">
        <v>15411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20304</v>
      </c>
      <c r="C65" s="18" t="n">
        <v>19746</v>
      </c>
      <c r="D65" s="18" t="n">
        <v>20453</v>
      </c>
      <c r="E65" s="18" t="n">
        <v>20135</v>
      </c>
      <c r="F65" s="18" t="n">
        <v>19151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3927</v>
      </c>
      <c r="C68" s="18" t="n">
        <v>4093</v>
      </c>
      <c r="D68" s="18" t="n">
        <v>4489</v>
      </c>
      <c r="E68" s="18" t="n">
        <v>4482</v>
      </c>
      <c r="F68" s="18" t="n">
        <v>4205</v>
      </c>
    </row>
    <row r="69">
      <c r="A69" s="17" t="inlineStr">
        <is>
          <t>Other Non-Current Liabilities</t>
        </is>
      </c>
      <c r="B69" s="18" t="n">
        <v>6914</v>
      </c>
      <c r="C69" s="18" t="n">
        <v>8019</v>
      </c>
      <c r="D69" s="18" t="n">
        <v>7164</v>
      </c>
      <c r="E69" s="18" t="n">
        <v>6400</v>
      </c>
      <c r="F69" s="18" t="n">
        <v>6514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58609</v>
      </c>
      <c r="C71" s="30" t="n">
        <v>61055</v>
      </c>
      <c r="D71" s="30" t="n">
        <v>61055</v>
      </c>
      <c r="E71" s="30" t="n">
        <v>59425</v>
      </c>
      <c r="F71" s="30" t="n">
        <v>59553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32</v>
      </c>
      <c r="C73" s="18" t="n">
        <v>32</v>
      </c>
      <c r="D73" s="18" t="n">
        <v>32</v>
      </c>
      <c r="E73" s="18" t="n">
        <v>32</v>
      </c>
      <c r="F73" s="18" t="n">
        <v>32</v>
      </c>
    </row>
    <row r="74">
      <c r="A74" s="17" t="inlineStr">
        <is>
          <t>Retained Earnings</t>
        </is>
      </c>
      <c r="B74" s="18" t="n">
        <v>29817</v>
      </c>
      <c r="C74" s="18" t="n">
        <v>32782</v>
      </c>
      <c r="D74" s="18" t="n">
        <v>35259</v>
      </c>
      <c r="E74" s="18" t="n">
        <v>38649</v>
      </c>
      <c r="F74" s="18" t="n">
        <v>41402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24168</v>
      </c>
      <c r="C78" s="27" t="n">
        <v>24939</v>
      </c>
      <c r="D78" s="27" t="n">
        <v>26088</v>
      </c>
      <c r="E78" s="27" t="n">
        <v>27582</v>
      </c>
      <c r="F78" s="27" t="n">
        <v>28074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10135</v>
      </c>
      <c r="C5" s="24" t="n">
        <v>9832</v>
      </c>
      <c r="D5" s="24" t="n">
        <v>8815</v>
      </c>
      <c r="E5" s="24" t="n">
        <v>8312</v>
      </c>
      <c r="F5" s="24" t="n">
        <v>7036</v>
      </c>
    </row>
    <row r="6">
      <c r="A6" s="17" t="inlineStr">
        <is>
          <t>(2)  Capital Expenditures</t>
        </is>
      </c>
      <c r="B6" s="18" t="n">
        <v>-5884</v>
      </c>
      <c r="C6" s="18" t="n">
        <v>-6763</v>
      </c>
      <c r="D6" s="18" t="n">
        <v>-6174</v>
      </c>
      <c r="E6" s="18" t="n">
        <v>-5176</v>
      </c>
      <c r="F6" s="18" t="n">
        <v>-4055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-2106</v>
      </c>
      <c r="C9" s="18" t="n">
        <v>-161</v>
      </c>
      <c r="D9" s="18" t="n">
        <v>-152</v>
      </c>
      <c r="E9" s="18" t="n">
        <v>-147</v>
      </c>
      <c r="F9" s="18" t="n">
        <v>-157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740</v>
      </c>
      <c r="C11" s="18" t="n">
        <v>184</v>
      </c>
      <c r="D11" s="18" t="n">
        <v>231</v>
      </c>
      <c r="E11" s="18" t="n">
        <v>491</v>
      </c>
      <c r="F11" s="18" t="n">
        <v>524</v>
      </c>
    </row>
    <row r="12">
      <c r="A12" s="17" t="inlineStr">
        <is>
          <t>(7)  Dividends Paid</t>
        </is>
      </c>
      <c r="B12" s="18" t="n">
        <v>-686</v>
      </c>
      <c r="C12" s="18" t="n">
        <v>-793</v>
      </c>
      <c r="D12" s="18" t="n">
        <v>-1177</v>
      </c>
      <c r="E12" s="18" t="n">
        <v>-1259</v>
      </c>
      <c r="F12" s="18" t="n">
        <v>-1339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4251</v>
      </c>
      <c r="C15" s="24" t="n">
        <v>3069</v>
      </c>
      <c r="D15" s="24" t="n">
        <v>2641</v>
      </c>
      <c r="E15" s="24" t="n">
        <v>3136</v>
      </c>
      <c r="F15" s="24" t="n">
        <v>2981</v>
      </c>
    </row>
    <row r="16">
      <c r="A16" s="15" t="inlineStr">
        <is>
          <t xml:space="preserve">     Net Change in Cash</t>
        </is>
      </c>
      <c r="B16" s="16" t="n">
        <v>2206</v>
      </c>
      <c r="C16" s="16" t="n">
        <v>-190</v>
      </c>
      <c r="D16" s="16" t="n">
        <v>-74</v>
      </c>
      <c r="E16" s="16" t="n">
        <v>-355</v>
      </c>
      <c r="F16" s="16" t="n">
        <v>-999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5231</v>
      </c>
      <c r="C21" s="18" t="n">
        <v>3826</v>
      </c>
      <c r="D21" s="18" t="n">
        <v>3972</v>
      </c>
      <c r="E21" s="18" t="n">
        <v>4331</v>
      </c>
      <c r="F21" s="18" t="n">
        <v>4092</v>
      </c>
    </row>
    <row r="22">
      <c r="A22" s="17" t="inlineStr">
        <is>
          <t>Depreciation &amp; Amortisation</t>
        </is>
      </c>
      <c r="B22" s="18" t="n">
        <v>3793</v>
      </c>
      <c r="C22" s="18" t="n">
        <v>3970</v>
      </c>
      <c r="D22" s="18" t="n">
        <v>4176</v>
      </c>
      <c r="E22" s="18" t="n">
        <v>4287</v>
      </c>
      <c r="F22" s="18" t="n">
        <v>4264</v>
      </c>
    </row>
    <row r="23">
      <c r="A23" s="17" t="inlineStr">
        <is>
          <t>Deferred Income Tax</t>
        </is>
      </c>
      <c r="B23" s="18" t="n">
        <v>2887</v>
      </c>
      <c r="C23" s="18" t="n">
        <v>2931</v>
      </c>
      <c r="D23" s="18" t="n">
        <v>-182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200</v>
      </c>
      <c r="C24" s="18" t="n">
        <v>190</v>
      </c>
      <c r="D24" s="18" t="n">
        <v>182</v>
      </c>
      <c r="E24" s="18" t="n">
        <v>163</v>
      </c>
      <c r="F24" s="18" t="n">
        <v>154</v>
      </c>
    </row>
    <row r="25">
      <c r="A25" s="17" t="inlineStr">
        <is>
          <t>Change in Working Capital</t>
        </is>
      </c>
      <c r="B25" s="18" t="n">
        <v>-1872</v>
      </c>
      <c r="C25" s="18" t="n">
        <v>-3119</v>
      </c>
      <c r="D25" s="18" t="n">
        <v>-3173</v>
      </c>
      <c r="E25" s="18" t="n">
        <v>-3431</v>
      </c>
      <c r="F25" s="18" t="n">
        <v>-4713</v>
      </c>
    </row>
    <row r="26">
      <c r="A26" s="21" t="inlineStr">
        <is>
          <t xml:space="preserve">  — Accounts Receivable</t>
        </is>
      </c>
      <c r="B26" s="18" t="n">
        <v>-1389</v>
      </c>
      <c r="C26" s="18" t="n">
        <v>-310</v>
      </c>
      <c r="D26" s="18" t="n">
        <v>782</v>
      </c>
      <c r="E26" s="18" t="n">
        <v>-270</v>
      </c>
      <c r="F26" s="18" t="n">
        <v>-1780</v>
      </c>
    </row>
    <row r="27">
      <c r="A27" s="21" t="inlineStr">
        <is>
          <t xml:space="preserve">  — Inventory</t>
        </is>
      </c>
      <c r="B27" s="18" t="n">
        <v>1389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71</v>
      </c>
      <c r="C28" s="18" t="n">
        <v>-1861</v>
      </c>
      <c r="D28" s="18" t="n">
        <v>-3331</v>
      </c>
      <c r="E28" s="18" t="n">
        <v>-2553</v>
      </c>
      <c r="F28" s="18" t="n">
        <v>-2445</v>
      </c>
    </row>
    <row r="29">
      <c r="A29" s="21" t="inlineStr">
        <is>
          <t xml:space="preserve">  — Other Working Capital</t>
        </is>
      </c>
      <c r="B29" s="18" t="n">
        <v>-1943</v>
      </c>
      <c r="C29" s="18" t="n">
        <v>-948</v>
      </c>
      <c r="D29" s="18" t="n">
        <v>-624</v>
      </c>
      <c r="E29" s="18" t="n">
        <v>-608</v>
      </c>
      <c r="F29" s="18" t="n">
        <v>-475</v>
      </c>
    </row>
    <row r="30">
      <c r="A30" s="17" t="inlineStr">
        <is>
          <t>Other Non-Cash Items</t>
        </is>
      </c>
      <c r="B30" s="18" t="n">
        <v>-104</v>
      </c>
      <c r="C30" s="18" t="n">
        <v>2034</v>
      </c>
      <c r="D30" s="18" t="n">
        <v>3840</v>
      </c>
      <c r="E30" s="18" t="n">
        <v>2962</v>
      </c>
      <c r="F30" s="18" t="n">
        <v>3239</v>
      </c>
    </row>
    <row r="31">
      <c r="A31" s="26" t="inlineStr">
        <is>
          <t>Net Cash from Operations (CFO)</t>
        </is>
      </c>
      <c r="B31" s="27" t="n">
        <v>10135</v>
      </c>
      <c r="C31" s="27" t="n">
        <v>9832</v>
      </c>
      <c r="D31" s="27" t="n">
        <v>8815</v>
      </c>
      <c r="E31" s="27" t="n">
        <v>8312</v>
      </c>
      <c r="F31" s="27" t="n">
        <v>7036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-5884</v>
      </c>
      <c r="C33" s="18" t="n">
        <v>-6763</v>
      </c>
      <c r="D33" s="18" t="n">
        <v>-6174</v>
      </c>
      <c r="E33" s="18" t="n">
        <v>-5176</v>
      </c>
      <c r="F33" s="18" t="n">
        <v>-4055</v>
      </c>
    </row>
    <row r="34">
      <c r="A34" s="21" t="inlineStr">
        <is>
          <t xml:space="preserve">  (Alt: Invest. in PP&amp;E)</t>
        </is>
      </c>
      <c r="B34" s="18" t="n">
        <v>-5884</v>
      </c>
      <c r="C34" s="18" t="n">
        <v>-6763</v>
      </c>
      <c r="D34" s="18" t="n">
        <v>-6174</v>
      </c>
      <c r="E34" s="18" t="n">
        <v>-5176</v>
      </c>
      <c r="F34" s="18" t="n">
        <v>-4055</v>
      </c>
    </row>
    <row r="35">
      <c r="A35" s="17" t="inlineStr">
        <is>
          <t>Acquisitions (Net)</t>
        </is>
      </c>
      <c r="B35" s="18" t="n">
        <v>-228</v>
      </c>
      <c r="C35" s="18" t="n">
        <v>94</v>
      </c>
      <c r="D35" s="18" t="n">
        <v>84</v>
      </c>
      <c r="E35" s="18" t="n">
        <v>114</v>
      </c>
      <c r="F35" s="18" t="n">
        <v>115</v>
      </c>
    </row>
    <row r="36">
      <c r="A36" s="17" t="inlineStr">
        <is>
          <t>Purchases of Investments</t>
        </is>
      </c>
      <c r="B36" s="18" t="n">
        <v>0</v>
      </c>
      <c r="C36" s="18" t="n">
        <v>-147</v>
      </c>
      <c r="D36" s="18" t="n">
        <v>-84</v>
      </c>
      <c r="E36" s="18" t="n">
        <v>-176</v>
      </c>
      <c r="F36" s="18" t="n">
        <v>-262</v>
      </c>
    </row>
    <row r="37">
      <c r="A37" s="17" t="inlineStr">
        <is>
          <t>Sales / Maturities of Investments</t>
        </is>
      </c>
      <c r="B37" s="18" t="n">
        <v>0</v>
      </c>
      <c r="C37" s="18" t="n">
        <v>-94</v>
      </c>
      <c r="D37" s="18" t="n">
        <v>-84</v>
      </c>
      <c r="E37" s="18" t="n">
        <v>38</v>
      </c>
      <c r="F37" s="18" t="n">
        <v>110</v>
      </c>
    </row>
    <row r="38">
      <c r="A38" s="17" t="inlineStr">
        <is>
          <t>Other Investing Activities</t>
        </is>
      </c>
      <c r="B38" s="18" t="n">
        <v>102</v>
      </c>
      <c r="C38" s="18" t="n">
        <v>94</v>
      </c>
      <c r="D38" s="18" t="n">
        <v>84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-2106</v>
      </c>
      <c r="C41" s="18" t="n">
        <v>-161</v>
      </c>
      <c r="D41" s="18" t="n">
        <v>-152</v>
      </c>
      <c r="E41" s="18" t="n">
        <v>-147</v>
      </c>
      <c r="F41" s="18" t="n">
        <v>-157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740</v>
      </c>
      <c r="C43" s="18" t="n">
        <v>184</v>
      </c>
      <c r="D43" s="18" t="n">
        <v>231</v>
      </c>
      <c r="E43" s="18" t="n">
        <v>491</v>
      </c>
      <c r="F43" s="18" t="n">
        <v>524</v>
      </c>
    </row>
    <row r="44">
      <c r="A44" s="17" t="inlineStr">
        <is>
          <t>Common Stock Repurchased (Buybacks)</t>
        </is>
      </c>
      <c r="B44" s="18" t="n">
        <v>0</v>
      </c>
      <c r="C44" s="18" t="n">
        <v>-2248</v>
      </c>
      <c r="D44" s="18" t="n">
        <v>-1500</v>
      </c>
      <c r="E44" s="18" t="n">
        <v>-2500</v>
      </c>
      <c r="F44" s="18" t="n">
        <v>-3017</v>
      </c>
    </row>
    <row r="45">
      <c r="A45" s="17" t="inlineStr">
        <is>
          <t>Dividends Paid</t>
        </is>
      </c>
      <c r="B45" s="18" t="n">
        <v>-686</v>
      </c>
      <c r="C45" s="18" t="n">
        <v>-793</v>
      </c>
      <c r="D45" s="18" t="n">
        <v>-1177</v>
      </c>
      <c r="E45" s="18" t="n">
        <v>-1259</v>
      </c>
      <c r="F45" s="18" t="n">
        <v>-1339</v>
      </c>
    </row>
    <row r="46">
      <c r="A46" s="17" t="inlineStr">
        <is>
          <t>Other Financing Activities</t>
        </is>
      </c>
      <c r="B46" s="18" t="n">
        <v>-38</v>
      </c>
      <c r="C46" s="18" t="n">
        <v>-1</v>
      </c>
      <c r="D46" s="18" t="n">
        <v>1</v>
      </c>
      <c r="E46" s="18" t="n">
        <v>-11</v>
      </c>
      <c r="F46" s="18" t="n">
        <v>-30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171</v>
      </c>
      <c r="C49" s="18" t="n">
        <v>-187</v>
      </c>
      <c r="D49" s="18" t="n">
        <v>-118</v>
      </c>
      <c r="E49" s="18" t="n">
        <v>-41</v>
      </c>
      <c r="F49" s="18" t="n">
        <v>76</v>
      </c>
    </row>
    <row r="50">
      <c r="A50" s="15" t="inlineStr">
        <is>
          <t>Net Change in Cash</t>
        </is>
      </c>
      <c r="B50" s="16" t="n">
        <v>2206</v>
      </c>
      <c r="C50" s="16" t="n">
        <v>-190</v>
      </c>
      <c r="D50" s="16" t="n">
        <v>-74</v>
      </c>
      <c r="E50" s="16" t="n">
        <v>-355</v>
      </c>
      <c r="F50" s="16" t="n">
        <v>-999</v>
      </c>
    </row>
    <row r="51">
      <c r="A51" s="17" t="inlineStr">
        <is>
          <t>Cash at Beginning of Period</t>
        </is>
      </c>
      <c r="B51" s="18" t="n">
        <v>4881</v>
      </c>
      <c r="C51" s="18" t="n">
        <v>7087</v>
      </c>
      <c r="D51" s="18" t="n">
        <v>6897</v>
      </c>
      <c r="E51" s="18" t="n">
        <v>6856</v>
      </c>
      <c r="F51" s="18" t="n">
        <v>6501</v>
      </c>
    </row>
    <row r="52">
      <c r="A52" s="26" t="inlineStr">
        <is>
          <t>Cash at End of Period</t>
        </is>
      </c>
      <c r="B52" s="27" t="n">
        <v>7087</v>
      </c>
      <c r="C52" s="27" t="n">
        <v>6897</v>
      </c>
      <c r="D52" s="27" t="n">
        <v>6823</v>
      </c>
      <c r="E52" s="27" t="n">
        <v>6501</v>
      </c>
      <c r="F52" s="27" t="n">
        <v>5502</v>
      </c>
    </row>
    <row r="53">
      <c r="A53" s="26" t="inlineStr">
        <is>
          <t>Free Cash Flow</t>
        </is>
      </c>
      <c r="B53" s="27" t="n">
        <v>4251</v>
      </c>
      <c r="C53" s="27" t="n">
        <v>3069</v>
      </c>
      <c r="D53" s="27" t="n">
        <v>2641</v>
      </c>
      <c r="E53" s="27" t="n">
        <v>3136</v>
      </c>
      <c r="F53" s="27" t="n">
        <v>2981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268</v>
      </c>
      <c r="C61" s="18" t="n">
        <v>266</v>
      </c>
      <c r="D61" s="18" t="n">
        <v>256</v>
      </c>
      <c r="E61" s="18" t="n">
        <v>251</v>
      </c>
      <c r="F61" s="18" t="n">
        <v>243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FDX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23720</v>
      </c>
      <c r="C5" s="18" t="n">
        <v>22291</v>
      </c>
      <c r="D5" s="18" t="n">
        <v>23090</v>
      </c>
      <c r="E5" s="18" t="n">
        <v>25564</v>
      </c>
      <c r="F5" s="18" t="n">
        <v>23085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FDX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94058.783215</v>
      </c>
      <c r="C5" s="44" t="inlineStr">
        <is>
          <t>FMP marketCap  |  price $394.2</t>
        </is>
      </c>
    </row>
    <row r="6">
      <c r="A6" s="17" t="inlineStr">
        <is>
          <t>Debt  (gross book value, $mm)</t>
        </is>
      </c>
      <c r="B6" s="43" t="n">
        <v>20579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1.303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1.203</v>
      </c>
      <c r="C17" s="44" t="inlineStr">
        <is>
          <t>Mean-reversion toward market beta of 1.0</t>
        </is>
      </c>
    </row>
    <row r="18">
      <c r="A18" s="17" t="inlineStr">
        <is>
          <t>Damodaran industry unlevered  (Integrated Freight &amp; Logistics)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0.22x,  t = 24.8%)</t>
        </is>
      </c>
      <c r="B19" s="50" t="n">
        <v>1.165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1.224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BBB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0.0539</v>
      </c>
      <c r="C32" s="44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0" t="n">
        <v>7.7</v>
      </c>
      <c r="C33" s="44" t="inlineStr">
        <is>
          <t>EBIT $6082mm  /  Int Exp $789mm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7.7x  →  A+</t>
        </is>
      </c>
    </row>
    <row r="35">
      <c r="A35" s="17" t="inlineStr">
        <is>
          <t>Synthetic Rd  (Rf + Damodaran default spread)</t>
        </is>
      </c>
      <c r="B35" s="46" t="n">
        <v>0.05519999999999999</v>
      </c>
      <c r="C35" s="44" t="inlineStr">
        <is>
          <t>Rf 4.56% + spread 0.96%</t>
        </is>
      </c>
    </row>
    <row r="36">
      <c r="A36" s="17" t="inlineStr">
        <is>
          <t>Accounting Rd  (Gross int exp / Avg gross debt)</t>
        </is>
      </c>
      <c r="B36" s="46" t="n">
        <v>0.03869354126820656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0.0493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0.2479</v>
      </c>
      <c r="C40" s="44" t="inlineStr">
        <is>
          <t>FMP: $1349mm  /  $5441mm</t>
        </is>
      </c>
    </row>
    <row r="41">
      <c r="A41" s="47" t="inlineStr">
        <is>
          <t>► Selected tax rate  (user override)</t>
        </is>
      </c>
      <c r="B41" s="48" t="n">
        <v>0.2479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FDX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0.0645</v>
      </c>
      <c r="H7" s="71" t="n">
        <v>0.0501</v>
      </c>
      <c r="I7" s="71" t="n">
        <v>0.0468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0.1187</v>
      </c>
      <c r="H8" s="71" t="n">
        <v>0.1187</v>
      </c>
      <c r="I8" s="71" t="n">
        <v>0.1187</v>
      </c>
      <c r="J8" s="72">
        <f>I8</f>
        <v/>
      </c>
      <c r="K8" s="72">
        <f>I8</f>
        <v/>
      </c>
      <c r="L8" s="73" t="n">
        <v>0.1194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93597.5</v>
      </c>
      <c r="H15" s="77" t="n">
        <v>98284</v>
      </c>
      <c r="I15" s="77" t="n">
        <v>102886.5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92,735 — 94,400</t>
        </is>
      </c>
      <c r="H16" s="82" t="inlineStr">
        <is>
          <t>96,683 — 100,268</t>
        </is>
      </c>
      <c r="I16" s="82" t="inlineStr">
        <is>
          <t>102,841 — 102,932</t>
        </is>
      </c>
      <c r="J16" s="82" t="inlineStr">
        <is>
          <t>105,706 — 109,296</t>
        </is>
      </c>
      <c r="K16" s="82" t="inlineStr">
        <is>
          <t>110,565 — 114,320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18</v>
      </c>
      <c r="H17" s="84" t="n">
        <v>19</v>
      </c>
      <c r="I17" s="84" t="n">
        <v>14</v>
      </c>
      <c r="J17" s="85" t="n">
        <v>9</v>
      </c>
      <c r="K17" s="84" t="n">
        <v>13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11107.1</v>
      </c>
      <c r="H20" s="77" t="n">
        <v>11663.2</v>
      </c>
      <c r="I20" s="77" t="n">
        <v>12209.4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11,005 — 11,202</t>
        </is>
      </c>
      <c r="H21" s="82" t="inlineStr">
        <is>
          <t>11,473 — 11,899</t>
        </is>
      </c>
      <c r="I21" s="82" t="inlineStr">
        <is>
          <t>12,204 — 12,215</t>
        </is>
      </c>
      <c r="J21" s="82" t="inlineStr">
        <is>
          <t>12,544 — 12,970</t>
        </is>
      </c>
      <c r="K21" s="82" t="inlineStr">
        <is>
          <t>13,121 — 13,566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(-2.0%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(-2.0%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243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394.2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FDX  |  Master Prompt v2  |  27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21.6% ✗ (&gt;40%)  |  GM trend +0.0% ✗ (&gt;+1pp)  |  ROIC-WACC +1.8% ✗ (&gt;+5pp)  |  Rev consistency σ=6.1% ✓ (&lt;8%)  [1/4 indicators positive — proxy score]</t>
        </is>
      </c>
      <c r="E9" s="131" t="inlineStr">
        <is>
          <t>LOW</t>
        </is>
      </c>
      <c r="F9" s="132" t="n">
        <v>2.5</v>
      </c>
      <c r="G9" s="133">
        <f>IF(F9="",0,C9*F9*10)</f>
        <v/>
      </c>
      <c r="H9" s="134" t="inlineStr">
        <is>
          <t>GM 21.6% ✗ (&gt;40%)  |  GM trend +0.0% ✗ (&gt;+1pp)  |  ROIC-WACC +1.8% ✗ (&gt;+5pp)  |  Rev consistency σ=6.1% ✓ (&lt;8%)  [1/4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-2.9% ✗ (&gt;=-2pp)  |  GM maintained +0.0% ✓  |  Op margin -0.1% ✓ (≥-2pp)  |  Capital returns MOD-HIGH ✓  |  Share count -2.1%/yr ✓ (net buyback)  |  Goodwill/Equity 24% ✓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-2.9% ✗ (&gt;=-2pp)  |  GM maintained +0.0% ✓  |  Op margin -0.1% ✓ (≥-2pp)  |  Capital returns MOD-HIGH ✓  |  Share count -2.1%/yr ✓ (net buyback)  |  Goodwill/Equity 24%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-2.0%</t>
        </is>
      </c>
      <c r="E13" s="131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-2.0%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73%</t>
        </is>
      </c>
      <c r="E14" s="135" t="inlineStr">
        <is>
          <t>MOD-HIGH</t>
        </is>
      </c>
      <c r="F14" s="132" t="n">
        <v>7.43</v>
      </c>
      <c r="G14" s="133">
        <f>IF(F14="",0,C14*F14*10)</f>
        <v/>
      </c>
      <c r="H14" s="134" t="inlineStr">
        <is>
          <t>73%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$3,017mm latest FY — 4yr equity-funded  [payout 101% of FCF — &gt; 100%, unsustainable]</t>
        </is>
      </c>
      <c r="E15" s="135" t="inlineStr">
        <is>
          <t>MOD-HIGH</t>
        </is>
      </c>
      <c r="F15" s="132" t="n">
        <v>4.5</v>
      </c>
      <c r="G15" s="133">
        <f>IF(F15="",0,C15*F15*10)</f>
        <v/>
      </c>
      <c r="H15" s="134" t="inlineStr">
        <is>
          <t>$3,017mm latest FY — 4yr equity-funded  [payout 101%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10.8%</t>
        </is>
      </c>
      <c r="E16" s="136" t="inlineStr">
        <is>
          <t>MOD-LOW</t>
        </is>
      </c>
      <c r="F16" s="132" t="n">
        <v>6.23</v>
      </c>
      <c r="G16" s="133">
        <f>IF(F16="",0,C16*F16*10)</f>
        <v/>
      </c>
      <c r="H16" s="134" t="inlineStr">
        <is>
          <t>10.8%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2.0x</t>
        </is>
      </c>
      <c r="E18" s="135" t="inlineStr">
        <is>
          <t>MOD-HIGH</t>
        </is>
      </c>
      <c r="F18" s="132" t="n">
        <v>9.08</v>
      </c>
      <c r="G18" s="133">
        <f>IF(F18="",0,C18*F18*10)</f>
        <v/>
      </c>
      <c r="H18" s="134" t="inlineStr">
        <is>
          <t>2.0x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7.7x</t>
        </is>
      </c>
      <c r="E19" s="135" t="inlineStr">
        <is>
          <t>MOD-HIGH</t>
        </is>
      </c>
      <c r="F19" s="132" t="n">
        <v>8.85</v>
      </c>
      <c r="G19" s="133">
        <f>IF(F19="",0,C19*F19*10)</f>
        <v/>
      </c>
      <c r="H19" s="134" t="inlineStr">
        <is>
          <t>7.7x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σ=6.1%  |  OM trend -0.3%, σ=0.5%  [quality = direction + stability]</t>
        </is>
      </c>
      <c r="E20" s="135" t="inlineStr">
        <is>
          <t>MOD-HIGH</t>
        </is>
      </c>
      <c r="F20" s="132" t="n">
        <v>6.67</v>
      </c>
      <c r="G20" s="133">
        <f>IF(F20="",0,C20*F20*10)</f>
        <v/>
      </c>
      <c r="H20" s="134" t="inlineStr">
        <is>
          <t>Rev growth σ=6.1%  |  OM trend -0.3%, σ=0.5%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19.9x (scoring basis)  |  5yr avg 14.2x  |  DCF-implied 12.0x [ref only — not used as benchmark]  [+40% vs benchmark]  [trail=1.18 | fwd_pe=19.9x→1.18 | abs=10.0 → blended 40/40/20=2.95]  PEG=113.66 (fwd_pe=19.9x / eps_growth=18%)  [revision:Modest upgrade expected→+0.25]</t>
        </is>
      </c>
      <c r="E22" s="131" t="inlineStr">
        <is>
          <t>LOW</t>
        </is>
      </c>
      <c r="F22" s="132" t="n">
        <v>3.2</v>
      </c>
      <c r="G22" s="133">
        <f>IF(F22="",0,C22*F22*10)</f>
        <v/>
      </c>
      <c r="H22" s="134" t="inlineStr">
        <is>
          <t>Fwd P/E 19.9x (scoring basis)  |  5yr avg 14.2x  |  DCF-implied 12.0x [ref only — not used as benchmark]  [+40% vs benchmark]  [trail=1.18 | fwd_pe=19.9x→1.18 | abs=10.0 → blended 40/40/20=2.95]  PEG=113.66 (fwd_pe=19.9x / eps_growth=18%)  [revision:Modest upgrade expected→+0.25]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17.8x  |  5yr avg 19.2x  |  DCF-implied 16.5x [ref only — not used as benchmark]  [-7% vs benchmark]  [trail=8.09 | fwd_pfcf=30.2x→0.00 | abs=10.0 → blended 40/40/20=5.24]</t>
        </is>
      </c>
      <c r="E23" s="135" t="inlineStr">
        <is>
          <t>MOD-HIGH</t>
        </is>
      </c>
      <c r="F23" s="132" t="n">
        <v>5.24</v>
      </c>
      <c r="G23" s="133">
        <f>IF(F23="",0,C23*F23*10)</f>
        <v/>
      </c>
      <c r="H23" s="134" t="inlineStr">
        <is>
          <t>Current 17.8x  |  5yr avg 19.2x  |  DCF-implied 16.5x [ref only — not used as benchmark]  [-7% vs benchmark]  [trail=8.09 | fwd_pfcf=30.2x→0.00 | abs=10.0 → blended 40/40/20=5.24]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2026-05-27T02:25:59Z</dcterms:created>
  <dcterms:modified xmlns:dcterms="http://purl.org/dc/terms/" xmlns:xsi="http://www.w3.org/2001/XMLSchema-instance" xsi:type="dcterms:W3CDTF">2026-05-27T02:26:11Z</dcterms:modified>
</cp:coreProperties>
</file>