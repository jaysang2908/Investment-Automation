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CVX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184432</v>
      </c>
    </row>
    <row r="8">
      <c r="A8" s="3" t="inlineStr">
        <is>
          <t>Gross Profit ($mm)</t>
        </is>
      </c>
      <c r="B8" s="7" t="n">
        <v>56086</v>
      </c>
    </row>
    <row r="9">
      <c r="A9" s="3" t="inlineStr">
        <is>
          <t>EBITDA ($mm)</t>
        </is>
      </c>
      <c r="B9" s="7" t="n">
        <v>41417</v>
      </c>
    </row>
    <row r="10">
      <c r="A10" s="3" t="inlineStr">
        <is>
          <t>EBIT ($mm)</t>
        </is>
      </c>
      <c r="B10" s="7" t="n">
        <v>16674</v>
      </c>
    </row>
    <row r="11">
      <c r="A11" s="3" t="inlineStr">
        <is>
          <t>Net Income ($mm)</t>
        </is>
      </c>
      <c r="B11" s="7" t="n">
        <v>12299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CVX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155606</v>
      </c>
      <c r="C5" s="16" t="n">
        <v>235717</v>
      </c>
      <c r="D5" s="16" t="n">
        <v>196913</v>
      </c>
      <c r="E5" s="16" t="n">
        <v>193414</v>
      </c>
      <c r="F5" s="16" t="n">
        <v>184432</v>
      </c>
    </row>
    <row r="6">
      <c r="A6" s="17" t="inlineStr">
        <is>
          <t>(2)  Cost of Revenue (COGS)</t>
        </is>
      </c>
      <c r="B6" s="18" t="n">
        <v>110174</v>
      </c>
      <c r="C6" s="18" t="n">
        <v>170130</v>
      </c>
      <c r="D6" s="18" t="n">
        <v>136522</v>
      </c>
      <c r="E6" s="18" t="n">
        <v>136488</v>
      </c>
      <c r="F6" s="18" t="n">
        <v>128346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4014</v>
      </c>
      <c r="C9" s="18" t="n">
        <v>4312</v>
      </c>
      <c r="D9" s="18" t="n">
        <v>4141</v>
      </c>
      <c r="E9" s="18" t="n">
        <v>4834</v>
      </c>
      <c r="F9" s="18" t="n">
        <v>5126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29328</v>
      </c>
      <c r="C11" s="18" t="n">
        <v>25637</v>
      </c>
      <c r="D11" s="18" t="n">
        <v>26601</v>
      </c>
      <c r="E11" s="18" t="n">
        <v>27827</v>
      </c>
      <c r="F11" s="18" t="n">
        <v>39412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17013</v>
      </c>
      <c r="C14" s="18" t="n">
        <v>16805</v>
      </c>
      <c r="D14" s="18" t="n">
        <v>17762</v>
      </c>
      <c r="E14" s="18" t="n">
        <v>17711</v>
      </c>
      <c r="F14" s="18" t="n">
        <v>20457</v>
      </c>
    </row>
    <row r="15">
      <c r="A15" s="19" t="inlineStr">
        <is>
          <t>(8)  EBIT (Operating Income)</t>
        </is>
      </c>
      <c r="B15" s="24" t="n">
        <v>16104</v>
      </c>
      <c r="C15" s="24" t="n">
        <v>39950</v>
      </c>
      <c r="D15" s="24" t="n">
        <v>33790</v>
      </c>
      <c r="E15" s="24" t="n">
        <v>29099</v>
      </c>
      <c r="F15" s="24" t="n">
        <v>16674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712</v>
      </c>
      <c r="C17" s="18" t="n">
        <v>516</v>
      </c>
      <c r="D17" s="18" t="n">
        <v>469</v>
      </c>
      <c r="E17" s="18" t="n">
        <v>594</v>
      </c>
      <c r="F17" s="18" t="n">
        <v>1217</v>
      </c>
    </row>
    <row r="18">
      <c r="A18" s="21" t="inlineStr">
        <is>
          <t xml:space="preserve">     Interest Income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21639</v>
      </c>
      <c r="C21" s="24" t="n">
        <v>49674</v>
      </c>
      <c r="D21" s="24" t="n">
        <v>29584</v>
      </c>
      <c r="E21" s="24" t="n">
        <v>27506</v>
      </c>
      <c r="F21" s="24" t="n">
        <v>19743</v>
      </c>
    </row>
    <row r="22">
      <c r="A22" s="17" t="inlineStr">
        <is>
          <t>(11) Income Tax Expense</t>
        </is>
      </c>
      <c r="B22" s="18" t="n">
        <v>5950</v>
      </c>
      <c r="C22" s="18" t="n">
        <v>14066</v>
      </c>
      <c r="D22" s="18" t="n">
        <v>8173</v>
      </c>
      <c r="E22" s="18" t="n">
        <v>9757</v>
      </c>
      <c r="F22" s="18" t="n">
        <v>7258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15625</v>
      </c>
      <c r="C24" s="24" t="n">
        <v>35465</v>
      </c>
      <c r="D24" s="24" t="n">
        <v>21369</v>
      </c>
      <c r="E24" s="24" t="n">
        <v>17661</v>
      </c>
      <c r="F24" s="24" t="n">
        <v>12299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155606</v>
      </c>
      <c r="C30" s="16" t="n">
        <v>235717</v>
      </c>
      <c r="D30" s="16" t="n">
        <v>196913</v>
      </c>
      <c r="E30" s="16" t="n">
        <v>193414</v>
      </c>
      <c r="F30" s="16" t="n">
        <v>184432</v>
      </c>
    </row>
    <row r="31">
      <c r="A31" s="17" t="inlineStr">
        <is>
          <t>Cost of Revenue</t>
        </is>
      </c>
      <c r="B31" s="18" t="n">
        <v>110174</v>
      </c>
      <c r="C31" s="18" t="n">
        <v>170130</v>
      </c>
      <c r="D31" s="18" t="n">
        <v>136522</v>
      </c>
      <c r="E31" s="18" t="n">
        <v>136488</v>
      </c>
      <c r="F31" s="18" t="n">
        <v>128346</v>
      </c>
    </row>
    <row r="32">
      <c r="A32" s="26" t="inlineStr">
        <is>
          <t>Gross Profit</t>
        </is>
      </c>
      <c r="B32" s="27" t="n">
        <v>45432</v>
      </c>
      <c r="C32" s="27" t="n">
        <v>65587</v>
      </c>
      <c r="D32" s="27" t="n">
        <v>60391</v>
      </c>
      <c r="E32" s="27" t="n">
        <v>56926</v>
      </c>
      <c r="F32" s="27" t="n">
        <v>56086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268</v>
      </c>
      <c r="C34" s="18" t="n">
        <v>268</v>
      </c>
      <c r="D34" s="18" t="n">
        <v>320</v>
      </c>
      <c r="E34" s="18" t="n">
        <v>353</v>
      </c>
      <c r="F34" s="18" t="n">
        <v>427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4014</v>
      </c>
      <c r="C37" s="18" t="n">
        <v>4312</v>
      </c>
      <c r="D37" s="18" t="n">
        <v>4141</v>
      </c>
      <c r="E37" s="18" t="n">
        <v>4834</v>
      </c>
      <c r="F37" s="18" t="n">
        <v>5126</v>
      </c>
    </row>
    <row r="38">
      <c r="A38" s="17" t="inlineStr">
        <is>
          <t>Other Expenses</t>
        </is>
      </c>
      <c r="B38" s="18" t="n">
        <v>25046</v>
      </c>
      <c r="C38" s="18" t="n">
        <v>21057</v>
      </c>
      <c r="D38" s="18" t="n">
        <v>22140</v>
      </c>
      <c r="E38" s="18" t="n">
        <v>22640</v>
      </c>
      <c r="F38" s="18" t="n">
        <v>33859</v>
      </c>
    </row>
    <row r="39">
      <c r="A39" s="26" t="inlineStr">
        <is>
          <t>Total Operating Expenses</t>
        </is>
      </c>
      <c r="B39" s="27" t="n">
        <v>29328</v>
      </c>
      <c r="C39" s="27" t="n">
        <v>25637</v>
      </c>
      <c r="D39" s="27" t="n">
        <v>26601</v>
      </c>
      <c r="E39" s="27" t="n">
        <v>27827</v>
      </c>
      <c r="F39" s="27" t="n">
        <v>39412</v>
      </c>
    </row>
    <row r="40">
      <c r="A40" s="17" t="inlineStr">
        <is>
          <t>Cost &amp; Expenses (COGS + Opex)</t>
        </is>
      </c>
      <c r="B40" s="18" t="n">
        <v>139502</v>
      </c>
      <c r="C40" s="18" t="n">
        <v>195767</v>
      </c>
      <c r="D40" s="18" t="n">
        <v>163123</v>
      </c>
      <c r="E40" s="18" t="n">
        <v>164315</v>
      </c>
      <c r="F40" s="18" t="n">
        <v>167758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16104</v>
      </c>
      <c r="C42" s="16" t="n">
        <v>39950</v>
      </c>
      <c r="D42" s="16" t="n">
        <v>33790</v>
      </c>
      <c r="E42" s="16" t="n">
        <v>29099</v>
      </c>
      <c r="F42" s="16" t="n">
        <v>16674</v>
      </c>
    </row>
    <row r="43">
      <c r="A43" s="17" t="inlineStr">
        <is>
          <t>EBIT (FMP field)</t>
        </is>
      </c>
      <c r="B43" s="18" t="n">
        <v>22351</v>
      </c>
      <c r="C43" s="18" t="n">
        <v>50190</v>
      </c>
      <c r="D43" s="18" t="n">
        <v>30053</v>
      </c>
      <c r="E43" s="18" t="n">
        <v>28100</v>
      </c>
      <c r="F43" s="18" t="n">
        <v>20960</v>
      </c>
    </row>
    <row r="44">
      <c r="A44" s="26" t="inlineStr">
        <is>
          <t>EBITDA</t>
        </is>
      </c>
      <c r="B44" s="27" t="n">
        <v>39364</v>
      </c>
      <c r="C44" s="27" t="n">
        <v>66995</v>
      </c>
      <c r="D44" s="27" t="n">
        <v>47815</v>
      </c>
      <c r="E44" s="27" t="n">
        <v>45811</v>
      </c>
      <c r="F44" s="27" t="n">
        <v>41417</v>
      </c>
    </row>
    <row r="45">
      <c r="A45" s="17" t="inlineStr">
        <is>
          <t>Depreciation &amp; Amortisation</t>
        </is>
      </c>
      <c r="B45" s="18" t="n">
        <v>17013</v>
      </c>
      <c r="C45" s="18" t="n">
        <v>16805</v>
      </c>
      <c r="D45" s="18" t="n">
        <v>17762</v>
      </c>
      <c r="E45" s="18" t="n">
        <v>17711</v>
      </c>
      <c r="F45" s="18" t="n">
        <v>20457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v>0</v>
      </c>
    </row>
    <row r="48">
      <c r="A48" s="17" t="inlineStr">
        <is>
          <t>Interest Expense</t>
        </is>
      </c>
      <c r="B48" s="18" t="n">
        <v>712</v>
      </c>
      <c r="C48" s="18" t="n">
        <v>516</v>
      </c>
      <c r="D48" s="18" t="n">
        <v>469</v>
      </c>
      <c r="E48" s="18" t="n">
        <v>594</v>
      </c>
      <c r="F48" s="18" t="n">
        <v>1217</v>
      </c>
    </row>
    <row r="49">
      <c r="A49" s="17" t="inlineStr">
        <is>
          <t>Net Interest Income</t>
        </is>
      </c>
      <c r="B49" s="18" t="n">
        <v>-712</v>
      </c>
      <c r="C49" s="18" t="n">
        <v>-516</v>
      </c>
      <c r="D49" s="18" t="n">
        <v>-469</v>
      </c>
      <c r="E49" s="18" t="n">
        <v>-594</v>
      </c>
      <c r="F49" s="18" t="n">
        <v>-1217</v>
      </c>
    </row>
    <row r="50">
      <c r="A50" s="17" t="inlineStr">
        <is>
          <t>Non-Operating Income (ex-interest)</t>
        </is>
      </c>
      <c r="B50" s="18" t="n">
        <v>-6247</v>
      </c>
      <c r="C50" s="18" t="n">
        <v>-10240</v>
      </c>
      <c r="D50" s="18" t="n">
        <v>3737</v>
      </c>
      <c r="E50" s="18" t="n">
        <v>999</v>
      </c>
      <c r="F50" s="18" t="n">
        <v>-4286</v>
      </c>
    </row>
    <row r="51">
      <c r="A51" s="17" t="inlineStr">
        <is>
          <t>Total Other Income / (Expenses)</t>
        </is>
      </c>
      <c r="B51" s="18" t="n">
        <v>5535</v>
      </c>
      <c r="C51" s="18" t="n">
        <v>9724</v>
      </c>
      <c r="D51" s="18" t="n">
        <v>-4206</v>
      </c>
      <c r="E51" s="18" t="n">
        <v>-1593</v>
      </c>
      <c r="F51" s="18" t="n">
        <v>3069</v>
      </c>
    </row>
    <row r="52">
      <c r="A52" s="26" t="inlineStr">
        <is>
          <t>EBT / Income Before Tax</t>
        </is>
      </c>
      <c r="B52" s="27" t="n">
        <v>21639</v>
      </c>
      <c r="C52" s="27" t="n">
        <v>49674</v>
      </c>
      <c r="D52" s="27" t="n">
        <v>29584</v>
      </c>
      <c r="E52" s="27" t="n">
        <v>27506</v>
      </c>
      <c r="F52" s="27" t="n">
        <v>19743</v>
      </c>
    </row>
    <row r="53">
      <c r="A53" s="17" t="inlineStr">
        <is>
          <t>Income Tax Expense</t>
        </is>
      </c>
      <c r="B53" s="18" t="n">
        <v>5950</v>
      </c>
      <c r="C53" s="18" t="n">
        <v>14066</v>
      </c>
      <c r="D53" s="18" t="n">
        <v>8173</v>
      </c>
      <c r="E53" s="18" t="n">
        <v>9757</v>
      </c>
      <c r="F53" s="18" t="n">
        <v>7258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15689</v>
      </c>
      <c r="C55" s="18" t="n">
        <v>35608</v>
      </c>
      <c r="D55" s="18" t="n">
        <v>21411</v>
      </c>
      <c r="E55" s="18" t="n">
        <v>17749</v>
      </c>
      <c r="F55" s="18" t="n">
        <v>12485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15625</v>
      </c>
      <c r="C59" s="27" t="n">
        <v>35465</v>
      </c>
      <c r="D59" s="27" t="n">
        <v>21369</v>
      </c>
      <c r="E59" s="27" t="n">
        <v>17661</v>
      </c>
      <c r="F59" s="27" t="n">
        <v>12299</v>
      </c>
    </row>
    <row r="60">
      <c r="A60" s="15" t="inlineStr">
        <is>
          <t>Bottom Line Net Income</t>
        </is>
      </c>
      <c r="B60" s="16" t="n">
        <v>15625</v>
      </c>
      <c r="C60" s="16" t="n">
        <v>35465</v>
      </c>
      <c r="D60" s="16" t="n">
        <v>21369</v>
      </c>
      <c r="E60" s="16" t="n">
        <v>17661</v>
      </c>
      <c r="F60" s="16" t="n">
        <v>12299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8.15</v>
      </c>
      <c r="C62" s="18" t="n">
        <v>18.36</v>
      </c>
      <c r="D62" s="18" t="n">
        <v>11.41</v>
      </c>
      <c r="E62" s="18" t="n">
        <v>9.76</v>
      </c>
      <c r="F62" s="18" t="n">
        <v>6.65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1915.99</v>
      </c>
      <c r="C64" s="18" t="n">
        <v>1931.49</v>
      </c>
      <c r="D64" s="18" t="n">
        <v>1872.74</v>
      </c>
      <c r="E64" s="18" t="n">
        <v>1809.58</v>
      </c>
      <c r="F64" s="18" t="n">
        <v>1849</v>
      </c>
    </row>
    <row r="65">
      <c r="A65" s="17" t="inlineStr">
        <is>
          <t>Shares Outstanding — Diluted (mm)</t>
        </is>
      </c>
      <c r="B65" s="18" t="n">
        <v>1920.28</v>
      </c>
      <c r="C65" s="18" t="n">
        <v>1940.28</v>
      </c>
      <c r="D65" s="18" t="n">
        <v>1880.31</v>
      </c>
      <c r="E65" s="18" t="n">
        <v>1816.6</v>
      </c>
      <c r="F65" s="18" t="n">
        <v>1856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CVX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5640</v>
      </c>
      <c r="C5" s="18" t="n">
        <v>17678</v>
      </c>
      <c r="D5" s="18" t="n">
        <v>8178</v>
      </c>
      <c r="E5" s="18" t="n">
        <v>6781</v>
      </c>
      <c r="F5" s="18" t="n">
        <v>6467</v>
      </c>
    </row>
    <row r="6">
      <c r="A6" s="17" t="inlineStr">
        <is>
          <t>(2)  Receivables</t>
        </is>
      </c>
      <c r="B6" s="18" t="n">
        <v>18419</v>
      </c>
      <c r="C6" s="18" t="n">
        <v>20456</v>
      </c>
      <c r="D6" s="18" t="n">
        <v>19921</v>
      </c>
      <c r="E6" s="18" t="n">
        <v>20684</v>
      </c>
      <c r="F6" s="18" t="n">
        <v>18075</v>
      </c>
    </row>
    <row r="7">
      <c r="A7" s="17" t="inlineStr">
        <is>
          <t>(3)  Inventory</t>
        </is>
      </c>
      <c r="B7" s="18" t="n">
        <v>6795</v>
      </c>
      <c r="C7" s="18" t="n">
        <v>8247</v>
      </c>
      <c r="D7" s="18" t="n">
        <v>8612</v>
      </c>
      <c r="E7" s="18" t="n">
        <v>9074</v>
      </c>
      <c r="F7" s="18" t="n">
        <v>9711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33738</v>
      </c>
      <c r="C9" s="24" t="n">
        <v>50343</v>
      </c>
      <c r="D9" s="24" t="n">
        <v>41128</v>
      </c>
      <c r="E9" s="24" t="n">
        <v>40911</v>
      </c>
      <c r="F9" s="24" t="n">
        <v>38552</v>
      </c>
    </row>
    <row r="10">
      <c r="A10" s="17" t="inlineStr">
        <is>
          <t>(6)  PP&amp;E (Net)</t>
        </is>
      </c>
      <c r="B10" s="18" t="n">
        <v>146961</v>
      </c>
      <c r="C10" s="18" t="n">
        <v>143591</v>
      </c>
      <c r="D10" s="18" t="n">
        <v>153619</v>
      </c>
      <c r="E10" s="18" t="n">
        <v>147799</v>
      </c>
      <c r="F10" s="18" t="n">
        <v>225783</v>
      </c>
    </row>
    <row r="11">
      <c r="A11" s="17" t="inlineStr">
        <is>
          <t>(7)  Goodwill</t>
        </is>
      </c>
      <c r="B11" s="18" t="n">
        <v>4385</v>
      </c>
      <c r="C11" s="18" t="n">
        <v>4722</v>
      </c>
      <c r="D11" s="18" t="n">
        <v>4722</v>
      </c>
      <c r="E11" s="18" t="n">
        <v>4578</v>
      </c>
      <c r="F11" s="18" t="n">
        <v>4568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2862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205797</v>
      </c>
      <c r="C14" s="24" t="n">
        <v>207366</v>
      </c>
      <c r="D14" s="24" t="n">
        <v>220504</v>
      </c>
      <c r="E14" s="24" t="n">
        <v>216027</v>
      </c>
      <c r="F14" s="24" t="n">
        <v>285460</v>
      </c>
    </row>
    <row r="15">
      <c r="A15" s="19" t="inlineStr">
        <is>
          <t>(11) Total Assets</t>
        </is>
      </c>
      <c r="B15" s="24" t="n">
        <v>239535</v>
      </c>
      <c r="C15" s="24" t="n">
        <v>257709</v>
      </c>
      <c r="D15" s="24" t="n">
        <v>261632</v>
      </c>
      <c r="E15" s="24" t="n">
        <v>256938</v>
      </c>
      <c r="F15" s="24" t="n">
        <v>324012</v>
      </c>
    </row>
    <row r="16" ht="6" customHeight="1"/>
    <row r="17">
      <c r="A17" s="17" t="inlineStr">
        <is>
          <t>(12) Accounts Payable</t>
        </is>
      </c>
      <c r="B17" s="18" t="n">
        <v>16454</v>
      </c>
      <c r="C17" s="18" t="n">
        <v>18955</v>
      </c>
      <c r="D17" s="18" t="n">
        <v>20423</v>
      </c>
      <c r="E17" s="18" t="n">
        <v>22079</v>
      </c>
      <c r="F17" s="18" t="n">
        <v>19220</v>
      </c>
    </row>
    <row r="18">
      <c r="A18" s="17" t="inlineStr">
        <is>
          <t>(13) Short-Term Borrowings</t>
        </is>
      </c>
      <c r="B18" s="18" t="n">
        <v>208</v>
      </c>
      <c r="C18" s="18" t="n">
        <v>1919</v>
      </c>
      <c r="D18" s="18" t="n">
        <v>469</v>
      </c>
      <c r="E18" s="18" t="n">
        <v>4348</v>
      </c>
      <c r="F18" s="18" t="n">
        <v>2808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26791</v>
      </c>
      <c r="C21" s="24" t="n">
        <v>34208</v>
      </c>
      <c r="D21" s="24" t="n">
        <v>32258</v>
      </c>
      <c r="E21" s="24" t="n">
        <v>38558</v>
      </c>
      <c r="F21" s="24" t="n">
        <v>33387</v>
      </c>
    </row>
    <row r="22">
      <c r="A22" s="17" t="inlineStr">
        <is>
          <t>(17) Long-Term Debt</t>
        </is>
      </c>
      <c r="B22" s="18" t="n">
        <v>30664</v>
      </c>
      <c r="C22" s="18" t="n">
        <v>20972</v>
      </c>
      <c r="D22" s="18" t="n">
        <v>19733</v>
      </c>
      <c r="E22" s="18" t="n">
        <v>19589</v>
      </c>
      <c r="F22" s="18" t="n">
        <v>39122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99595</v>
      </c>
      <c r="C25" s="24" t="n">
        <v>97467</v>
      </c>
      <c r="D25" s="24" t="n">
        <v>99703</v>
      </c>
      <c r="E25" s="24" t="n">
        <v>103781</v>
      </c>
      <c r="F25" s="24" t="n">
        <v>131836</v>
      </c>
    </row>
    <row r="26" ht="6" customHeight="1"/>
    <row r="27">
      <c r="A27" s="17" t="inlineStr">
        <is>
          <t>(21) Common Stock &amp; APIC</t>
        </is>
      </c>
      <c r="B27" s="18" t="n">
        <v>1832</v>
      </c>
      <c r="C27" s="18" t="n">
        <v>1832</v>
      </c>
      <c r="D27" s="18" t="n">
        <v>1832</v>
      </c>
      <c r="E27" s="18" t="n">
        <v>1832</v>
      </c>
      <c r="F27" s="18" t="n">
        <v>1832</v>
      </c>
    </row>
    <row r="28">
      <c r="A28" s="17" t="inlineStr">
        <is>
          <t>(22) Retained Earnings</t>
        </is>
      </c>
      <c r="B28" s="18" t="n">
        <v>165546</v>
      </c>
      <c r="C28" s="18" t="n">
        <v>190024</v>
      </c>
      <c r="D28" s="18" t="n">
        <v>200025</v>
      </c>
      <c r="E28" s="18" t="n">
        <v>205852</v>
      </c>
      <c r="F28" s="18" t="n">
        <v>205365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139067</v>
      </c>
      <c r="C30" s="24" t="n">
        <v>159282</v>
      </c>
      <c r="D30" s="24" t="n">
        <v>160957</v>
      </c>
      <c r="E30" s="24" t="n">
        <v>152318</v>
      </c>
      <c r="F30" s="24" t="n">
        <v>186450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5640</v>
      </c>
      <c r="C36" s="18" t="n">
        <v>17678</v>
      </c>
      <c r="D36" s="18" t="n">
        <v>8178</v>
      </c>
      <c r="E36" s="18" t="n">
        <v>6781</v>
      </c>
      <c r="F36" s="18" t="n">
        <v>6467</v>
      </c>
    </row>
    <row r="37">
      <c r="A37" s="17" t="inlineStr">
        <is>
          <t>Short-Term Investments</t>
        </is>
      </c>
      <c r="B37" s="18" t="n">
        <v>35</v>
      </c>
      <c r="C37" s="18" t="n">
        <v>223</v>
      </c>
      <c r="D37" s="18" t="n">
        <v>45</v>
      </c>
      <c r="E37" s="18" t="n">
        <v>4</v>
      </c>
      <c r="F37" s="18" t="n">
        <v>4</v>
      </c>
    </row>
    <row r="38">
      <c r="A38" s="28" t="inlineStr">
        <is>
          <t>Cash &amp; Short-Term Investments</t>
        </is>
      </c>
      <c r="B38" s="29" t="n">
        <v>5675</v>
      </c>
      <c r="C38" s="29" t="n">
        <v>17901</v>
      </c>
      <c r="D38" s="29" t="n">
        <v>8223</v>
      </c>
      <c r="E38" s="29" t="n">
        <v>6785</v>
      </c>
      <c r="F38" s="29" t="n">
        <v>6471</v>
      </c>
    </row>
    <row r="39">
      <c r="A39" s="17" t="inlineStr">
        <is>
          <t>Accounts Receivable (Trade)</t>
        </is>
      </c>
      <c r="B39" s="18" t="n">
        <v>18419</v>
      </c>
      <c r="C39" s="18" t="n">
        <v>20456</v>
      </c>
      <c r="D39" s="18" t="n">
        <v>19921</v>
      </c>
      <c r="E39" s="18" t="n">
        <v>20684</v>
      </c>
      <c r="F39" s="18" t="n">
        <v>17884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191</v>
      </c>
    </row>
    <row r="41">
      <c r="A41" s="28" t="inlineStr">
        <is>
          <t>Net Receivables (Total)</t>
        </is>
      </c>
      <c r="B41" s="29" t="n">
        <v>18419</v>
      </c>
      <c r="C41" s="29" t="n">
        <v>20456</v>
      </c>
      <c r="D41" s="29" t="n">
        <v>19921</v>
      </c>
      <c r="E41" s="29" t="n">
        <v>20684</v>
      </c>
      <c r="F41" s="29" t="n">
        <v>18075</v>
      </c>
    </row>
    <row r="42">
      <c r="A42" s="17" t="inlineStr">
        <is>
          <t>Inventory</t>
        </is>
      </c>
      <c r="B42" s="18" t="n">
        <v>6795</v>
      </c>
      <c r="C42" s="18" t="n">
        <v>8247</v>
      </c>
      <c r="D42" s="18" t="n">
        <v>8612</v>
      </c>
      <c r="E42" s="18" t="n">
        <v>9074</v>
      </c>
      <c r="F42" s="18" t="n">
        <v>9711</v>
      </c>
    </row>
    <row r="43">
      <c r="A43" s="17" t="inlineStr">
        <is>
          <t>Prepaids</t>
        </is>
      </c>
      <c r="B43" s="18" t="n">
        <v>2849</v>
      </c>
      <c r="C43" s="18" t="n">
        <v>3739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4372</v>
      </c>
      <c r="E44" s="18" t="n">
        <v>4368</v>
      </c>
      <c r="F44" s="18" t="n">
        <v>4295</v>
      </c>
    </row>
    <row r="45">
      <c r="A45" s="26" t="inlineStr">
        <is>
          <t>Total Current Assets</t>
        </is>
      </c>
      <c r="B45" s="27" t="n">
        <v>33738</v>
      </c>
      <c r="C45" s="27" t="n">
        <v>50343</v>
      </c>
      <c r="D45" s="27" t="n">
        <v>41128</v>
      </c>
      <c r="E45" s="27" t="n">
        <v>40911</v>
      </c>
      <c r="F45" s="27" t="n">
        <v>38552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146961</v>
      </c>
      <c r="C47" s="18" t="n">
        <v>143591</v>
      </c>
      <c r="D47" s="18" t="n">
        <v>153619</v>
      </c>
      <c r="E47" s="18" t="n">
        <v>147799</v>
      </c>
      <c r="F47" s="18" t="n">
        <v>225783</v>
      </c>
    </row>
    <row r="48">
      <c r="A48" s="17" t="inlineStr">
        <is>
          <t>Goodwill</t>
        </is>
      </c>
      <c r="B48" s="18" t="n">
        <v>4385</v>
      </c>
      <c r="C48" s="18" t="n">
        <v>4722</v>
      </c>
      <c r="D48" s="18" t="n">
        <v>4722</v>
      </c>
      <c r="E48" s="18" t="n">
        <v>4578</v>
      </c>
      <c r="F48" s="18" t="n">
        <v>4568</v>
      </c>
    </row>
    <row r="49">
      <c r="A49" s="17" t="inlineStr">
        <is>
          <t>Intangible Assets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40696</v>
      </c>
      <c r="C50" s="18" t="n">
        <v>45238</v>
      </c>
      <c r="D50" s="18" t="n">
        <v>46812</v>
      </c>
      <c r="E50" s="18" t="n">
        <v>47438</v>
      </c>
      <c r="F50" s="18" t="n">
        <v>45720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2862</v>
      </c>
    </row>
    <row r="52">
      <c r="A52" s="17" t="inlineStr">
        <is>
          <t>Total Investments</t>
        </is>
      </c>
      <c r="B52" s="18" t="n">
        <v>40731</v>
      </c>
      <c r="C52" s="18" t="n">
        <v>45461</v>
      </c>
      <c r="D52" s="18" t="n">
        <v>46857</v>
      </c>
      <c r="E52" s="18" t="n">
        <v>47442</v>
      </c>
      <c r="F52" s="18" t="n">
        <v>45724</v>
      </c>
    </row>
    <row r="53">
      <c r="A53" s="17" t="inlineStr">
        <is>
          <t>Other Non-Current Assets</t>
        </is>
      </c>
      <c r="B53" s="18" t="n">
        <v>13755</v>
      </c>
      <c r="C53" s="18" t="n">
        <v>13815</v>
      </c>
      <c r="D53" s="18" t="n">
        <v>15351</v>
      </c>
      <c r="E53" s="18" t="n">
        <v>16212</v>
      </c>
      <c r="F53" s="18" t="n">
        <v>6527</v>
      </c>
    </row>
    <row r="54">
      <c r="A54" s="26" t="inlineStr">
        <is>
          <t>Total Non-Current Assets</t>
        </is>
      </c>
      <c r="B54" s="27" t="n">
        <v>205797</v>
      </c>
      <c r="C54" s="27" t="n">
        <v>207366</v>
      </c>
      <c r="D54" s="27" t="n">
        <v>220504</v>
      </c>
      <c r="E54" s="27" t="n">
        <v>216027</v>
      </c>
      <c r="F54" s="27" t="n">
        <v>285460</v>
      </c>
    </row>
    <row r="55">
      <c r="A55" s="13" t="inlineStr">
        <is>
          <t>TOTAL ASSETS</t>
        </is>
      </c>
      <c r="B55" s="30" t="n">
        <v>239535</v>
      </c>
      <c r="C55" s="30" t="n">
        <v>257709</v>
      </c>
      <c r="D55" s="30" t="n">
        <v>261632</v>
      </c>
      <c r="E55" s="30" t="n">
        <v>256938</v>
      </c>
      <c r="F55" s="30" t="n">
        <v>324012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16454</v>
      </c>
      <c r="C57" s="18" t="n">
        <v>18955</v>
      </c>
      <c r="D57" s="18" t="n">
        <v>20423</v>
      </c>
      <c r="E57" s="18" t="n">
        <v>22079</v>
      </c>
      <c r="F57" s="18" t="n">
        <v>19220</v>
      </c>
    </row>
    <row r="58">
      <c r="A58" s="17" t="inlineStr">
        <is>
          <t>Short-Term Debt</t>
        </is>
      </c>
      <c r="B58" s="18" t="n">
        <v>208</v>
      </c>
      <c r="C58" s="18" t="n">
        <v>1919</v>
      </c>
      <c r="D58" s="18" t="n">
        <v>469</v>
      </c>
      <c r="E58" s="18" t="n">
        <v>4348</v>
      </c>
      <c r="F58" s="18" t="n">
        <v>2808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0</v>
      </c>
      <c r="C61" s="18" t="n">
        <v>0</v>
      </c>
      <c r="D61" s="18" t="n">
        <v>0</v>
      </c>
      <c r="E61" s="18" t="n">
        <v>0</v>
      </c>
      <c r="F61" s="18" t="n">
        <v>10515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26791</v>
      </c>
      <c r="C63" s="27" t="n">
        <v>34208</v>
      </c>
      <c r="D63" s="27" t="n">
        <v>32258</v>
      </c>
      <c r="E63" s="27" t="n">
        <v>38558</v>
      </c>
      <c r="F63" s="27" t="n">
        <v>33387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30664</v>
      </c>
      <c r="C65" s="18" t="n">
        <v>20972</v>
      </c>
      <c r="D65" s="18" t="n">
        <v>19733</v>
      </c>
      <c r="E65" s="18" t="n">
        <v>19589</v>
      </c>
      <c r="F65" s="18" t="n">
        <v>39122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20778</v>
      </c>
      <c r="C67" s="18" t="n">
        <v>20396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14665</v>
      </c>
      <c r="C68" s="18" t="n">
        <v>17131</v>
      </c>
      <c r="D68" s="18" t="n">
        <v>18830</v>
      </c>
      <c r="E68" s="18" t="n">
        <v>19137</v>
      </c>
      <c r="F68" s="18" t="n">
        <v>30014</v>
      </c>
    </row>
    <row r="69">
      <c r="A69" s="17" t="inlineStr">
        <is>
          <t>Other Non-Current Liabilities</t>
        </is>
      </c>
      <c r="B69" s="18" t="n">
        <v>6248</v>
      </c>
      <c r="C69" s="18" t="n">
        <v>4357</v>
      </c>
      <c r="D69" s="18" t="n">
        <v>28308</v>
      </c>
      <c r="E69" s="18" t="n">
        <v>25951</v>
      </c>
      <c r="F69" s="18" t="n">
        <v>24500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99595</v>
      </c>
      <c r="C71" s="30" t="n">
        <v>97467</v>
      </c>
      <c r="D71" s="30" t="n">
        <v>99703</v>
      </c>
      <c r="E71" s="30" t="n">
        <v>103781</v>
      </c>
      <c r="F71" s="30" t="n">
        <v>131836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1832</v>
      </c>
      <c r="C73" s="18" t="n">
        <v>1832</v>
      </c>
      <c r="D73" s="18" t="n">
        <v>1832</v>
      </c>
      <c r="E73" s="18" t="n">
        <v>1832</v>
      </c>
      <c r="F73" s="18" t="n">
        <v>1832</v>
      </c>
    </row>
    <row r="74">
      <c r="A74" s="17" t="inlineStr">
        <is>
          <t>Retained Earnings</t>
        </is>
      </c>
      <c r="B74" s="18" t="n">
        <v>165546</v>
      </c>
      <c r="C74" s="18" t="n">
        <v>190024</v>
      </c>
      <c r="D74" s="18" t="n">
        <v>200025</v>
      </c>
      <c r="E74" s="18" t="n">
        <v>205852</v>
      </c>
      <c r="F74" s="18" t="n">
        <v>205365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873</v>
      </c>
      <c r="C77" s="18" t="n">
        <v>960</v>
      </c>
      <c r="D77" s="18" t="n">
        <v>972</v>
      </c>
      <c r="E77" s="18" t="n">
        <v>839</v>
      </c>
      <c r="F77" s="18" t="n">
        <v>5726</v>
      </c>
    </row>
    <row r="78">
      <c r="A78" s="26" t="inlineStr">
        <is>
          <t>Total Equity (inc. Minority)</t>
        </is>
      </c>
      <c r="B78" s="27" t="n">
        <v>139940</v>
      </c>
      <c r="C78" s="27" t="n">
        <v>160242</v>
      </c>
      <c r="D78" s="27" t="n">
        <v>161929</v>
      </c>
      <c r="E78" s="27" t="n">
        <v>153157</v>
      </c>
      <c r="F78" s="27" t="n">
        <v>192176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CVX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29187</v>
      </c>
      <c r="C5" s="24" t="n">
        <v>49602</v>
      </c>
      <c r="D5" s="24" t="n">
        <v>35609</v>
      </c>
      <c r="E5" s="24" t="n">
        <v>31492</v>
      </c>
      <c r="F5" s="24" t="n">
        <v>33939</v>
      </c>
    </row>
    <row r="6">
      <c r="A6" s="17" t="inlineStr">
        <is>
          <t>(2)  Capital Expenditures</t>
        </is>
      </c>
      <c r="B6" s="18" t="n">
        <v>-8100</v>
      </c>
      <c r="C6" s="18" t="n">
        <v>-11974</v>
      </c>
      <c r="D6" s="18" t="n">
        <v>-15829</v>
      </c>
      <c r="E6" s="18" t="n">
        <v>-16448</v>
      </c>
      <c r="F6" s="18" t="n">
        <v>-17347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-12936</v>
      </c>
      <c r="C9" s="18" t="n">
        <v>-8479</v>
      </c>
      <c r="D9" s="18" t="n">
        <v>-4055</v>
      </c>
      <c r="E9" s="18" t="n">
        <v>3568</v>
      </c>
      <c r="F9" s="18" t="n">
        <v>5866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-10179</v>
      </c>
      <c r="C12" s="18" t="n">
        <v>-10968</v>
      </c>
      <c r="D12" s="18" t="n">
        <v>-11336</v>
      </c>
      <c r="E12" s="18" t="n">
        <v>-11800</v>
      </c>
      <c r="F12" s="18" t="n">
        <v>-12751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21087</v>
      </c>
      <c r="C15" s="24" t="n">
        <v>37628</v>
      </c>
      <c r="D15" s="24" t="n">
        <v>19780</v>
      </c>
      <c r="E15" s="24" t="n">
        <v>15044</v>
      </c>
      <c r="F15" s="24" t="n">
        <v>16592</v>
      </c>
    </row>
    <row r="16">
      <c r="A16" s="15" t="inlineStr">
        <is>
          <t xml:space="preserve">     Net Change in Cash</t>
        </is>
      </c>
      <c r="B16" s="16" t="n">
        <v>58</v>
      </c>
      <c r="C16" s="16" t="n">
        <v>12326</v>
      </c>
      <c r="D16" s="16" t="n">
        <v>-9846</v>
      </c>
      <c r="E16" s="16" t="n">
        <v>-1013</v>
      </c>
      <c r="F16" s="16" t="n">
        <v>-977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15689</v>
      </c>
      <c r="C21" s="18" t="n">
        <v>35608</v>
      </c>
      <c r="D21" s="18" t="n">
        <v>21411</v>
      </c>
      <c r="E21" s="18" t="n">
        <v>17749</v>
      </c>
      <c r="F21" s="18" t="n">
        <v>12485</v>
      </c>
    </row>
    <row r="22">
      <c r="A22" s="17" t="inlineStr">
        <is>
          <t>Depreciation &amp; Amortisation</t>
        </is>
      </c>
      <c r="B22" s="18" t="n">
        <v>16895</v>
      </c>
      <c r="C22" s="18" t="n">
        <v>16319</v>
      </c>
      <c r="D22" s="18" t="n">
        <v>14553</v>
      </c>
      <c r="E22" s="18" t="n">
        <v>16196</v>
      </c>
      <c r="F22" s="18" t="n">
        <v>20132</v>
      </c>
    </row>
    <row r="23">
      <c r="A23" s="17" t="inlineStr">
        <is>
          <t>Deferred Income Tax</t>
        </is>
      </c>
      <c r="B23" s="18" t="n">
        <v>700</v>
      </c>
      <c r="C23" s="18" t="n">
        <v>2124</v>
      </c>
      <c r="D23" s="18" t="n">
        <v>298</v>
      </c>
      <c r="E23" s="18" t="n">
        <v>1240</v>
      </c>
      <c r="F23" s="18" t="n">
        <v>986</v>
      </c>
    </row>
    <row r="24">
      <c r="A24" s="17" t="inlineStr">
        <is>
          <t>Stock-Based Compensation</t>
        </is>
      </c>
      <c r="B24" s="18" t="n">
        <v>0</v>
      </c>
      <c r="C24" s="18" t="n">
        <v>1073</v>
      </c>
      <c r="D24" s="18" t="n">
        <v>0</v>
      </c>
      <c r="E24" s="18" t="n">
        <v>0</v>
      </c>
      <c r="F24" s="18" t="n">
        <v>0</v>
      </c>
    </row>
    <row r="25">
      <c r="A25" s="17" t="inlineStr">
        <is>
          <t>Change in Working Capital</t>
        </is>
      </c>
      <c r="B25" s="18" t="n">
        <v>-1660</v>
      </c>
      <c r="C25" s="18" t="n">
        <v>2125</v>
      </c>
      <c r="D25" s="18" t="n">
        <v>-3335</v>
      </c>
      <c r="E25" s="18" t="n">
        <v>100</v>
      </c>
      <c r="F25" s="18" t="n">
        <v>-2394</v>
      </c>
    </row>
    <row r="26">
      <c r="A26" s="21" t="inlineStr">
        <is>
          <t xml:space="preserve">  — Accounts Receivable</t>
        </is>
      </c>
      <c r="B26" s="18" t="n">
        <v>-7527</v>
      </c>
      <c r="C26" s="18" t="n">
        <v>-2164</v>
      </c>
      <c r="D26" s="18" t="n">
        <v>1337</v>
      </c>
      <c r="E26" s="18" t="n">
        <v>-818</v>
      </c>
      <c r="F26" s="18" t="n">
        <v>3697</v>
      </c>
    </row>
    <row r="27">
      <c r="A27" s="21" t="inlineStr">
        <is>
          <t xml:space="preserve">  — Inventory</t>
        </is>
      </c>
      <c r="B27" s="18" t="n">
        <v>-530</v>
      </c>
      <c r="C27" s="18" t="n">
        <v>-930</v>
      </c>
      <c r="D27" s="18" t="n">
        <v>-320</v>
      </c>
      <c r="E27" s="18" t="n">
        <v>-574</v>
      </c>
      <c r="F27" s="18" t="n">
        <v>51</v>
      </c>
    </row>
    <row r="28">
      <c r="A28" s="21" t="inlineStr">
        <is>
          <t xml:space="preserve">  — Accounts Payable</t>
        </is>
      </c>
      <c r="B28" s="18" t="n">
        <v>5475</v>
      </c>
      <c r="C28" s="18" t="n">
        <v>2750</v>
      </c>
      <c r="D28" s="18" t="n">
        <v>-49</v>
      </c>
      <c r="E28" s="18" t="n">
        <v>2569</v>
      </c>
      <c r="F28" s="18" t="n">
        <v>-3469</v>
      </c>
    </row>
    <row r="29">
      <c r="A29" s="21" t="inlineStr">
        <is>
          <t xml:space="preserve">  — Other Working Capital</t>
        </is>
      </c>
      <c r="B29" s="18" t="n">
        <v>922</v>
      </c>
      <c r="C29" s="18" t="n">
        <v>2469</v>
      </c>
      <c r="D29" s="18" t="n">
        <v>-4303</v>
      </c>
      <c r="E29" s="18" t="n">
        <v>-1077</v>
      </c>
      <c r="F29" s="18" t="n">
        <v>-2673</v>
      </c>
    </row>
    <row r="30">
      <c r="A30" s="17" t="inlineStr">
        <is>
          <t>Other Non-Cash Items</t>
        </is>
      </c>
      <c r="B30" s="18" t="n">
        <v>-2437</v>
      </c>
      <c r="C30" s="18" t="n">
        <v>-7647</v>
      </c>
      <c r="D30" s="18" t="n">
        <v>2682</v>
      </c>
      <c r="E30" s="18" t="n">
        <v>-3793</v>
      </c>
      <c r="F30" s="18" t="n">
        <v>2591</v>
      </c>
    </row>
    <row r="31">
      <c r="A31" s="26" t="inlineStr">
        <is>
          <t>Net Cash from Operations (CFO)</t>
        </is>
      </c>
      <c r="B31" s="27" t="n">
        <v>29187</v>
      </c>
      <c r="C31" s="27" t="n">
        <v>49602</v>
      </c>
      <c r="D31" s="27" t="n">
        <v>35609</v>
      </c>
      <c r="E31" s="27" t="n">
        <v>31492</v>
      </c>
      <c r="F31" s="27" t="n">
        <v>33939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-8100</v>
      </c>
      <c r="C33" s="18" t="n">
        <v>-11974</v>
      </c>
      <c r="D33" s="18" t="n">
        <v>-15829</v>
      </c>
      <c r="E33" s="18" t="n">
        <v>-16448</v>
      </c>
      <c r="F33" s="18" t="n">
        <v>-17347</v>
      </c>
    </row>
    <row r="34">
      <c r="A34" s="21" t="inlineStr">
        <is>
          <t xml:space="preserve">  (Alt: Invest. in PP&amp;E)</t>
        </is>
      </c>
      <c r="B34" s="18" t="n">
        <v>-8056</v>
      </c>
      <c r="C34" s="18" t="n">
        <v>-11974</v>
      </c>
      <c r="D34" s="18" t="n">
        <v>-15829</v>
      </c>
      <c r="E34" s="18" t="n">
        <v>-16448</v>
      </c>
      <c r="F34" s="18" t="n">
        <v>-17347</v>
      </c>
    </row>
    <row r="35">
      <c r="A35" s="17" t="inlineStr">
        <is>
          <t>Acquisitions (Net)</t>
        </is>
      </c>
      <c r="B35" s="18" t="n">
        <v>439</v>
      </c>
      <c r="C35" s="18" t="n">
        <v>-2900</v>
      </c>
      <c r="D35" s="18" t="n">
        <v>278</v>
      </c>
      <c r="E35" s="18" t="n">
        <v>195</v>
      </c>
      <c r="F35" s="18" t="n">
        <v>-1169</v>
      </c>
    </row>
    <row r="36">
      <c r="A36" s="17" t="inlineStr">
        <is>
          <t>Purchases of Investments</t>
        </is>
      </c>
      <c r="B36" s="18" t="n">
        <v>-4</v>
      </c>
      <c r="C36" s="18" t="n">
        <v>-7</v>
      </c>
      <c r="D36" s="18" t="n">
        <v>-289</v>
      </c>
      <c r="E36" s="18" t="n">
        <v>-6</v>
      </c>
      <c r="F36" s="18" t="n">
        <v>0</v>
      </c>
    </row>
    <row r="37">
      <c r="A37" s="17" t="inlineStr">
        <is>
          <t>Sales / Maturities of Investments</t>
        </is>
      </c>
      <c r="B37" s="18" t="n">
        <v>3</v>
      </c>
      <c r="C37" s="18" t="n">
        <v>124</v>
      </c>
      <c r="D37" s="18" t="n">
        <v>464</v>
      </c>
      <c r="E37" s="18" t="n">
        <v>47</v>
      </c>
      <c r="F37" s="18" t="n">
        <v>1827</v>
      </c>
    </row>
    <row r="38">
      <c r="A38" s="17" t="inlineStr">
        <is>
          <t>Other Investing Activities</t>
        </is>
      </c>
      <c r="B38" s="18" t="n">
        <v>1753</v>
      </c>
      <c r="C38" s="18" t="n">
        <v>2649</v>
      </c>
      <c r="D38" s="18" t="n">
        <v>144</v>
      </c>
      <c r="E38" s="18" t="n">
        <v>7276</v>
      </c>
      <c r="F38" s="18" t="n">
        <v>778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-12936</v>
      </c>
      <c r="C41" s="18" t="n">
        <v>-8479</v>
      </c>
      <c r="D41" s="18" t="n">
        <v>-4055</v>
      </c>
      <c r="E41" s="18" t="n">
        <v>3568</v>
      </c>
      <c r="F41" s="18" t="n">
        <v>5866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-1383</v>
      </c>
      <c r="C44" s="18" t="n">
        <v>-11255</v>
      </c>
      <c r="D44" s="18" t="n">
        <v>-14939</v>
      </c>
      <c r="E44" s="18" t="n">
        <v>-15400</v>
      </c>
      <c r="F44" s="18" t="n">
        <v>-11855</v>
      </c>
    </row>
    <row r="45">
      <c r="A45" s="17" t="inlineStr">
        <is>
          <t>Dividends Paid</t>
        </is>
      </c>
      <c r="B45" s="18" t="n">
        <v>-10179</v>
      </c>
      <c r="C45" s="18" t="n">
        <v>-10968</v>
      </c>
      <c r="D45" s="18" t="n">
        <v>-11336</v>
      </c>
      <c r="E45" s="18" t="n">
        <v>-11800</v>
      </c>
      <c r="F45" s="18" t="n">
        <v>-12751</v>
      </c>
    </row>
    <row r="46">
      <c r="A46" s="17" t="inlineStr">
        <is>
          <t>Other Financing Activities</t>
        </is>
      </c>
      <c r="B46" s="18" t="n">
        <v>1385</v>
      </c>
      <c r="C46" s="18" t="n">
        <v>-114</v>
      </c>
      <c r="D46" s="18" t="n">
        <v>221</v>
      </c>
      <c r="E46" s="18" t="n">
        <v>-11</v>
      </c>
      <c r="F46" s="18" t="n">
        <v>-323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-151</v>
      </c>
      <c r="C49" s="18" t="n">
        <v>-190</v>
      </c>
      <c r="D49" s="18" t="n">
        <v>-114</v>
      </c>
      <c r="E49" s="18" t="n">
        <v>-100</v>
      </c>
      <c r="F49" s="18" t="n">
        <v>58</v>
      </c>
    </row>
    <row r="50">
      <c r="A50" s="15" t="inlineStr">
        <is>
          <t>Net Change in Cash</t>
        </is>
      </c>
      <c r="B50" s="16" t="n">
        <v>58</v>
      </c>
      <c r="C50" s="16" t="n">
        <v>12326</v>
      </c>
      <c r="D50" s="16" t="n">
        <v>-9846</v>
      </c>
      <c r="E50" s="16" t="n">
        <v>-1013</v>
      </c>
      <c r="F50" s="16" t="n">
        <v>-977</v>
      </c>
    </row>
    <row r="51">
      <c r="A51" s="17" t="inlineStr">
        <is>
          <t>Cash at Beginning of Period</t>
        </is>
      </c>
      <c r="B51" s="18" t="n">
        <v>6737</v>
      </c>
      <c r="C51" s="18" t="n">
        <v>6795</v>
      </c>
      <c r="D51" s="18" t="n">
        <v>19121</v>
      </c>
      <c r="E51" s="18" t="n">
        <v>9275</v>
      </c>
      <c r="F51" s="18" t="n">
        <v>8262</v>
      </c>
    </row>
    <row r="52">
      <c r="A52" s="26" t="inlineStr">
        <is>
          <t>Cash at End of Period</t>
        </is>
      </c>
      <c r="B52" s="27" t="n">
        <v>6795</v>
      </c>
      <c r="C52" s="27" t="n">
        <v>19121</v>
      </c>
      <c r="D52" s="27" t="n">
        <v>9275</v>
      </c>
      <c r="E52" s="27" t="n">
        <v>8262</v>
      </c>
      <c r="F52" s="27" t="n">
        <v>7285</v>
      </c>
    </row>
    <row r="53">
      <c r="A53" s="26" t="inlineStr">
        <is>
          <t>Free Cash Flow</t>
        </is>
      </c>
      <c r="B53" s="27" t="n">
        <v>21087</v>
      </c>
      <c r="C53" s="27" t="n">
        <v>37628</v>
      </c>
      <c r="D53" s="27" t="n">
        <v>19780</v>
      </c>
      <c r="E53" s="27" t="n">
        <v>15044</v>
      </c>
      <c r="F53" s="27" t="n">
        <v>16592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CVX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1920.28</v>
      </c>
      <c r="C61" s="18" t="n">
        <v>1940.28</v>
      </c>
      <c r="D61" s="18" t="n">
        <v>1880.31</v>
      </c>
      <c r="E61" s="18" t="n">
        <v>1816.6</v>
      </c>
      <c r="F61" s="18" t="n">
        <v>1856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CVX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72485</v>
      </c>
      <c r="C5" s="18" t="n">
        <v>146434</v>
      </c>
      <c r="D5" s="18" t="n">
        <v>151038</v>
      </c>
      <c r="E5" s="18" t="n">
        <v>172308</v>
      </c>
      <c r="F5" s="18" t="n">
        <v>111490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CVX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381251.988</v>
      </c>
      <c r="C5" s="44" t="inlineStr">
        <is>
          <t>FMP marketCap  |  price $191.43</t>
        </is>
      </c>
    </row>
    <row r="6">
      <c r="A6" s="17" t="inlineStr">
        <is>
          <t>Debt  (gross book value, $mm)</t>
        </is>
      </c>
      <c r="B6" s="43" t="n">
        <v>41930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0.04559999999999999</v>
      </c>
      <c r="C12" s="44" t="inlineStr">
        <is>
          <t>FRED series DGS10  |  latest: 2026-05-22</t>
        </is>
      </c>
    </row>
    <row r="13">
      <c r="A13" s="47" t="inlineStr">
        <is>
          <t>► Selected Rf  (override if needed)</t>
        </is>
      </c>
      <c r="B13" s="48" t="n">
        <v>0.0456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0.501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0.666</v>
      </c>
      <c r="C17" s="44" t="inlineStr">
        <is>
          <t>Mean-reversion toward market beta of 1.0</t>
        </is>
      </c>
    </row>
    <row r="18">
      <c r="A18" s="17" t="inlineStr">
        <is>
          <t>Damodaran industry unlevered  (Oil &amp; Gas Integrated)</t>
        </is>
      </c>
      <c r="B18" s="50" t="n">
        <v>0.78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0.11x,  t = 36.8%)</t>
        </is>
      </c>
      <c r="B19" s="50" t="n">
        <v>0.834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0.667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AA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0.0496</v>
      </c>
      <c r="C32" s="44" t="inlineStr">
        <is>
          <t>FRED BAMLC0A2CAAEY — AA</t>
        </is>
      </c>
    </row>
    <row r="33">
      <c r="A33" s="17" t="inlineStr">
        <is>
          <t>Interest Coverage Ratio  (EBIT / Gross Int Exp)</t>
        </is>
      </c>
      <c r="B33" s="50" t="n">
        <v>13.7</v>
      </c>
      <c r="C33" s="44" t="inlineStr">
        <is>
          <t>EBIT $16674mm  /  Int Exp $1217mm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13.7x  →  AAA</t>
        </is>
      </c>
    </row>
    <row r="35">
      <c r="A35" s="17" t="inlineStr">
        <is>
          <t>Synthetic Rd  (Rf + Damodaran default spread)</t>
        </is>
      </c>
      <c r="B35" s="46" t="n">
        <v>0.051</v>
      </c>
      <c r="C35" s="44" t="inlineStr">
        <is>
          <t>Rf 4.56% + spread 0.54%</t>
        </is>
      </c>
    </row>
    <row r="36">
      <c r="A36" s="17" t="inlineStr">
        <is>
          <t>Accounting Rd  (Gross int exp / Avg gross debt)</t>
        </is>
      </c>
      <c r="B36" s="46" t="n">
        <v>0.03695325428515038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0.0459</v>
      </c>
      <c r="C37" s="49" t="inlineStr">
        <is>
          <t>Default = average of 3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0.3676</v>
      </c>
      <c r="C40" s="44" t="inlineStr">
        <is>
          <t>FMP: $7258mm  /  $19743mm</t>
        </is>
      </c>
    </row>
    <row r="41">
      <c r="A41" s="47" t="inlineStr">
        <is>
          <t>► Selected tax rate  (user override)</t>
        </is>
      </c>
      <c r="B41" s="48" t="n">
        <v>0.3676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CVX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0.2548</v>
      </c>
      <c r="H7" s="71" t="n">
        <v>-0.1217</v>
      </c>
      <c r="I7" s="71" t="n">
        <v>-0.0023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0.2483</v>
      </c>
      <c r="H8" s="71" t="n">
        <v>0.2483</v>
      </c>
      <c r="I8" s="71" t="n">
        <v>0.2483</v>
      </c>
      <c r="J8" s="72">
        <f>I8</f>
        <v/>
      </c>
      <c r="K8" s="72">
        <f>I8</f>
        <v/>
      </c>
      <c r="L8" s="73" t="n">
        <v>0.2246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231425.5</v>
      </c>
      <c r="H15" s="77" t="n">
        <v>203267.3</v>
      </c>
      <c r="I15" s="77" t="n">
        <v>202802.4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198,148 — 265,377</t>
        </is>
      </c>
      <c r="H16" s="82" t="inlineStr">
        <is>
          <t>186,868 — 216,325</t>
        </is>
      </c>
      <c r="I16" s="82" t="inlineStr">
        <is>
          <t>201,663 — 203,942</t>
        </is>
      </c>
      <c r="J16" s="82" t="inlineStr">
        <is>
          <t>187,664 — 245,354</t>
        </is>
      </c>
      <c r="K16" s="82" t="inlineStr">
        <is>
          <t>187,680 — 245,375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11</v>
      </c>
      <c r="H17" s="84" t="n">
        <v>10</v>
      </c>
      <c r="I17" s="84" t="n">
        <v>10</v>
      </c>
      <c r="J17" s="85" t="n">
        <v>5</v>
      </c>
      <c r="K17" s="85" t="n">
        <v>5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57459.8</v>
      </c>
      <c r="H20" s="77" t="n">
        <v>50468.6</v>
      </c>
      <c r="I20" s="77" t="n">
        <v>50353.1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49,197 — 65,890</t>
        </is>
      </c>
      <c r="H21" s="82" t="inlineStr">
        <is>
          <t>46,397 — 53,711</t>
        </is>
      </c>
      <c r="I21" s="82" t="inlineStr">
        <is>
          <t>50,070 — 50,636</t>
        </is>
      </c>
      <c r="J21" s="82" t="inlineStr">
        <is>
          <t>46,594 — 60,918</t>
        </is>
      </c>
      <c r="K21" s="82" t="inlineStr">
        <is>
          <t>46,598 — 60,923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LOW (-3.2%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10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LOW (-3.2%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5726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1856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191.43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CVX  |  Master Prompt v2  |  27 May 2026  |  Sector bucket: Cyclical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30.4% ✗ (&gt;40%)  |  GM trend +2.6% ✓ (&gt;+1pp)  |  ROIC-WACC -1.4% ✗ (&gt;+5pp)  |  Rev consistency σ=26.2% ✗ (&lt;8%)  [1/4 indicators positive — proxy score]</t>
        </is>
      </c>
      <c r="E9" s="131" t="inlineStr">
        <is>
          <t>LOW</t>
        </is>
      </c>
      <c r="F9" s="132" t="n">
        <v>2.5</v>
      </c>
      <c r="G9" s="133">
        <f>IF(F9="",0,C9*F9*10)</f>
        <v/>
      </c>
      <c r="H9" s="134" t="inlineStr">
        <is>
          <t>GM 30.4% ✗ (&gt;40%)  |  GM trend +2.6% ✓ (&gt;+1pp)  |  ROIC-WACC -1.4% ✗ (&gt;+5pp)  |  Rev consistency σ=26.2% ✗ (&lt;8%)  [1/4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-12.7% ✗ (&gt;=-2pp)  |  GM maintained +2.6% ✓  |  Op margin -7.9% ✗ (≥-2pp)  |  Capital returns MOD-LOW ✗  |  Share count -0.9%/yr ✓ (net buyback)  |  Goodwill/Equity 2% ✓ (&lt;40%)  [3/6 indicators positive — proxy score]</t>
        </is>
      </c>
      <c r="E11" s="135" t="inlineStr">
        <is>
          <t>MOD-LOW</t>
        </is>
      </c>
      <c r="F11" s="132" t="n">
        <v>5</v>
      </c>
      <c r="G11" s="133">
        <f>IF(F11="",0,C11*F11*10)</f>
        <v/>
      </c>
      <c r="H11" s="134" t="inlineStr">
        <is>
          <t>ROIC trend -12.7% ✗ (&gt;=-2pp)  |  GM maintained +2.6% ✓  |  Op margin -7.9% ✗ (≥-2pp)  |  Capital returns MOD-LOW ✗  |  Share count -0.9%/yr ✓ (net buyback)  |  Goodwill/Equity 2% ✓ (&lt;40%)  [3/6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-7.9%</t>
        </is>
      </c>
      <c r="E13" s="131" t="inlineStr">
        <is>
          <t>LOW</t>
        </is>
      </c>
      <c r="F13" s="132" t="n">
        <v>0</v>
      </c>
      <c r="G13" s="133">
        <f>IF(F13="",0,C13*F13*10)</f>
        <v/>
      </c>
      <c r="H13" s="134" t="inlineStr">
        <is>
          <t>-7.9%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106%  [through-cycle: 5yr median, latest 134.9% → smoothed 106.1%]</t>
        </is>
      </c>
      <c r="E14" s="136" t="inlineStr">
        <is>
          <t>HIGH</t>
        </is>
      </c>
      <c r="F14" s="132" t="n">
        <v>10</v>
      </c>
      <c r="G14" s="133">
        <f>IF(F14="",0,C14*F14*10)</f>
        <v/>
      </c>
      <c r="H14" s="134" t="inlineStr">
        <is>
          <t>106%  [through-cycle: 5yr median, latest 134.9% → smoothed 106.1%]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$11,855mm latest FY — debt-funded  [payout 71% of FCF]</t>
        </is>
      </c>
      <c r="E15" s="135" t="inlineStr">
        <is>
          <t>MOD-LOW</t>
        </is>
      </c>
      <c r="F15" s="132" t="n">
        <v>3</v>
      </c>
      <c r="G15" s="133">
        <f>IF(F15="",0,C15*F15*10)</f>
        <v/>
      </c>
      <c r="H15" s="134" t="inlineStr">
        <is>
          <t>$11,855mm latest FY — debt-funded  [payout 71% of FCF]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11.1%  [trend penalty: declined &gt;5pp vs 3yr ago]  [through-cycle: 5yr median, latest 4.8% → smoothed 11.1%]</t>
        </is>
      </c>
      <c r="E16" s="135" t="inlineStr">
        <is>
          <t>MOD-LOW</t>
        </is>
      </c>
      <c r="F16" s="132" t="n">
        <v>4.15</v>
      </c>
      <c r="G16" s="133">
        <f>IF(F16="",0,C16*F16*10)</f>
        <v/>
      </c>
      <c r="H16" s="134" t="inlineStr">
        <is>
          <t>11.1%  [trend penalty: declined &gt;5pp vs 3yr ago]  [through-cycle: 5yr median, latest 4.8% → smoothed 11.1%]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0.5x  [through-cycle: 5yr median, latest 1.0x → smoothed 0.5x]</t>
        </is>
      </c>
      <c r="E18" s="136" t="inlineStr">
        <is>
          <t>HIGH</t>
        </is>
      </c>
      <c r="F18" s="132" t="n">
        <v>10</v>
      </c>
      <c r="G18" s="133">
        <f>IF(F18="",0,C18*F18*10)</f>
        <v/>
      </c>
      <c r="H18" s="134" t="inlineStr">
        <is>
          <t>0.5x  [through-cycle: 5yr median, latest 1.0x → smoothed 0.5x]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13.7x</t>
        </is>
      </c>
      <c r="E19" s="136" t="inlineStr">
        <is>
          <t>HIGH</t>
        </is>
      </c>
      <c r="F19" s="132" t="n">
        <v>10</v>
      </c>
      <c r="G19" s="133">
        <f>IF(F19="",0,C19*F19*10)</f>
        <v/>
      </c>
      <c r="H19" s="134" t="inlineStr">
        <is>
          <t>13.7x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σ=26.2%  |  OM trend -1.3%, σ=3.4%  [quality = direction + stability]</t>
        </is>
      </c>
      <c r="E20" s="135" t="inlineStr">
        <is>
          <t>MOD-LOW</t>
        </is>
      </c>
      <c r="F20" s="132" t="n">
        <v>3.33</v>
      </c>
      <c r="G20" s="133">
        <f>IF(F20="",0,C20*F20*10)</f>
        <v/>
      </c>
      <c r="H20" s="134" t="inlineStr">
        <is>
          <t>Rev growth σ=26.2%  |  OM trend -1.3%, σ=3.4%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Fwd P/E 14.1x (scoring basis)  |  5yr avg 16.6x  |  DCF-implied 26.5x [ref only — not used as benchmark]  [-15% vs benchmark]  [trail=9.26 | fwd_pe=14.1x→9.26 | abs=12.0 → blended 40/40/20=9.81]  PEG=13.56 (fwd_pe=14.1x / eps_growth=104%)  [revision:Strong upgrade cycle→+0.50]</t>
        </is>
      </c>
      <c r="E22" s="136" t="inlineStr">
        <is>
          <t>HIGH</t>
        </is>
      </c>
      <c r="F22" s="132" t="n">
        <v>10.31</v>
      </c>
      <c r="G22" s="133">
        <f>IF(F22="",0,C22*F22*10)</f>
        <v/>
      </c>
      <c r="H22" s="134" t="inlineStr">
        <is>
          <t>Fwd P/E 14.1x (scoring basis)  |  5yr avg 16.6x  |  DCF-implied 26.5x [ref only — not used as benchmark]  [-15% vs benchmark]  [trail=9.26 | fwd_pe=14.1x→9.26 | abs=12.0 → blended 40/40/20=9.81]  PEG=13.56 (fwd_pe=14.1x / eps_growth=104%)  [revision:Strong upgrade cycle→+0.50]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17.0x  |  5yr avg 14.4x  |  DCF-implied 19.6x [ref only — not used as benchmark]  [+18% vs benchmark]  [trail=4.11 | fwd_pfcf=17.2x→3.89 | abs=10.0 → blended 40/40/20=5.20]</t>
        </is>
      </c>
      <c r="E23" s="135" t="inlineStr">
        <is>
          <t>MOD-LOW</t>
        </is>
      </c>
      <c r="F23" s="132" t="n">
        <v>5.2</v>
      </c>
      <c r="G23" s="133">
        <f>IF(F23="",0,C23*F23*10)</f>
        <v/>
      </c>
      <c r="H23" s="134" t="inlineStr">
        <is>
          <t>Current 17.0x  |  5yr avg 14.4x  |  DCF-implied 19.6x [ref only — not used as benchmark]  [+18% vs benchmark]  [trail=4.11 | fwd_pfcf=17.2x→3.89 | abs=10.0 → blended 40/40/20=5.20]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2026-05-27T02:25:38Z</dcterms:created>
  <dcterms:modified xmlns:dcterms="http://purl.org/dc/terms/" xmlns:xsi="http://www.w3.org/2001/XMLSchema-instance" xsi:type="dcterms:W3CDTF">2026-05-27T02:25:49Z</dcterms:modified>
</cp:coreProperties>
</file>