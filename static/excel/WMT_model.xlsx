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33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WMT — Financial Model</t>
        </is>
      </c>
    </row>
    <row r="2" ht="14" customHeight="1">
      <c r="A2" s="2" t="inlineStr">
        <is>
          <t>Source: Financial Modeling Prep API  |  All figures USD millions  |  FY 2022–2026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2026</t>
        </is>
      </c>
    </row>
    <row r="7">
      <c r="A7" s="3" t="inlineStr">
        <is>
          <t>Revenue ($mm)</t>
        </is>
      </c>
      <c r="B7" s="7" t="n">
        <v>713163</v>
      </c>
    </row>
    <row r="8">
      <c r="A8" s="3" t="inlineStr">
        <is>
          <t>Gross Profit ($mm)</t>
        </is>
      </c>
      <c r="B8" s="7" t="n">
        <v>177768</v>
      </c>
    </row>
    <row r="9">
      <c r="A9" s="3" t="inlineStr">
        <is>
          <t>EBITDA ($mm)</t>
        </is>
      </c>
      <c r="B9" s="7" t="n">
        <v>46471</v>
      </c>
    </row>
    <row r="10">
      <c r="A10" s="3" t="inlineStr">
        <is>
          <t>EBIT ($mm)</t>
        </is>
      </c>
      <c r="B10" s="7" t="n">
        <v>29825</v>
      </c>
    </row>
    <row r="11">
      <c r="A11" s="3" t="inlineStr">
        <is>
          <t>Net Income ($mm)</t>
        </is>
      </c>
      <c r="B11" s="7" t="n">
        <v>21893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WMT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572754</v>
      </c>
      <c r="C5" s="16" t="n">
        <v>611289</v>
      </c>
      <c r="D5" s="16" t="n">
        <v>648125</v>
      </c>
      <c r="E5" s="16" t="n">
        <v>680985</v>
      </c>
      <c r="F5" s="16" t="n">
        <v>713163</v>
      </c>
    </row>
    <row r="6">
      <c r="A6" s="17" t="inlineStr">
        <is>
          <t>(2)  Cost of Revenue (COGS)</t>
        </is>
      </c>
      <c r="B6" s="18" t="n">
        <v>429000</v>
      </c>
      <c r="C6" s="18" t="n">
        <v>463721</v>
      </c>
      <c r="D6" s="18" t="n">
        <v>490142</v>
      </c>
      <c r="E6" s="18" t="n">
        <v>511753</v>
      </c>
      <c r="F6" s="18" t="n">
        <v>535395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117812</v>
      </c>
      <c r="C9" s="18" t="n">
        <v>127140</v>
      </c>
      <c r="D9" s="18" t="n">
        <v>130971</v>
      </c>
      <c r="E9" s="18" t="n">
        <v>139884</v>
      </c>
      <c r="F9" s="18" t="n">
        <v>147943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117812</v>
      </c>
      <c r="C11" s="18" t="n">
        <v>127140</v>
      </c>
      <c r="D11" s="18" t="n">
        <v>130971</v>
      </c>
      <c r="E11" s="18" t="n">
        <v>139884</v>
      </c>
      <c r="F11" s="18" t="n">
        <v>147943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10658</v>
      </c>
      <c r="C14" s="18" t="n">
        <v>10945</v>
      </c>
      <c r="D14" s="18" t="n">
        <v>11853</v>
      </c>
      <c r="E14" s="18" t="n">
        <v>12973</v>
      </c>
      <c r="F14" s="18" t="n">
        <v>14203</v>
      </c>
    </row>
    <row r="15">
      <c r="A15" s="19" t="inlineStr">
        <is>
          <t>(8)  EBIT (Operating Income)</t>
        </is>
      </c>
      <c r="B15" s="24" t="n">
        <v>25942</v>
      </c>
      <c r="C15" s="24" t="n">
        <v>20428</v>
      </c>
      <c r="D15" s="24" t="n">
        <v>27012</v>
      </c>
      <c r="E15" s="24" t="n">
        <v>29348</v>
      </c>
      <c r="F15" s="24" t="n">
        <v>29825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1994</v>
      </c>
      <c r="C17" s="18" t="n">
        <v>2128</v>
      </c>
      <c r="D17" s="18" t="n">
        <v>2683</v>
      </c>
      <c r="E17" s="18" t="n">
        <v>2728</v>
      </c>
      <c r="F17" s="18" t="n">
        <v>2799</v>
      </c>
    </row>
    <row r="18">
      <c r="A18" s="21" t="inlineStr">
        <is>
          <t xml:space="preserve">     Interest Income</t>
        </is>
      </c>
      <c r="B18" s="18" t="n">
        <v>158</v>
      </c>
      <c r="C18" s="18" t="n">
        <v>254</v>
      </c>
      <c r="D18" s="18" t="n">
        <v>546</v>
      </c>
      <c r="E18" s="18" t="n">
        <v>483</v>
      </c>
      <c r="F18" s="18" t="n">
        <v>368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18696</v>
      </c>
      <c r="C21" s="24" t="n">
        <v>17016</v>
      </c>
      <c r="D21" s="24" t="n">
        <v>21848</v>
      </c>
      <c r="E21" s="24" t="n">
        <v>26309</v>
      </c>
      <c r="F21" s="24" t="n">
        <v>29469</v>
      </c>
    </row>
    <row r="22">
      <c r="A22" s="17" t="inlineStr">
        <is>
          <t>(11) Income Tax Expense</t>
        </is>
      </c>
      <c r="B22" s="18" t="n">
        <v>4756</v>
      </c>
      <c r="C22" s="18" t="n">
        <v>5724</v>
      </c>
      <c r="D22" s="18" t="n">
        <v>5578</v>
      </c>
      <c r="E22" s="18" t="n">
        <v>6152</v>
      </c>
      <c r="F22" s="18" t="n">
        <v>7199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13673</v>
      </c>
      <c r="C24" s="24" t="n">
        <v>11680</v>
      </c>
      <c r="D24" s="24" t="n">
        <v>15511</v>
      </c>
      <c r="E24" s="24" t="n">
        <v>19436</v>
      </c>
      <c r="F24" s="24" t="n">
        <v>21893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2022</t>
        </is>
      </c>
      <c r="C28" s="14" t="inlineStr">
        <is>
          <t>2023</t>
        </is>
      </c>
      <c r="D28" s="14" t="inlineStr">
        <is>
          <t>2024</t>
        </is>
      </c>
      <c r="E28" s="14" t="inlineStr">
        <is>
          <t>2025</t>
        </is>
      </c>
      <c r="F28" s="14" t="inlineStr">
        <is>
          <t>2026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572754</v>
      </c>
      <c r="C30" s="16" t="n">
        <v>611289</v>
      </c>
      <c r="D30" s="16" t="n">
        <v>648125</v>
      </c>
      <c r="E30" s="16" t="n">
        <v>680985</v>
      </c>
      <c r="F30" s="16" t="n">
        <v>713163</v>
      </c>
    </row>
    <row r="31">
      <c r="A31" s="17" t="inlineStr">
        <is>
          <t>Cost of Revenue</t>
        </is>
      </c>
      <c r="B31" s="18" t="n">
        <v>429000</v>
      </c>
      <c r="C31" s="18" t="n">
        <v>463721</v>
      </c>
      <c r="D31" s="18" t="n">
        <v>490142</v>
      </c>
      <c r="E31" s="18" t="n">
        <v>511753</v>
      </c>
      <c r="F31" s="18" t="n">
        <v>535395</v>
      </c>
    </row>
    <row r="32">
      <c r="A32" s="26" t="inlineStr">
        <is>
          <t>Gross Profit</t>
        </is>
      </c>
      <c r="B32" s="27" t="n">
        <v>143754</v>
      </c>
      <c r="C32" s="27" t="n">
        <v>147568</v>
      </c>
      <c r="D32" s="27" t="n">
        <v>157983</v>
      </c>
      <c r="E32" s="27" t="n">
        <v>169232</v>
      </c>
      <c r="F32" s="27" t="n">
        <v>177768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117812</v>
      </c>
      <c r="C35" s="18" t="n">
        <v>127140</v>
      </c>
      <c r="D35" s="18" t="n">
        <v>130971</v>
      </c>
      <c r="E35" s="18" t="n">
        <v>139884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117812</v>
      </c>
      <c r="C37" s="18" t="n">
        <v>127140</v>
      </c>
      <c r="D37" s="18" t="n">
        <v>130971</v>
      </c>
      <c r="E37" s="18" t="n">
        <v>139884</v>
      </c>
      <c r="F37" s="18" t="n">
        <v>147943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117812</v>
      </c>
      <c r="C39" s="27" t="n">
        <v>127140</v>
      </c>
      <c r="D39" s="27" t="n">
        <v>130971</v>
      </c>
      <c r="E39" s="27" t="n">
        <v>139884</v>
      </c>
      <c r="F39" s="27" t="n">
        <v>147943</v>
      </c>
    </row>
    <row r="40">
      <c r="A40" s="17" t="inlineStr">
        <is>
          <t>Cost &amp; Expenses (COGS + Opex)</t>
        </is>
      </c>
      <c r="B40" s="18" t="n">
        <v>546812</v>
      </c>
      <c r="C40" s="18" t="n">
        <v>590861</v>
      </c>
      <c r="D40" s="18" t="n">
        <v>621113</v>
      </c>
      <c r="E40" s="18" t="n">
        <v>651637</v>
      </c>
      <c r="F40" s="18" t="n">
        <v>683338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25942</v>
      </c>
      <c r="C42" s="16" t="n">
        <v>20428</v>
      </c>
      <c r="D42" s="16" t="n">
        <v>27012</v>
      </c>
      <c r="E42" s="16" t="n">
        <v>29348</v>
      </c>
      <c r="F42" s="16" t="n">
        <v>29825</v>
      </c>
    </row>
    <row r="43">
      <c r="A43" s="17" t="inlineStr">
        <is>
          <t>EBIT (FMP field)</t>
        </is>
      </c>
      <c r="B43" s="18" t="n">
        <v>20690</v>
      </c>
      <c r="C43" s="18" t="n">
        <v>19144</v>
      </c>
      <c r="D43" s="18" t="n">
        <v>24531</v>
      </c>
      <c r="E43" s="18" t="n">
        <v>29037</v>
      </c>
      <c r="F43" s="18" t="n">
        <v>32268</v>
      </c>
    </row>
    <row r="44">
      <c r="A44" s="26" t="inlineStr">
        <is>
          <t>EBITDA</t>
        </is>
      </c>
      <c r="B44" s="27" t="n">
        <v>31348</v>
      </c>
      <c r="C44" s="27" t="n">
        <v>30089</v>
      </c>
      <c r="D44" s="27" t="n">
        <v>36384</v>
      </c>
      <c r="E44" s="27" t="n">
        <v>42010</v>
      </c>
      <c r="F44" s="27" t="n">
        <v>46471</v>
      </c>
    </row>
    <row r="45">
      <c r="A45" s="17" t="inlineStr">
        <is>
          <t>Depreciation &amp; Amortisation</t>
        </is>
      </c>
      <c r="B45" s="18" t="n">
        <v>10658</v>
      </c>
      <c r="C45" s="18" t="n">
        <v>10945</v>
      </c>
      <c r="D45" s="18" t="n">
        <v>11853</v>
      </c>
      <c r="E45" s="18" t="n">
        <v>12973</v>
      </c>
      <c r="F45" s="18" t="n">
        <v>14203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158</v>
      </c>
      <c r="C47" s="18" t="n">
        <v>254</v>
      </c>
      <c r="D47" s="18" t="n">
        <v>546</v>
      </c>
      <c r="E47" s="18" t="n">
        <v>483</v>
      </c>
      <c r="F47" s="18" t="n">
        <v>368</v>
      </c>
    </row>
    <row r="48">
      <c r="A48" s="17" t="inlineStr">
        <is>
          <t>Interest Expense</t>
        </is>
      </c>
      <c r="B48" s="18" t="n">
        <v>1994</v>
      </c>
      <c r="C48" s="18" t="n">
        <v>2128</v>
      </c>
      <c r="D48" s="18" t="n">
        <v>2683</v>
      </c>
      <c r="E48" s="18" t="n">
        <v>2728</v>
      </c>
      <c r="F48" s="18" t="n">
        <v>2799</v>
      </c>
    </row>
    <row r="49">
      <c r="A49" s="17" t="inlineStr">
        <is>
          <t>Net Interest Income</t>
        </is>
      </c>
      <c r="B49" s="18" t="n">
        <v>-1836</v>
      </c>
      <c r="C49" s="18" t="n">
        <v>-1874</v>
      </c>
      <c r="D49" s="18" t="n">
        <v>-2137</v>
      </c>
      <c r="E49" s="18" t="n">
        <v>-2245</v>
      </c>
      <c r="F49" s="18" t="n">
        <v>-2431</v>
      </c>
    </row>
    <row r="50">
      <c r="A50" s="17" t="inlineStr">
        <is>
          <t>Non-Operating Income (ex-interest)</t>
        </is>
      </c>
      <c r="B50" s="18" t="n">
        <v>5252</v>
      </c>
      <c r="C50" s="18" t="n">
        <v>1284</v>
      </c>
      <c r="D50" s="18" t="n">
        <v>2481</v>
      </c>
      <c r="E50" s="18" t="n">
        <v>311</v>
      </c>
      <c r="F50" s="18" t="n">
        <v>-2443</v>
      </c>
    </row>
    <row r="51">
      <c r="A51" s="17" t="inlineStr">
        <is>
          <t>Total Other Income / (Expenses)</t>
        </is>
      </c>
      <c r="B51" s="18" t="n">
        <v>-7246</v>
      </c>
      <c r="C51" s="18" t="n">
        <v>-3412</v>
      </c>
      <c r="D51" s="18" t="n">
        <v>-5164</v>
      </c>
      <c r="E51" s="18" t="n">
        <v>-3039</v>
      </c>
      <c r="F51" s="18" t="n">
        <v>-356</v>
      </c>
    </row>
    <row r="52">
      <c r="A52" s="26" t="inlineStr">
        <is>
          <t>EBT / Income Before Tax</t>
        </is>
      </c>
      <c r="B52" s="27" t="n">
        <v>18696</v>
      </c>
      <c r="C52" s="27" t="n">
        <v>17016</v>
      </c>
      <c r="D52" s="27" t="n">
        <v>21848</v>
      </c>
      <c r="E52" s="27" t="n">
        <v>26309</v>
      </c>
      <c r="F52" s="27" t="n">
        <v>29469</v>
      </c>
    </row>
    <row r="53">
      <c r="A53" s="17" t="inlineStr">
        <is>
          <t>Income Tax Expense</t>
        </is>
      </c>
      <c r="B53" s="18" t="n">
        <v>4756</v>
      </c>
      <c r="C53" s="18" t="n">
        <v>5724</v>
      </c>
      <c r="D53" s="18" t="n">
        <v>5578</v>
      </c>
      <c r="E53" s="18" t="n">
        <v>6152</v>
      </c>
      <c r="F53" s="18" t="n">
        <v>7199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13940</v>
      </c>
      <c r="C55" s="18" t="n">
        <v>11292</v>
      </c>
      <c r="D55" s="18" t="n">
        <v>16270</v>
      </c>
      <c r="E55" s="18" t="n">
        <v>20157</v>
      </c>
      <c r="F55" s="18" t="n">
        <v>22270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13673</v>
      </c>
      <c r="C59" s="27" t="n">
        <v>11680</v>
      </c>
      <c r="D59" s="27" t="n">
        <v>15511</v>
      </c>
      <c r="E59" s="27" t="n">
        <v>19436</v>
      </c>
      <c r="F59" s="27" t="n">
        <v>21893</v>
      </c>
    </row>
    <row r="60">
      <c r="A60" s="15" t="inlineStr">
        <is>
          <t>Bottom Line Net Income</t>
        </is>
      </c>
      <c r="B60" s="16" t="n">
        <v>13673</v>
      </c>
      <c r="C60" s="16" t="n">
        <v>11680</v>
      </c>
      <c r="D60" s="16" t="n">
        <v>15511</v>
      </c>
      <c r="E60" s="16" t="n">
        <v>19436</v>
      </c>
      <c r="F60" s="16" t="n">
        <v>21893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1.63</v>
      </c>
      <c r="C62" s="18" t="n">
        <v>1.43</v>
      </c>
      <c r="D62" s="18" t="n">
        <v>1.92</v>
      </c>
      <c r="E62" s="18" t="n">
        <v>2.42</v>
      </c>
      <c r="F62" s="18" t="n">
        <v>2.74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8376</v>
      </c>
      <c r="C64" s="18" t="n">
        <v>8172</v>
      </c>
      <c r="D64" s="18" t="n">
        <v>8077.01</v>
      </c>
      <c r="E64" s="18" t="n">
        <v>8041</v>
      </c>
      <c r="F64" s="18" t="n">
        <v>7983</v>
      </c>
    </row>
    <row r="65">
      <c r="A65" s="17" t="inlineStr">
        <is>
          <t>Shares Outstanding — Diluted (mm)</t>
        </is>
      </c>
      <c r="B65" s="18" t="n">
        <v>8415</v>
      </c>
      <c r="C65" s="18" t="n">
        <v>8202</v>
      </c>
      <c r="D65" s="18" t="n">
        <v>8109</v>
      </c>
      <c r="E65" s="18" t="n">
        <v>8081</v>
      </c>
      <c r="F65" s="18" t="n">
        <v>8022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WMT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14760</v>
      </c>
      <c r="C5" s="18" t="n">
        <v>8625</v>
      </c>
      <c r="D5" s="18" t="n">
        <v>9867</v>
      </c>
      <c r="E5" s="18" t="n">
        <v>9037</v>
      </c>
      <c r="F5" s="18" t="n">
        <v>10727</v>
      </c>
    </row>
    <row r="6">
      <c r="A6" s="17" t="inlineStr">
        <is>
          <t>(2)  Receivables</t>
        </is>
      </c>
      <c r="B6" s="18" t="n">
        <v>8280</v>
      </c>
      <c r="C6" s="18" t="n">
        <v>7933</v>
      </c>
      <c r="D6" s="18" t="n">
        <v>8796</v>
      </c>
      <c r="E6" s="18" t="n">
        <v>9975</v>
      </c>
      <c r="F6" s="18" t="n">
        <v>11172</v>
      </c>
    </row>
    <row r="7">
      <c r="A7" s="17" t="inlineStr">
        <is>
          <t>(3)  Inventory</t>
        </is>
      </c>
      <c r="B7" s="18" t="n">
        <v>56511</v>
      </c>
      <c r="C7" s="18" t="n">
        <v>56576</v>
      </c>
      <c r="D7" s="18" t="n">
        <v>54892</v>
      </c>
      <c r="E7" s="18" t="n">
        <v>56435</v>
      </c>
      <c r="F7" s="18" t="n">
        <v>58851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81070</v>
      </c>
      <c r="C9" s="24" t="n">
        <v>75655</v>
      </c>
      <c r="D9" s="24" t="n">
        <v>76877</v>
      </c>
      <c r="E9" s="24" t="n">
        <v>79458</v>
      </c>
      <c r="F9" s="24" t="n">
        <v>84874</v>
      </c>
    </row>
    <row r="10">
      <c r="A10" s="17" t="inlineStr">
        <is>
          <t>(6)  PP&amp;E (Net)</t>
        </is>
      </c>
      <c r="B10" s="18" t="n">
        <v>112624</v>
      </c>
      <c r="C10" s="18" t="n">
        <v>119234</v>
      </c>
      <c r="D10" s="18" t="n">
        <v>130338</v>
      </c>
      <c r="E10" s="18" t="n">
        <v>139704</v>
      </c>
      <c r="F10" s="18" t="n">
        <v>156956</v>
      </c>
    </row>
    <row r="11">
      <c r="A11" s="17" t="inlineStr">
        <is>
          <t>(7)  Goodwill</t>
        </is>
      </c>
      <c r="B11" s="18" t="n">
        <v>29014</v>
      </c>
      <c r="C11" s="18" t="n">
        <v>28174</v>
      </c>
      <c r="D11" s="18" t="n">
        <v>28113</v>
      </c>
      <c r="E11" s="18" t="n">
        <v>28792</v>
      </c>
      <c r="F11" s="18" t="n">
        <v>28735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163790</v>
      </c>
      <c r="C14" s="24" t="n">
        <v>167542</v>
      </c>
      <c r="D14" s="24" t="n">
        <v>175522</v>
      </c>
      <c r="E14" s="24" t="n">
        <v>181365</v>
      </c>
      <c r="F14" s="24" t="n">
        <v>199794</v>
      </c>
    </row>
    <row r="15">
      <c r="A15" s="19" t="inlineStr">
        <is>
          <t>(11) Total Assets</t>
        </is>
      </c>
      <c r="B15" s="24" t="n">
        <v>244860</v>
      </c>
      <c r="C15" s="24" t="n">
        <v>243197</v>
      </c>
      <c r="D15" s="24" t="n">
        <v>252399</v>
      </c>
      <c r="E15" s="24" t="n">
        <v>260823</v>
      </c>
      <c r="F15" s="24" t="n">
        <v>284668</v>
      </c>
    </row>
    <row r="16" ht="6" customHeight="1"/>
    <row r="17">
      <c r="A17" s="17" t="inlineStr">
        <is>
          <t>(12) Accounts Payable</t>
        </is>
      </c>
      <c r="B17" s="18" t="n">
        <v>55261</v>
      </c>
      <c r="C17" s="18" t="n">
        <v>53742</v>
      </c>
      <c r="D17" s="18" t="n">
        <v>56812</v>
      </c>
      <c r="E17" s="18" t="n">
        <v>58666</v>
      </c>
      <c r="F17" s="18" t="n">
        <v>63061</v>
      </c>
    </row>
    <row r="18">
      <c r="A18" s="17" t="inlineStr">
        <is>
          <t>(13) Short-Term Borrowings</t>
        </is>
      </c>
      <c r="B18" s="18" t="n">
        <v>3213</v>
      </c>
      <c r="C18" s="18" t="n">
        <v>4563</v>
      </c>
      <c r="D18" s="18" t="n">
        <v>4325</v>
      </c>
      <c r="E18" s="18" t="n">
        <v>5666</v>
      </c>
      <c r="F18" s="18" t="n">
        <v>10138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87379</v>
      </c>
      <c r="C21" s="24" t="n">
        <v>92198</v>
      </c>
      <c r="D21" s="24" t="n">
        <v>92415</v>
      </c>
      <c r="E21" s="24" t="n">
        <v>96584</v>
      </c>
      <c r="F21" s="24" t="n">
        <v>107469</v>
      </c>
    </row>
    <row r="22">
      <c r="A22" s="17" t="inlineStr">
        <is>
          <t>(17) Long-Term Debt</t>
        </is>
      </c>
      <c r="B22" s="18" t="n">
        <v>34864</v>
      </c>
      <c r="C22" s="18" t="n">
        <v>34649</v>
      </c>
      <c r="D22" s="18" t="n">
        <v>36132</v>
      </c>
      <c r="E22" s="18" t="n">
        <v>33401</v>
      </c>
      <c r="F22" s="18" t="n">
        <v>34624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152969</v>
      </c>
      <c r="C25" s="24" t="n">
        <v>159206</v>
      </c>
      <c r="D25" s="24" t="n">
        <v>161828</v>
      </c>
      <c r="E25" s="24" t="n">
        <v>163131</v>
      </c>
      <c r="F25" s="24" t="n">
        <v>178488</v>
      </c>
    </row>
    <row r="26" ht="6" customHeight="1"/>
    <row r="27">
      <c r="A27" s="17" t="inlineStr">
        <is>
          <t>(21) Common Stock &amp; APIC</t>
        </is>
      </c>
      <c r="B27" s="18" t="n">
        <v>276</v>
      </c>
      <c r="C27" s="18" t="n">
        <v>808</v>
      </c>
      <c r="D27" s="18" t="n">
        <v>805</v>
      </c>
      <c r="E27" s="18" t="n">
        <v>802</v>
      </c>
      <c r="F27" s="18" t="n">
        <v>797</v>
      </c>
    </row>
    <row r="28">
      <c r="A28" s="17" t="inlineStr">
        <is>
          <t>(22) Retained Earnings</t>
        </is>
      </c>
      <c r="B28" s="18" t="n">
        <v>86904</v>
      </c>
      <c r="C28" s="18" t="n">
        <v>83135</v>
      </c>
      <c r="D28" s="18" t="n">
        <v>89814</v>
      </c>
      <c r="E28" s="18" t="n">
        <v>98313</v>
      </c>
      <c r="F28" s="18" t="n">
        <v>104774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83253</v>
      </c>
      <c r="C30" s="24" t="n">
        <v>76693</v>
      </c>
      <c r="D30" s="24" t="n">
        <v>83861</v>
      </c>
      <c r="E30" s="24" t="n">
        <v>91013</v>
      </c>
      <c r="F30" s="24" t="n">
        <v>99617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2022</t>
        </is>
      </c>
      <c r="C34" s="14" t="inlineStr">
        <is>
          <t>2023</t>
        </is>
      </c>
      <c r="D34" s="14" t="inlineStr">
        <is>
          <t>2024</t>
        </is>
      </c>
      <c r="E34" s="14" t="inlineStr">
        <is>
          <t>2025</t>
        </is>
      </c>
      <c r="F34" s="14" t="inlineStr">
        <is>
          <t>2026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14760</v>
      </c>
      <c r="C36" s="18" t="n">
        <v>8625</v>
      </c>
      <c r="D36" s="18" t="n">
        <v>9867</v>
      </c>
      <c r="E36" s="18" t="n">
        <v>9037</v>
      </c>
      <c r="F36" s="18" t="n">
        <v>10727</v>
      </c>
    </row>
    <row r="37">
      <c r="A37" s="17" t="inlineStr">
        <is>
          <t>Short-Term Investments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18" t="n">
        <v>0</v>
      </c>
    </row>
    <row r="38">
      <c r="A38" s="28" t="inlineStr">
        <is>
          <t>Cash &amp; Short-Term Investments</t>
        </is>
      </c>
      <c r="B38" s="29" t="n">
        <v>14760</v>
      </c>
      <c r="C38" s="29" t="n">
        <v>8625</v>
      </c>
      <c r="D38" s="29" t="n">
        <v>9867</v>
      </c>
      <c r="E38" s="29" t="n">
        <v>9037</v>
      </c>
      <c r="F38" s="29" t="n">
        <v>10727</v>
      </c>
    </row>
    <row r="39">
      <c r="A39" s="17" t="inlineStr">
        <is>
          <t>Accounts Receivable (Trade)</t>
        </is>
      </c>
      <c r="B39" s="18" t="n">
        <v>8280</v>
      </c>
      <c r="C39" s="18" t="n">
        <v>7933</v>
      </c>
      <c r="D39" s="18" t="n">
        <v>8796</v>
      </c>
      <c r="E39" s="18" t="n">
        <v>9975</v>
      </c>
      <c r="F39" s="18" t="n">
        <v>11172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8280</v>
      </c>
      <c r="C41" s="29" t="n">
        <v>7933</v>
      </c>
      <c r="D41" s="29" t="n">
        <v>8796</v>
      </c>
      <c r="E41" s="29" t="n">
        <v>9975</v>
      </c>
      <c r="F41" s="29" t="n">
        <v>11172</v>
      </c>
    </row>
    <row r="42">
      <c r="A42" s="17" t="inlineStr">
        <is>
          <t>Inventory</t>
        </is>
      </c>
      <c r="B42" s="18" t="n">
        <v>56511</v>
      </c>
      <c r="C42" s="18" t="n">
        <v>56576</v>
      </c>
      <c r="D42" s="18" t="n">
        <v>54892</v>
      </c>
      <c r="E42" s="18" t="n">
        <v>56435</v>
      </c>
      <c r="F42" s="18" t="n">
        <v>58851</v>
      </c>
    </row>
    <row r="43">
      <c r="A43" s="17" t="inlineStr">
        <is>
          <t>Prepaids</t>
        </is>
      </c>
      <c r="B43" s="18" t="n">
        <v>1519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2521</v>
      </c>
      <c r="D44" s="18" t="n">
        <v>3322</v>
      </c>
      <c r="E44" s="18" t="n">
        <v>4011</v>
      </c>
      <c r="F44" s="18" t="n">
        <v>4124</v>
      </c>
    </row>
    <row r="45">
      <c r="A45" s="26" t="inlineStr">
        <is>
          <t>Total Current Assets</t>
        </is>
      </c>
      <c r="B45" s="27" t="n">
        <v>81070</v>
      </c>
      <c r="C45" s="27" t="n">
        <v>75655</v>
      </c>
      <c r="D45" s="27" t="n">
        <v>76877</v>
      </c>
      <c r="E45" s="27" t="n">
        <v>79458</v>
      </c>
      <c r="F45" s="27" t="n">
        <v>84874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112624</v>
      </c>
      <c r="C47" s="18" t="n">
        <v>119234</v>
      </c>
      <c r="D47" s="18" t="n">
        <v>130338</v>
      </c>
      <c r="E47" s="18" t="n">
        <v>139704</v>
      </c>
      <c r="F47" s="18" t="n">
        <v>156956</v>
      </c>
    </row>
    <row r="48">
      <c r="A48" s="17" t="inlineStr">
        <is>
          <t>Goodwill</t>
        </is>
      </c>
      <c r="B48" s="18" t="n">
        <v>29014</v>
      </c>
      <c r="C48" s="18" t="n">
        <v>28174</v>
      </c>
      <c r="D48" s="18" t="n">
        <v>28113</v>
      </c>
      <c r="E48" s="18" t="n">
        <v>28792</v>
      </c>
      <c r="F48" s="18" t="n">
        <v>28735</v>
      </c>
    </row>
    <row r="49">
      <c r="A49" s="17" t="inlineStr">
        <is>
          <t>Intangible Assets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0</v>
      </c>
      <c r="C52" s="18" t="n">
        <v>0</v>
      </c>
      <c r="D52" s="18" t="n">
        <v>0</v>
      </c>
      <c r="E52" s="18" t="n">
        <v>0</v>
      </c>
      <c r="F52" s="18" t="n">
        <v>0</v>
      </c>
    </row>
    <row r="53">
      <c r="A53" s="17" t="inlineStr">
        <is>
          <t>Other Non-Current Assets</t>
        </is>
      </c>
      <c r="B53" s="18" t="n">
        <v>22152</v>
      </c>
      <c r="C53" s="18" t="n">
        <v>20134</v>
      </c>
      <c r="D53" s="18" t="n">
        <v>17071</v>
      </c>
      <c r="E53" s="18" t="n">
        <v>12869</v>
      </c>
      <c r="F53" s="18" t="n">
        <v>14103</v>
      </c>
    </row>
    <row r="54">
      <c r="A54" s="26" t="inlineStr">
        <is>
          <t>Total Non-Current Assets</t>
        </is>
      </c>
      <c r="B54" s="27" t="n">
        <v>163790</v>
      </c>
      <c r="C54" s="27" t="n">
        <v>167542</v>
      </c>
      <c r="D54" s="27" t="n">
        <v>175522</v>
      </c>
      <c r="E54" s="27" t="n">
        <v>181365</v>
      </c>
      <c r="F54" s="27" t="n">
        <v>199794</v>
      </c>
    </row>
    <row r="55">
      <c r="A55" s="13" t="inlineStr">
        <is>
          <t>TOTAL ASSETS</t>
        </is>
      </c>
      <c r="B55" s="30" t="n">
        <v>244860</v>
      </c>
      <c r="C55" s="30" t="n">
        <v>243197</v>
      </c>
      <c r="D55" s="30" t="n">
        <v>252399</v>
      </c>
      <c r="E55" s="30" t="n">
        <v>260823</v>
      </c>
      <c r="F55" s="30" t="n">
        <v>284668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55261</v>
      </c>
      <c r="C57" s="18" t="n">
        <v>53742</v>
      </c>
      <c r="D57" s="18" t="n">
        <v>56812</v>
      </c>
      <c r="E57" s="18" t="n">
        <v>58666</v>
      </c>
      <c r="F57" s="18" t="n">
        <v>63061</v>
      </c>
    </row>
    <row r="58">
      <c r="A58" s="17" t="inlineStr">
        <is>
          <t>Short-Term Debt</t>
        </is>
      </c>
      <c r="B58" s="18" t="n">
        <v>3213</v>
      </c>
      <c r="C58" s="18" t="n">
        <v>4563</v>
      </c>
      <c r="D58" s="18" t="n">
        <v>4325</v>
      </c>
      <c r="E58" s="18" t="n">
        <v>5666</v>
      </c>
      <c r="F58" s="18" t="n">
        <v>10138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2559</v>
      </c>
      <c r="C60" s="18" t="n">
        <v>2488</v>
      </c>
      <c r="D60" s="18" t="n">
        <v>2664</v>
      </c>
      <c r="E60" s="18" t="n">
        <v>2755</v>
      </c>
      <c r="F60" s="18" t="n">
        <v>2941</v>
      </c>
    </row>
    <row r="61">
      <c r="A61" s="17" t="inlineStr">
        <is>
          <t>Accrued &amp; Other Current Liabilities</t>
        </is>
      </c>
      <c r="B61" s="18" t="n">
        <v>0</v>
      </c>
      <c r="C61" s="18" t="n">
        <v>0</v>
      </c>
      <c r="D61" s="18" t="n">
        <v>0</v>
      </c>
      <c r="E61" s="18" t="n">
        <v>0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87379</v>
      </c>
      <c r="C63" s="27" t="n">
        <v>92198</v>
      </c>
      <c r="D63" s="27" t="n">
        <v>92415</v>
      </c>
      <c r="E63" s="27" t="n">
        <v>96584</v>
      </c>
      <c r="F63" s="27" t="n">
        <v>107469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34864</v>
      </c>
      <c r="C65" s="18" t="n">
        <v>34649</v>
      </c>
      <c r="D65" s="18" t="n">
        <v>36132</v>
      </c>
      <c r="E65" s="18" t="n">
        <v>33401</v>
      </c>
      <c r="F65" s="18" t="n">
        <v>34624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13474</v>
      </c>
      <c r="C68" s="18" t="n">
        <v>14688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0</v>
      </c>
      <c r="C69" s="18" t="n">
        <v>0</v>
      </c>
      <c r="D69" s="18" t="n">
        <v>14629</v>
      </c>
      <c r="E69" s="18" t="n">
        <v>14398</v>
      </c>
      <c r="F69" s="18" t="n">
        <v>16549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152969</v>
      </c>
      <c r="C71" s="30" t="n">
        <v>159206</v>
      </c>
      <c r="D71" s="30" t="n">
        <v>161828</v>
      </c>
      <c r="E71" s="30" t="n">
        <v>163131</v>
      </c>
      <c r="F71" s="30" t="n">
        <v>178488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276</v>
      </c>
      <c r="C73" s="18" t="n">
        <v>808</v>
      </c>
      <c r="D73" s="18" t="n">
        <v>805</v>
      </c>
      <c r="E73" s="18" t="n">
        <v>802</v>
      </c>
      <c r="F73" s="18" t="n">
        <v>797</v>
      </c>
    </row>
    <row r="74">
      <c r="A74" s="17" t="inlineStr">
        <is>
          <t>Retained Earnings</t>
        </is>
      </c>
      <c r="B74" s="18" t="n">
        <v>86904</v>
      </c>
      <c r="C74" s="18" t="n">
        <v>83135</v>
      </c>
      <c r="D74" s="18" t="n">
        <v>89814</v>
      </c>
      <c r="E74" s="18" t="n">
        <v>98313</v>
      </c>
      <c r="F74" s="18" t="n">
        <v>104774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8638</v>
      </c>
      <c r="C77" s="18" t="n">
        <v>7298</v>
      </c>
      <c r="D77" s="18" t="n">
        <v>6710</v>
      </c>
      <c r="E77" s="18" t="n">
        <v>6679</v>
      </c>
      <c r="F77" s="18" t="n">
        <v>6563</v>
      </c>
    </row>
    <row r="78">
      <c r="A78" s="26" t="inlineStr">
        <is>
          <t>Total Equity (inc. Minority)</t>
        </is>
      </c>
      <c r="B78" s="27" t="n">
        <v>91891</v>
      </c>
      <c r="C78" s="27" t="n">
        <v>83991</v>
      </c>
      <c r="D78" s="27" t="n">
        <v>90571</v>
      </c>
      <c r="E78" s="27" t="n">
        <v>97692</v>
      </c>
      <c r="F78" s="27" t="n">
        <v>106180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WMT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24181</v>
      </c>
      <c r="C5" s="24" t="n">
        <v>28841</v>
      </c>
      <c r="D5" s="24" t="n">
        <v>35726</v>
      </c>
      <c r="E5" s="24" t="n">
        <v>36443</v>
      </c>
      <c r="F5" s="24" t="n">
        <v>41565</v>
      </c>
    </row>
    <row r="6">
      <c r="A6" s="17" t="inlineStr">
        <is>
          <t>(2)  Capital Expenditures</t>
        </is>
      </c>
      <c r="B6" s="18" t="n">
        <v>-13106</v>
      </c>
      <c r="C6" s="18" t="n">
        <v>-16857</v>
      </c>
      <c r="D6" s="18" t="n">
        <v>-20606</v>
      </c>
      <c r="E6" s="18" t="n">
        <v>-23783</v>
      </c>
      <c r="F6" s="18" t="n">
        <v>-26642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-5872</v>
      </c>
      <c r="C9" s="18" t="n">
        <v>2318</v>
      </c>
      <c r="D9" s="18" t="n">
        <v>1262</v>
      </c>
      <c r="E9" s="18" t="n">
        <v>-1256</v>
      </c>
      <c r="F9" s="18" t="n">
        <v>1358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-6152</v>
      </c>
      <c r="C12" s="18" t="n">
        <v>-6114</v>
      </c>
      <c r="D12" s="18" t="n">
        <v>-6140</v>
      </c>
      <c r="E12" s="18" t="n">
        <v>-6688</v>
      </c>
      <c r="F12" s="18" t="n">
        <v>-7507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11075</v>
      </c>
      <c r="C15" s="24" t="n">
        <v>11984</v>
      </c>
      <c r="D15" s="24" t="n">
        <v>15120</v>
      </c>
      <c r="E15" s="24" t="n">
        <v>12660</v>
      </c>
      <c r="F15" s="24" t="n">
        <v>14923</v>
      </c>
    </row>
    <row r="16">
      <c r="A16" s="15" t="inlineStr">
        <is>
          <t xml:space="preserve">     Net Change in Cash</t>
        </is>
      </c>
      <c r="B16" s="16" t="n">
        <v>-2981</v>
      </c>
      <c r="C16" s="16" t="n">
        <v>-5993</v>
      </c>
      <c r="D16" s="16" t="n">
        <v>1094</v>
      </c>
      <c r="E16" s="16" t="n">
        <v>-399</v>
      </c>
      <c r="F16" s="16" t="n">
        <v>1785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2022</t>
        </is>
      </c>
      <c r="C19" s="14" t="inlineStr">
        <is>
          <t>2023</t>
        </is>
      </c>
      <c r="D19" s="14" t="inlineStr">
        <is>
          <t>2024</t>
        </is>
      </c>
      <c r="E19" s="14" t="inlineStr">
        <is>
          <t>2025</t>
        </is>
      </c>
      <c r="F19" s="14" t="inlineStr">
        <is>
          <t>2026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13940</v>
      </c>
      <c r="C21" s="18" t="n">
        <v>11292</v>
      </c>
      <c r="D21" s="18" t="n">
        <v>16270</v>
      </c>
      <c r="E21" s="18" t="n">
        <v>20157</v>
      </c>
      <c r="F21" s="18" t="n">
        <v>22270</v>
      </c>
    </row>
    <row r="22">
      <c r="A22" s="17" t="inlineStr">
        <is>
          <t>Depreciation &amp; Amortisation</t>
        </is>
      </c>
      <c r="B22" s="18" t="n">
        <v>10658</v>
      </c>
      <c r="C22" s="18" t="n">
        <v>10945</v>
      </c>
      <c r="D22" s="18" t="n">
        <v>11853</v>
      </c>
      <c r="E22" s="18" t="n">
        <v>12973</v>
      </c>
      <c r="F22" s="18" t="n">
        <v>14203</v>
      </c>
    </row>
    <row r="23">
      <c r="A23" s="17" t="inlineStr">
        <is>
          <t>Deferred Income Tax</t>
        </is>
      </c>
      <c r="B23" s="18" t="n">
        <v>-755</v>
      </c>
      <c r="C23" s="18" t="n">
        <v>449</v>
      </c>
      <c r="D23" s="18" t="n">
        <v>-175</v>
      </c>
      <c r="E23" s="18" t="n">
        <v>-635</v>
      </c>
      <c r="F23" s="18" t="n">
        <v>2277</v>
      </c>
    </row>
    <row r="24">
      <c r="A24" s="17" t="inlineStr">
        <is>
          <t>Stock-Based Compensation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</row>
    <row r="25">
      <c r="A25" s="17" t="inlineStr">
        <is>
          <t>Change in Working Capital</t>
        </is>
      </c>
      <c r="B25" s="18" t="n">
        <v>-6597</v>
      </c>
      <c r="C25" s="18" t="n">
        <v>2553</v>
      </c>
      <c r="D25" s="18" t="n">
        <v>1943</v>
      </c>
      <c r="E25" s="18" t="n">
        <v>181</v>
      </c>
      <c r="F25" s="18" t="n">
        <v>752</v>
      </c>
    </row>
    <row r="26">
      <c r="A26" s="21" t="inlineStr">
        <is>
          <t xml:space="preserve">  — Accounts Receivable</t>
        </is>
      </c>
      <c r="B26" s="18" t="n">
        <v>-1796</v>
      </c>
      <c r="C26" s="18" t="n">
        <v>240</v>
      </c>
      <c r="D26" s="18" t="n">
        <v>-797</v>
      </c>
      <c r="E26" s="18" t="n">
        <v>-1106</v>
      </c>
      <c r="F26" s="18" t="n">
        <v>-1136</v>
      </c>
    </row>
    <row r="27">
      <c r="A27" s="21" t="inlineStr">
        <is>
          <t xml:space="preserve">  — Inventory</t>
        </is>
      </c>
      <c r="B27" s="18" t="n">
        <v>-11764</v>
      </c>
      <c r="C27" s="18" t="n">
        <v>-528</v>
      </c>
      <c r="D27" s="18" t="n">
        <v>2017</v>
      </c>
      <c r="E27" s="18" t="n">
        <v>-2755</v>
      </c>
      <c r="F27" s="18" t="n">
        <v>-1443</v>
      </c>
    </row>
    <row r="28">
      <c r="A28" s="21" t="inlineStr">
        <is>
          <t xml:space="preserve">  — Accounts Payable</t>
        </is>
      </c>
      <c r="B28" s="18" t="n">
        <v>5520</v>
      </c>
      <c r="C28" s="18" t="n">
        <v>-1425</v>
      </c>
      <c r="D28" s="18" t="n">
        <v>2515</v>
      </c>
      <c r="E28" s="18" t="n">
        <v>3228</v>
      </c>
      <c r="F28" s="18" t="n">
        <v>1611</v>
      </c>
    </row>
    <row r="29">
      <c r="A29" s="21" t="inlineStr">
        <is>
          <t xml:space="preserve">  — Other Working Capital</t>
        </is>
      </c>
      <c r="B29" s="18" t="n">
        <v>1443</v>
      </c>
      <c r="C29" s="18" t="n">
        <v>4266</v>
      </c>
      <c r="D29" s="18" t="n">
        <v>-1792</v>
      </c>
      <c r="E29" s="18" t="n">
        <v>814</v>
      </c>
      <c r="F29" s="18" t="n">
        <v>1720</v>
      </c>
    </row>
    <row r="30">
      <c r="A30" s="17" t="inlineStr">
        <is>
          <t>Other Non-Cash Items</t>
        </is>
      </c>
      <c r="B30" s="18" t="n">
        <v>6935</v>
      </c>
      <c r="C30" s="18" t="n">
        <v>3602</v>
      </c>
      <c r="D30" s="18" t="n">
        <v>5835</v>
      </c>
      <c r="E30" s="18" t="n">
        <v>3767</v>
      </c>
      <c r="F30" s="18" t="n">
        <v>2063</v>
      </c>
    </row>
    <row r="31">
      <c r="A31" s="26" t="inlineStr">
        <is>
          <t>Net Cash from Operations (CFO)</t>
        </is>
      </c>
      <c r="B31" s="27" t="n">
        <v>24181</v>
      </c>
      <c r="C31" s="27" t="n">
        <v>28841</v>
      </c>
      <c r="D31" s="27" t="n">
        <v>35726</v>
      </c>
      <c r="E31" s="27" t="n">
        <v>36443</v>
      </c>
      <c r="F31" s="27" t="n">
        <v>41565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-13106</v>
      </c>
      <c r="C33" s="18" t="n">
        <v>-16857</v>
      </c>
      <c r="D33" s="18" t="n">
        <v>-20606</v>
      </c>
      <c r="E33" s="18" t="n">
        <v>-23783</v>
      </c>
      <c r="F33" s="18" t="n">
        <v>-26642</v>
      </c>
    </row>
    <row r="34">
      <c r="A34" s="21" t="inlineStr">
        <is>
          <t xml:space="preserve">  (Alt: Invest. in PP&amp;E)</t>
        </is>
      </c>
      <c r="B34" s="18" t="n">
        <v>-13106</v>
      </c>
      <c r="C34" s="18" t="n">
        <v>-16857</v>
      </c>
      <c r="D34" s="18" t="n">
        <v>-20606</v>
      </c>
      <c r="E34" s="18" t="n">
        <v>-23783</v>
      </c>
      <c r="F34" s="18" t="n">
        <v>-26642</v>
      </c>
    </row>
    <row r="35">
      <c r="A35" s="17" t="inlineStr">
        <is>
          <t>Acquisitions (Net)</t>
        </is>
      </c>
      <c r="B35" s="18" t="n">
        <v>7576</v>
      </c>
      <c r="C35" s="18" t="n">
        <v>-740</v>
      </c>
      <c r="D35" s="18" t="n">
        <v>126</v>
      </c>
      <c r="E35" s="18" t="n">
        <v>-1896</v>
      </c>
      <c r="F35" s="18" t="n">
        <v>-53</v>
      </c>
    </row>
    <row r="36">
      <c r="A36" s="17" t="inlineStr">
        <is>
          <t>Purchases of Investments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Sales / Maturities of Investments</t>
        </is>
      </c>
      <c r="B37" s="18" t="n">
        <v>0</v>
      </c>
      <c r="C37" s="18" t="n">
        <v>0</v>
      </c>
      <c r="D37" s="18" t="n">
        <v>0</v>
      </c>
      <c r="E37" s="18" t="n">
        <v>4080</v>
      </c>
      <c r="F37" s="18" t="n">
        <v>927</v>
      </c>
    </row>
    <row r="38">
      <c r="A38" s="17" t="inlineStr">
        <is>
          <t>Other Investing Activities</t>
        </is>
      </c>
      <c r="B38" s="18" t="n">
        <v>-485</v>
      </c>
      <c r="C38" s="18" t="n">
        <v>-125</v>
      </c>
      <c r="D38" s="18" t="n">
        <v>-807</v>
      </c>
      <c r="E38" s="18" t="n">
        <v>220</v>
      </c>
      <c r="F38" s="18" t="n">
        <v>-582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-5872</v>
      </c>
      <c r="C41" s="18" t="n">
        <v>2318</v>
      </c>
      <c r="D41" s="18" t="n">
        <v>1262</v>
      </c>
      <c r="E41" s="18" t="n">
        <v>-1256</v>
      </c>
      <c r="F41" s="18" t="n">
        <v>1358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-9787</v>
      </c>
      <c r="C44" s="18" t="n">
        <v>-9920</v>
      </c>
      <c r="D44" s="18" t="n">
        <v>-2779</v>
      </c>
      <c r="E44" s="18" t="n">
        <v>-4494</v>
      </c>
      <c r="F44" s="18" t="n">
        <v>-8088</v>
      </c>
    </row>
    <row r="45">
      <c r="A45" s="17" t="inlineStr">
        <is>
          <t>Dividends Paid</t>
        </is>
      </c>
      <c r="B45" s="18" t="n">
        <v>-6152</v>
      </c>
      <c r="C45" s="18" t="n">
        <v>-6114</v>
      </c>
      <c r="D45" s="18" t="n">
        <v>-6140</v>
      </c>
      <c r="E45" s="18" t="n">
        <v>-6688</v>
      </c>
      <c r="F45" s="18" t="n">
        <v>-7507</v>
      </c>
    </row>
    <row r="46">
      <c r="A46" s="17" t="inlineStr">
        <is>
          <t>Other Financing Activities</t>
        </is>
      </c>
      <c r="B46" s="18" t="n">
        <v>-1017</v>
      </c>
      <c r="C46" s="18" t="n">
        <v>-3323</v>
      </c>
      <c r="D46" s="18" t="n">
        <v>-5757</v>
      </c>
      <c r="E46" s="18" t="n">
        <v>-2384</v>
      </c>
      <c r="F46" s="18" t="n">
        <v>684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1681</v>
      </c>
      <c r="C49" s="18" t="n">
        <v>-73</v>
      </c>
      <c r="D49" s="18" t="n">
        <v>69</v>
      </c>
      <c r="E49" s="18" t="n">
        <v>-641</v>
      </c>
      <c r="F49" s="18" t="n">
        <v>123</v>
      </c>
    </row>
    <row r="50">
      <c r="A50" s="15" t="inlineStr">
        <is>
          <t>Net Change in Cash</t>
        </is>
      </c>
      <c r="B50" s="16" t="n">
        <v>-2981</v>
      </c>
      <c r="C50" s="16" t="n">
        <v>-5993</v>
      </c>
      <c r="D50" s="16" t="n">
        <v>1094</v>
      </c>
      <c r="E50" s="16" t="n">
        <v>-399</v>
      </c>
      <c r="F50" s="16" t="n">
        <v>1785</v>
      </c>
    </row>
    <row r="51">
      <c r="A51" s="17" t="inlineStr">
        <is>
          <t>Cash at Beginning of Period</t>
        </is>
      </c>
      <c r="B51" s="18" t="n">
        <v>17788</v>
      </c>
      <c r="C51" s="18" t="n">
        <v>14834</v>
      </c>
      <c r="D51" s="18" t="n">
        <v>8841</v>
      </c>
      <c r="E51" s="18" t="n">
        <v>9935</v>
      </c>
      <c r="F51" s="18" t="n">
        <v>9536</v>
      </c>
    </row>
    <row r="52">
      <c r="A52" s="26" t="inlineStr">
        <is>
          <t>Cash at End of Period</t>
        </is>
      </c>
      <c r="B52" s="27" t="n">
        <v>14834</v>
      </c>
      <c r="C52" s="27" t="n">
        <v>8841</v>
      </c>
      <c r="D52" s="27" t="n">
        <v>9935</v>
      </c>
      <c r="E52" s="27" t="n">
        <v>9536</v>
      </c>
      <c r="F52" s="27" t="n">
        <v>11321</v>
      </c>
    </row>
    <row r="53">
      <c r="A53" s="26" t="inlineStr">
        <is>
          <t>Free Cash Flow</t>
        </is>
      </c>
      <c r="B53" s="27" t="n">
        <v>11075</v>
      </c>
      <c r="C53" s="27" t="n">
        <v>11984</v>
      </c>
      <c r="D53" s="27" t="n">
        <v>15120</v>
      </c>
      <c r="E53" s="27" t="n">
        <v>12660</v>
      </c>
      <c r="F53" s="27" t="n">
        <v>14923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WMT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8415</v>
      </c>
      <c r="C61" s="18" t="n">
        <v>8202</v>
      </c>
      <c r="D61" s="18" t="n">
        <v>8109</v>
      </c>
      <c r="E61" s="18" t="n">
        <v>8081</v>
      </c>
      <c r="F61" s="18" t="n">
        <v>8022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WMT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2026</t>
        </is>
      </c>
      <c r="C4" s="14" t="inlineStr">
        <is>
          <t>2025</t>
        </is>
      </c>
      <c r="D4" s="14" t="inlineStr">
        <is>
          <t>2024</t>
        </is>
      </c>
      <c r="E4" s="14" t="inlineStr">
        <is>
          <t>2023</t>
        </is>
      </c>
      <c r="F4" s="14" t="inlineStr">
        <is>
          <t>2022</t>
        </is>
      </c>
    </row>
    <row r="5">
      <c r="A5" s="17" t="inlineStr">
        <is>
          <t>data</t>
        </is>
      </c>
      <c r="B5" s="18" t="n">
        <v>93015</v>
      </c>
      <c r="C5" s="18" t="n">
        <v>90238</v>
      </c>
      <c r="D5" s="18" t="n">
        <v>86179</v>
      </c>
      <c r="E5" s="18" t="n">
        <v>84345</v>
      </c>
      <c r="F5" s="18" t="n">
        <v>100959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WMT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952931.916068</v>
      </c>
      <c r="C5" s="44" t="inlineStr">
        <is>
          <t>FMP marketCap  |  price $119.55</t>
        </is>
      </c>
    </row>
    <row r="6">
      <c r="A6" s="17" t="inlineStr">
        <is>
          <t>Debt  (gross book value, $mm)</t>
        </is>
      </c>
      <c r="B6" s="43" t="n">
        <v>44762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0.652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0.767</v>
      </c>
      <c r="C17" s="44" t="inlineStr">
        <is>
          <t>Mean-reversion toward market beta of 1.0</t>
        </is>
      </c>
    </row>
    <row r="18">
      <c r="A18" s="17" t="inlineStr">
        <is>
          <t>Damodaran industry unlevered  (Discount Stores)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0.05x,  t = 24.4%)</t>
        </is>
      </c>
      <c r="B19" s="50" t="n">
        <v>1.035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0.8179999999999999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AA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0.04969999999999999</v>
      </c>
      <c r="C32" s="44" t="inlineStr">
        <is>
          <t>FRED BAMLC0A2CAAEY — AA</t>
        </is>
      </c>
    </row>
    <row r="33">
      <c r="A33" s="17" t="inlineStr">
        <is>
          <t>Interest Coverage Ratio  (EBIT / Gross Int Exp)</t>
        </is>
      </c>
      <c r="B33" s="50" t="n">
        <v>10.7</v>
      </c>
      <c r="C33" s="44" t="inlineStr">
        <is>
          <t>EBIT $29825mm  /  Int Exp $2799mm</t>
        </is>
      </c>
    </row>
    <row r="34">
      <c r="A34" s="17" t="inlineStr">
        <is>
          <t>Synthetic rating  (Damodaran ICR table)</t>
        </is>
      </c>
      <c r="B34" s="53" t="inlineStr">
        <is>
          <t>AA</t>
        </is>
      </c>
      <c r="C34" s="44" t="inlineStr">
        <is>
          <t>ICR 10.7x  →  AA</t>
        </is>
      </c>
    </row>
    <row r="35">
      <c r="A35" s="17" t="inlineStr">
        <is>
          <t>Synthetic Rd  (Rf + Damodaran default spread)</t>
        </is>
      </c>
      <c r="B35" s="46" t="n">
        <v>0.0529</v>
      </c>
      <c r="C35" s="44" t="inlineStr">
        <is>
          <t>Rf 4.57% + spread 0.72%</t>
        </is>
      </c>
    </row>
    <row r="36">
      <c r="A36" s="17" t="inlineStr">
        <is>
          <t>Accounting Rd  (Gross int exp / Avg gross debt)</t>
        </is>
      </c>
      <c r="B36" s="46" t="n">
        <v>0.06677879969938803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0.0565</v>
      </c>
      <c r="C37" s="49" t="inlineStr">
        <is>
          <t>Default = average of 3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0.2443</v>
      </c>
      <c r="C40" s="44" t="inlineStr">
        <is>
          <t>FMP: $7199mm  /  $29469mm</t>
        </is>
      </c>
    </row>
    <row r="41">
      <c r="A41" s="47" t="inlineStr">
        <is>
          <t>► Selected tax rate  (user override)</t>
        </is>
      </c>
      <c r="B41" s="48" t="n">
        <v>0.2443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WMT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2022</t>
        </is>
      </c>
      <c r="C3" s="64" t="inlineStr">
        <is>
          <t>2023</t>
        </is>
      </c>
      <c r="D3" s="64" t="inlineStr">
        <is>
          <t>2024</t>
        </is>
      </c>
      <c r="E3" s="64" t="inlineStr">
        <is>
          <t>2025</t>
        </is>
      </c>
      <c r="F3" s="64" t="inlineStr">
        <is>
          <t>2026</t>
        </is>
      </c>
      <c r="G3" s="65" t="inlineStr">
        <is>
          <t>2027E</t>
        </is>
      </c>
      <c r="H3" s="65" t="inlineStr">
        <is>
          <t>2028E</t>
        </is>
      </c>
      <c r="I3" s="65" t="inlineStr">
        <is>
          <t>2029E</t>
        </is>
      </c>
      <c r="J3" s="65" t="inlineStr">
        <is>
          <t>2030E</t>
        </is>
      </c>
      <c r="K3" s="65" t="inlineStr">
        <is>
          <t>2031E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2027E – 2031E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0.0536</v>
      </c>
      <c r="H7" s="71" t="n">
        <v>0.0467</v>
      </c>
      <c r="I7" s="71" t="n">
        <v>0.0515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0.08160000000000001</v>
      </c>
      <c r="H8" s="71" t="n">
        <v>0.08160000000000001</v>
      </c>
      <c r="I8" s="71" t="n">
        <v>0.08160000000000001</v>
      </c>
      <c r="J8" s="72">
        <f>I8</f>
        <v/>
      </c>
      <c r="K8" s="72">
        <f>I8</f>
        <v/>
      </c>
      <c r="L8" s="73" t="n">
        <v>0.06519999999999999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751354.6</v>
      </c>
      <c r="H15" s="77" t="n">
        <v>786442.4</v>
      </c>
      <c r="I15" s="77" t="n">
        <v>826959.8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744,093 — 756,366</t>
        </is>
      </c>
      <c r="H16" s="82" t="inlineStr">
        <is>
          <t>770,970 — 798,876</t>
        </is>
      </c>
      <c r="I16" s="82" t="inlineStr">
        <is>
          <t>825,036 — 828,884</t>
        </is>
      </c>
      <c r="J16" s="82" t="inlineStr">
        <is>
          <t>845,072 — 869,403</t>
        </is>
      </c>
      <c r="K16" s="82" t="inlineStr">
        <is>
          <t>877,551 — 902,817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27</v>
      </c>
      <c r="H17" s="84" t="n">
        <v>27</v>
      </c>
      <c r="I17" s="84" t="n">
        <v>16</v>
      </c>
      <c r="J17" s="85" t="n">
        <v>8</v>
      </c>
      <c r="K17" s="85" t="n">
        <v>7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61279.2</v>
      </c>
      <c r="H20" s="77" t="n">
        <v>64140.9</v>
      </c>
      <c r="I20" s="77" t="n">
        <v>67445.39999999999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60,687 — 61,688</t>
        </is>
      </c>
      <c r="H21" s="82" t="inlineStr">
        <is>
          <t>62,879 — 65,155</t>
        </is>
      </c>
      <c r="I21" s="82" t="inlineStr">
        <is>
          <t>67,289 — 67,602</t>
        </is>
      </c>
      <c r="J21" s="82" t="inlineStr">
        <is>
          <t>68,923 — 70,907</t>
        </is>
      </c>
      <c r="K21" s="82" t="inlineStr">
        <is>
          <t>71,572 — 73,632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0.03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MEDIUM (5.3%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15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MEDIUM (5.3%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6563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8022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119.55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WMT  |  Master Prompt v2  |  26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24.9% ✗ (&gt;40%)  |  GM trend +0.8% ✗ (&gt;+1pp)  |  ROIC-WACC +9.8% ✓ (&gt;+5pp)  |  Rev consistency σ=0.8% ✓ (&lt;8%)  [2/4 indicators positive — proxy score]</t>
        </is>
      </c>
      <c r="E9" s="131" t="inlineStr">
        <is>
          <t>MOD-LOW</t>
        </is>
      </c>
      <c r="F9" s="132" t="n">
        <v>5</v>
      </c>
      <c r="G9" s="133">
        <f>IF(F9="",0,C9*F9*10)</f>
        <v/>
      </c>
      <c r="H9" s="134" t="inlineStr">
        <is>
          <t>GM 24.9% ✗ (&gt;40%)  |  GM trend +0.8% ✗ (&gt;+1pp)  |  ROIC-WACC +9.8% ✓ (&gt;+5pp)  |  Rev consistency σ=0.8% ✓ (&lt;8%)  [2/4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+4.2% ✓ (&gt;=-2pp)  |  GM maintained +0.8% ✓  |  Op margin +0.8% ✓ (≥-2pp)  |  Capital returns MOD-LOW ✗  |  Share count -1.2%/yr ✓ (net buyback)  |  Goodwill/Equity 29% ✓ (&lt;40%)  [5/6 indicators positive — proxy score]</t>
        </is>
      </c>
      <c r="E11" s="135" t="inlineStr">
        <is>
          <t>MOD-HIGH</t>
        </is>
      </c>
      <c r="F11" s="132" t="n">
        <v>8.33</v>
      </c>
      <c r="G11" s="133">
        <f>IF(F11="",0,C11*F11*10)</f>
        <v/>
      </c>
      <c r="H11" s="134" t="inlineStr">
        <is>
          <t>ROIC trend +4.2% ✓ (&gt;=-2pp)  |  GM maintained +0.8% ✓  |  Op margin +0.8% ✓ (≥-2pp)  |  Capital returns MOD-LOW ✗  |  Share count -1.2%/yr ✓ (net buyback)  |  Goodwill/Equity 29%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5.3%</t>
        </is>
      </c>
      <c r="E13" s="135" t="inlineStr">
        <is>
          <t>MOD-HIGH</t>
        </is>
      </c>
      <c r="F13" s="132" t="n">
        <v>7.27</v>
      </c>
      <c r="G13" s="133">
        <f>IF(F13="",0,C13*F13*10)</f>
        <v/>
      </c>
      <c r="H13" s="134" t="inlineStr">
        <is>
          <t>5.3%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72%  [trend penalty: declined &gt;15pp vs 3yr ago]  [through-cycle: 70/30 latest+5yr median, latest 68.2% → smoothed 72.0%]</t>
        </is>
      </c>
      <c r="E14" s="131" t="inlineStr">
        <is>
          <t>MOD-LOW</t>
        </is>
      </c>
      <c r="F14" s="132" t="n">
        <v>3.8</v>
      </c>
      <c r="G14" s="133">
        <f>IF(F14="",0,C14*F14*10)</f>
        <v/>
      </c>
      <c r="H14" s="134" t="inlineStr">
        <is>
          <t>72%  [trend penalty: declined &gt;15pp vs 3yr ago]  [through-cycle: 70/30 latest+5yr median, latest 68.2% → smoothed 72.0%]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$8,088mm latest FY — debt-funded  [payout 54% of FCF]</t>
        </is>
      </c>
      <c r="E15" s="131" t="inlineStr">
        <is>
          <t>MOD-LOW</t>
        </is>
      </c>
      <c r="F15" s="132" t="n">
        <v>3</v>
      </c>
      <c r="G15" s="133">
        <f>IF(F15="",0,C15*F15*10)</f>
        <v/>
      </c>
      <c r="H15" s="134" t="inlineStr">
        <is>
          <t>$8,088mm latest FY — debt-funded  [payout 54% of FCF]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17.1%</t>
        </is>
      </c>
      <c r="E16" s="135" t="inlineStr">
        <is>
          <t>MOD-HIGH</t>
        </is>
      </c>
      <c r="F16" s="132" t="n">
        <v>8.9</v>
      </c>
      <c r="G16" s="133">
        <f>IF(F16="",0,C16*F16*10)</f>
        <v/>
      </c>
      <c r="H16" s="134" t="inlineStr">
        <is>
          <t>17.1%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1.0x</t>
        </is>
      </c>
      <c r="E18" s="136" t="inlineStr">
        <is>
          <t>HIGH</t>
        </is>
      </c>
      <c r="F18" s="132" t="n">
        <v>10</v>
      </c>
      <c r="G18" s="133">
        <f>IF(F18="",0,C18*F18*10)</f>
        <v/>
      </c>
      <c r="H18" s="134" t="inlineStr">
        <is>
          <t>1.0x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10.7x</t>
        </is>
      </c>
      <c r="E19" s="136" t="inlineStr">
        <is>
          <t>HIGH</t>
        </is>
      </c>
      <c r="F19" s="132" t="n">
        <v>10</v>
      </c>
      <c r="G19" s="133">
        <f>IF(F19="",0,C19*F19*10)</f>
        <v/>
      </c>
      <c r="H19" s="134" t="inlineStr">
        <is>
          <t>10.7x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σ=0.8%  |  OM trend -0.3%, σ=0.4%  [quality = direction + stability]</t>
        </is>
      </c>
      <c r="E20" s="136" t="inlineStr">
        <is>
          <t>HIGH</t>
        </is>
      </c>
      <c r="F20" s="132" t="n">
        <v>10</v>
      </c>
      <c r="G20" s="133">
        <f>IF(F20="",0,C20*F20*10)</f>
        <v/>
      </c>
      <c r="H20" s="134" t="inlineStr">
        <is>
          <t>Rev growth σ=0.8%  |  OM trend -0.3%, σ=0.4%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Fwd P/E 41.2x (scoring basis)  |  5yr avg 35.0x  |  DCF-implied 15.3x [ref only — not used as benchmark]  [+18% vs benchmark]  [trail=4.17 | fwd_pe=41.2x→4.17 | abs=1.5 → blended 40/40/20=3.63]  PEG=702.85 (fwd_pe=41.2x / eps_growth=6%)  [revision:Modest upgrade expected→+0.25]</t>
        </is>
      </c>
      <c r="E22" s="131" t="inlineStr">
        <is>
          <t>MOD-LOW</t>
        </is>
      </c>
      <c r="F22" s="132" t="n">
        <v>3.88</v>
      </c>
      <c r="G22" s="133">
        <f>IF(F22="",0,C22*F22*10)</f>
        <v/>
      </c>
      <c r="H22" s="134" t="inlineStr">
        <is>
          <t>Fwd P/E 41.2x (scoring basis)  |  5yr avg 35.0x  |  DCF-implied 15.3x [ref only — not used as benchmark]  [+18% vs benchmark]  [trail=4.17 | fwd_pe=41.2x→4.17 | abs=1.5 → blended 40/40/20=3.63]  PEG=702.85 (fwd_pe=41.2x / eps_growth=6%)  [revision:Modest upgrade expected→+0.25]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63.7x  |  5yr avg 44.7x  |  DCF-implied 22.5x [ref only — not used as benchmark]  [+43% vs benchmark]  [trail=0.90 | fwd_pfcf=60.7x→1.70 | abs=0.0 → blended 40/40/20=1.04]  [fcf_yield=1.6% vs rf=4.6%  spread=-3.0%→modifier=-0.50]</t>
        </is>
      </c>
      <c r="E23" s="137" t="inlineStr">
        <is>
          <t>LOW</t>
        </is>
      </c>
      <c r="F23" s="132" t="n">
        <v>0.54</v>
      </c>
      <c r="G23" s="133">
        <f>IF(F23="",0,C23*F23*10)</f>
        <v/>
      </c>
      <c r="H23" s="134" t="inlineStr">
        <is>
          <t>Current 63.7x  |  5yr avg 44.7x  |  DCF-implied 22.5x [ref only — not used as benchmark]  [+43% vs benchmark]  [trail=0.90 | fwd_pfcf=60.7x→1.70 | abs=0.0 → blended 40/40/20=1.04]  [fcf_yield=1.6% vs rf=4.6%  spread=-3.0%→modifier=-0.50]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2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3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2026-05-26T13:42:20Z</dcterms:created>
  <dcterms:modified xmlns:dcterms="http://purl.org/dc/terms/" xmlns:xsi="http://www.w3.org/2001/XMLSchema-instance" xsi:type="dcterms:W3CDTF">2026-05-26T13:42:32Z</dcterms:modified>
</cp:coreProperties>
</file>